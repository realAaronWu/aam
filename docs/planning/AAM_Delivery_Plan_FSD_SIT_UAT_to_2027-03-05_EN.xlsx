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3ba2aba76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Timeline" sheetId="1" r:id="R5d03302bd4ce41f2"/>
    <x:sheet xmlns:r="http://schemas.openxmlformats.org/officeDocument/2006/relationships" name="Task Plan" sheetId="2" r:id="R5b6c66f2c7b74f94"/>
    <x:sheet xmlns:r="http://schemas.openxmlformats.org/officeDocument/2006/relationships" name="Team and Gates" sheetId="3" r:id="Rdce473a0a3c744d4"/>
    <x:sheet xmlns:r="http://schemas.openxmlformats.org/officeDocument/2006/relationships" name="Calendar" sheetId="4" r:id="R6c8861a54c7e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"/>
    <x:numFmt numFmtId="202" formatCode="0.0"/>
    <x:numFmt numFmtId="203" formatCode="mm/dd"/>
    <x:numFmt numFmtId="204" formatCode=";;;"/>
    <x:numFmt numFmtId="205" formatCode="0%"/>
    <x:numFmt numFmtId="206" formatCode="0.0;-0.0;;"/>
  </x:numFmts>
  <x:fonts count="16">
    <x:font>
      <x:sz val="11"/>
      <x:name val="Carlito"/>
    </x:font>
    <x:font>
      <x:sz val="11"/>
      <x:color rgb="FF1E293B"/>
      <x:name val="Arial"/>
    </x:font>
    <x:font>
      <x:b/>
      <x:sz val="16"/>
      <x:color rgb="FF0F172A"/>
      <x:name val="Arial"/>
    </x:font>
    <x:font>
      <x:sz val="11"/>
      <x:color rgb="FF1D4ED8"/>
      <x:name val="Arial"/>
    </x:font>
    <x:font>
      <x:b/>
      <x:sz val="11"/>
      <x:color rgb="FFFFFFFF"/>
      <x:name val="Arial"/>
    </x:font>
    <x:font>
      <x:b/>
      <x:sz val="11"/>
      <x:color rgb="FF4F46E5"/>
      <x:name val="Arial"/>
    </x:font>
    <x:font>
      <x:b/>
      <x:sz val="11"/>
      <x:color rgb="FF0284C7"/>
      <x:name val="Arial"/>
    </x:font>
    <x:font>
      <x:b/>
      <x:sz val="11"/>
      <x:color rgb="FF475569"/>
      <x:name val="Arial"/>
    </x:font>
    <x:font>
      <x:b/>
      <x:sz val="11"/>
      <x:color rgb="FF0F766E"/>
      <x:name val="Arial"/>
    </x:font>
    <x:font>
      <x:b/>
      <x:sz val="11"/>
      <x:color rgb="FF2563EB"/>
      <x:name val="Arial"/>
    </x:font>
    <x:font>
      <x:b/>
      <x:sz val="11"/>
      <x:color rgb="FF9333EA"/>
      <x:name val="Arial"/>
    </x:font>
    <x:font>
      <x:b/>
      <x:sz val="11"/>
      <x:color rgb="FFD97706"/>
      <x:name val="Arial"/>
    </x:font>
    <x:font>
      <x:b/>
      <x:sz val="11"/>
      <x:color rgb="FFDB2777"/>
      <x:name val="Arial"/>
    </x:font>
    <x:font>
      <x:b/>
      <x:sz val="11"/>
      <x:color rgb="FF334155"/>
      <x:name val="Arial"/>
    </x:font>
    <x:font>
      <x:b/>
      <x:sz val="11"/>
      <x:color rgb="FF64748B"/>
      <x:name val="Arial"/>
    </x:font>
    <x:font>
      <x:b/>
      <x:sz val="11"/>
      <x:color rgb="FF1E293B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1E3A5F"/>
      </x:patternFill>
    </x:fill>
    <x:fill>
      <x:patternFill patternType="solid">
        <x:fgColor rgb="FFF1F5F9"/>
      </x:patternFill>
    </x:fill>
    <x:fill>
      <x:patternFill patternType="solid">
        <x:fgColor rgb="FFE0E7FF"/>
      </x:patternFill>
    </x:fill>
    <x:fill>
      <x:patternFill patternType="solid">
        <x:fgColor rgb="FFE0F2FE"/>
      </x:patternFill>
    </x:fill>
    <x:fill>
      <x:patternFill patternType="solid">
        <x:fgColor rgb="FFE2E8F0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F3E8FF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vertical="center"/>
    </x:xf>
    <x:xf numFmtId="200" fontId="1" fillId="1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13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 applyAlignment="1">
      <x:alignment vertical="center"/>
    </x:xf>
    <x:xf numFmtId="201" fontId="15" fillId="7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0">
    <x:dxf>
      <x:font>
        <x:b/>
        <x:color rgb="FFFFFFFF"/>
      </x:font>
      <x:fill>
        <x:patternFill patternType="solid">
          <x:bgColor rgb="FF4F46E5"/>
        </x:patternFill>
      </x:fill>
    </x:dxf>
    <x:dxf>
      <x:font>
        <x:b/>
        <x:color rgb="FFFFFFFF"/>
      </x:font>
      <x:fill>
        <x:patternFill patternType="solid">
          <x:bgColor rgb="FF0284C7"/>
        </x:patternFill>
      </x:fill>
    </x:dxf>
    <x:dxf>
      <x:font>
        <x:b/>
        <x:color rgb="FFFFFFFF"/>
      </x:font>
      <x:fill>
        <x:patternFill patternType="solid">
          <x:bgColor rgb="FF475569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0284C7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D97706"/>
        </x:patternFill>
      </x:fill>
    </x:dxf>
    <x:dxf>
      <x:font>
        <x:b/>
        <x:color rgb="FFFFFFFF"/>
      </x:font>
      <x:fill>
        <x:patternFill patternType="solid">
          <x:bgColor rgb="FFDB2777"/>
        </x:patternFill>
      </x:fill>
    </x:dxf>
    <x:dxf>
      <x:font>
        <x:b/>
        <x:color rgb="FFFFFFFF"/>
      </x:font>
      <x:fill>
        <x:patternFill patternType="solid">
          <x:bgColor rgb="FFDB2777"/>
        </x:patternFill>
      </x:fill>
    </x:dxf>
    <x:dxf>
      <x:font>
        <x:b/>
        <x:color rgb="FFFFFFFF"/>
      </x:font>
      <x:fill>
        <x:patternFill patternType="solid">
          <x:bgColor rgb="FF4F46E5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4F46E5"/>
        </x:patternFill>
      </x:fill>
    </x:dxf>
    <x:dxf>
      <x:font>
        <x:b/>
        <x:color rgb="FFFFFFFF"/>
      </x:font>
      <x:fill>
        <x:patternFill patternType="solid">
          <x:bgColor rgb="FFD97706"/>
        </x:patternFill>
      </x:fill>
    </x:dxf>
    <x:dxf>
      <x:font>
        <x:b/>
        <x:color rgb="FFFFFFFF"/>
      </x:font>
      <x:fill>
        <x:patternFill patternType="solid">
          <x:bgColor rgb="FFDB2777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ill>
        <x:patternFill patternType="solid">
          <x:bgColor rgb="FFE5E7EB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D97706"/>
        </x:patternFill>
      </x:fill>
    </x:dxf>
    <x:dxf>
      <x:font>
        <x:b/>
        <x:color rgb="FFFFFFFF"/>
      </x:font>
      <x:fill>
        <x:patternFill patternType="solid">
          <x:bgColor rgb="FFDB2777"/>
        </x:patternFill>
      </x:fill>
    </x:dxf>
    <x:dxf>
      <x:font>
        <x:b/>
        <x:color rgb="FFFFFFFF"/>
      </x:font>
      <x:fill>
        <x:patternFill patternType="solid">
          <x:bgColor rgb="FF4F46E5"/>
        </x:patternFill>
      </x:fill>
    </x:dxf>
    <x:dxf>
      <x:font>
        <x:b/>
        <x:color rgb="FFFFFFFF"/>
      </x:font>
      <x:fill>
        <x:patternFill patternType="solid">
          <x:bgColor rgb="FF0284C7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2ecba5a964a96" /><Relationship Type="http://schemas.openxmlformats.org/officeDocument/2006/relationships/theme" Target="/xl/theme/theme1.xml" Id="R0bcf0494e68c443e" /><Relationship Type="http://schemas.openxmlformats.org/officeDocument/2006/relationships/sharedStrings" Target="/xl/sharedStrings.xml" Id="R084c22dfee4d45ca" /><Relationship Type="http://schemas.openxmlformats.org/officeDocument/2006/relationships/worksheet" Target="/xl/worksheets/sheet1.xml" Id="R5d03302bd4ce41f2" /><Relationship Type="http://schemas.openxmlformats.org/officeDocument/2006/relationships/worksheet" Target="/xl/worksheets/sheet2.xml" Id="R5b6c66f2c7b74f94" /><Relationship Type="http://schemas.openxmlformats.org/officeDocument/2006/relationships/worksheet" Target="/xl/worksheets/sheet3.xml" Id="Rdce473a0a3c744d4" /><Relationship Type="http://schemas.openxmlformats.org/officeDocument/2006/relationships/worksheet" Target="/xl/worksheets/sheet4.xml" Id="R6c8861a54c7e49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1" topLeftCell="D12" activePane="bottomRight" state="frozen"/>
    </x:sheetView>
  </x:sheetViews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13" hidden="0" customWidth="1"/>
    <x:col min="5" max="5" width="13" hidden="0" customWidth="1"/>
    <x:col min="6" max="6" width="3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3" t="str">
        <x:v>AAM Delivery Plan: FSD, Focused Coding, SIT, UAT and Launch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>
      <x:c r="A4" s="2" t="str">
        <x:v>Start</x:v>
      </x:c>
      <x:c r="B4" s="7" t="d">
        <x:v>2026-11-02T00:00:00.000Z</x:v>
      </x:c>
      <x:c r="C4" s="2"/>
      <x:c r="D4" s="2" t="str">
        <x:v>Handover</x:v>
      </x:c>
      <x:c r="E4" s="7" t="d">
        <x:v>2027-03-05T00:00:00.000Z</x:v>
      </x:c>
      <x:c r="F4" s="2"/>
      <x:c r="G4" s="2" t="str">
        <x:v>Go-live</x:v>
      </x:c>
      <x:c r="H4" s="7" t="d">
        <x:v>2027-02-26T00:00:00.000Z</x:v>
      </x:c>
      <x:c r="I4" s="7"/>
      <x:c r="J4" s="2"/>
      <x:c r="K4" s="2" t="str">
        <x:v>Plan ends</x:v>
      </x:c>
      <x:c r="L4" s="5" t="n">
        <x:f>MAX('Task Plan'!K8:K157)</x:f>
        <x:v>46451</x:v>
      </x:c>
      <x:c r="M4" s="5"/>
      <x:c r="N4" s="2"/>
      <x:c r="O4" s="2" t="str">
        <x:f>IF(COUNTIF('Task Plan'!M8:M157,"&lt;&gt;Scheduled")&gt;0,"Check task dates",IF(OR(L4&gt;E4,H4&gt;E4),"Beyond deadline","Fits deadline"))</x:f>
        <x:v>Fits deadline</x:v>
      </x:c>
      <x:c r="P4" s="2"/>
      <x:c r="Q4" s="2"/>
      <x:c r="R4" s="2"/>
      <x:c r="S4" s="2"/>
      <x:c r="T4" s="2"/>
      <x:c r="U4" s="2"/>
      <x:c r="V4" s="2"/>
      <x:c r="W4" s="2"/>
      <x:c r="X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26" customHeight="1">
      <x:c r="A6" s="2" t="str">
        <x:v>Seven roles: 2 Devs, DS, 2 Testers, BA and UI/UX (design + frontend). One Spring Boot backend with Spring AI and multiple replicas.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26" customHeight="1">
      <x:c r="A7" s="2" t="str">
        <x:v>FSD/UX Nov 2-13; Java Nov 16-Dec 4; SIT/tuning Dec 7-Jan 29; UAT Feb 15-24; production Feb 26; handover Mar 5.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>
      <x:c r="A8" s="2" t="str">
        <x:v>Cost (USD)</x:v>
      </x:c>
      <x:c r="B8" s="8" t="n">
        <x:f>'Team and Gates'!D15</x:f>
        <x:v>136584</x:v>
      </x:c>
      <x:c r="C8" s="2"/>
      <x:c r="D8" s="2" t="str">
        <x:v>Person-days</x:v>
      </x:c>
      <x:c r="E8" s="9" t="n">
        <x:f>'Team and Gates'!B15</x:f>
        <x:v>379.4</x:v>
      </x:c>
      <x:c r="F8" s="2"/>
      <x:c r="G8" s="2" t="str">
        <x:v>Workdays</x:v>
      </x:c>
      <x:c r="H8" s="2" t="n">
        <x:f>Calendar!B9</x:f>
        <x:v>82</x:v>
      </x:c>
      <x:c r="I8" s="2"/>
      <x:c r="J8" s="2" t="str">
        <x:v>per person; cost excludes unassigned reserve, Azure and model consumption.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36" customHeight="1">
      <x:c r="A9" s="13" t="str">
        <x:v>ID</x:v>
      </x:c>
      <x:c r="B9" s="13" t="str">
        <x:v>Delivery workstream</x:v>
      </x:c>
      <x:c r="C9" s="13" t="str">
        <x:v>Lead</x:v>
      </x:c>
      <x:c r="D9" s="13" t="str">
        <x:v>Start</x:v>
      </x:c>
      <x:c r="E9" s="13" t="str">
        <x:v>Finish</x:v>
      </x:c>
      <x:c r="F9" s="2"/>
      <x:c r="G9" s="13" t="str">
        <x:v>W01</x:v>
      </x:c>
      <x:c r="H9" s="13" t="str">
        <x:v>W02</x:v>
      </x:c>
      <x:c r="I9" s="13" t="str">
        <x:v>W03</x:v>
      </x:c>
      <x:c r="J9" s="13" t="str">
        <x:v>W04</x:v>
      </x:c>
      <x:c r="K9" s="13" t="str">
        <x:v>W05</x:v>
      </x:c>
      <x:c r="L9" s="13" t="str">
        <x:v>W06</x:v>
      </x:c>
      <x:c r="M9" s="13" t="str">
        <x:v>W07</x:v>
      </x:c>
      <x:c r="N9" s="13" t="str">
        <x:v>W08</x:v>
      </x:c>
      <x:c r="O9" s="13" t="str">
        <x:v>W09</x:v>
      </x:c>
      <x:c r="P9" s="13" t="str">
        <x:v>W10</x:v>
      </x:c>
      <x:c r="Q9" s="13" t="str">
        <x:v>W11</x:v>
      </x:c>
      <x:c r="R9" s="13" t="str">
        <x:v>W12</x:v>
      </x:c>
      <x:c r="S9" s="13" t="str">
        <x:v>W13</x:v>
      </x:c>
      <x:c r="T9" s="13" t="str">
        <x:v>W14</x:v>
      </x:c>
      <x:c r="U9" s="13" t="str">
        <x:v>W15</x:v>
      </x:c>
      <x:c r="V9" s="13" t="str">
        <x:v>W16</x:v>
      </x:c>
      <x:c r="W9" s="13" t="str">
        <x:v>W17</x:v>
      </x:c>
      <x:c r="X9" s="13" t="str">
        <x:v>W18</x:v>
      </x:c>
    </x:row>
    <x:row r="10" ht="24" customHeight="1">
      <x:c r="A10" s="2"/>
      <x:c r="B10" s="2"/>
      <x:c r="C10" s="2"/>
      <x:c r="D10" s="2"/>
      <x:c r="E10" s="2"/>
      <x:c r="F10" s="2"/>
      <x:c r="G10" s="17" t="n">
        <x:f>$B$4+0</x:f>
        <x:v>46328</x:v>
      </x:c>
      <x:c r="H10" s="17" t="n">
        <x:f>$B$4+7</x:f>
        <x:v>46335</x:v>
      </x:c>
      <x:c r="I10" s="17" t="n">
        <x:f>$B$4+14</x:f>
        <x:v>46342</x:v>
      </x:c>
      <x:c r="J10" s="17" t="n">
        <x:f>$B$4+21</x:f>
        <x:v>46349</x:v>
      </x:c>
      <x:c r="K10" s="17" t="n">
        <x:f>$B$4+28</x:f>
        <x:v>46356</x:v>
      </x:c>
      <x:c r="L10" s="17" t="n">
        <x:f>$B$4+35</x:f>
        <x:v>46363</x:v>
      </x:c>
      <x:c r="M10" s="17" t="n">
        <x:f>$B$4+42</x:f>
        <x:v>46370</x:v>
      </x:c>
      <x:c r="N10" s="17" t="n">
        <x:f>$B$4+49</x:f>
        <x:v>46377</x:v>
      </x:c>
      <x:c r="O10" s="17" t="n">
        <x:f>$B$4+56</x:f>
        <x:v>46384</x:v>
      </x:c>
      <x:c r="P10" s="17" t="n">
        <x:f>$B$4+63</x:f>
        <x:v>46391</x:v>
      </x:c>
      <x:c r="Q10" s="17" t="n">
        <x:f>$B$4+70</x:f>
        <x:v>46398</x:v>
      </x:c>
      <x:c r="R10" s="17" t="n">
        <x:f>$B$4+77</x:f>
        <x:v>46405</x:v>
      </x:c>
      <x:c r="S10" s="17" t="n">
        <x:f>$B$4+84</x:f>
        <x:v>46412</x:v>
      </x:c>
      <x:c r="T10" s="17" t="n">
        <x:f>$B$4+91</x:f>
        <x:v>46419</x:v>
      </x:c>
      <x:c r="U10" s="17" t="n">
        <x:f>$B$4+98</x:f>
        <x:v>46426</x:v>
      </x:c>
      <x:c r="V10" s="17" t="n">
        <x:f>$B$4+105</x:f>
        <x:v>46433</x:v>
      </x:c>
      <x:c r="W10" s="17" t="n">
        <x:f>$B$4+112</x:f>
        <x:v>46440</x:v>
      </x:c>
      <x:c r="X10" s="17" t="n">
        <x:f>$B$4+119</x:f>
        <x:v>46447</x:v>
      </x:c>
    </x:row>
    <x:row r="11" ht="24" customHeight="1">
      <x:c r="A11" s="2"/>
      <x:c r="B11" s="2" t="str">
        <x:v>Available workdays</x:v>
      </x:c>
      <x:c r="C11" s="2"/>
      <x:c r="D11" s="2"/>
      <x:c r="E11" s="2"/>
      <x:c r="F11" s="2"/>
      <x:c r="G11" s="18" t="n">
        <x:f>SUMIFS(Calendar!$C$16:$C$141,Calendar!$A$16:$A$141,"&gt;="&amp;G10,Calendar!$A$16:$A$141,"&lt;="&amp;G10+4)</x:f>
        <x:v>5</x:v>
      </x:c>
      <x:c r="H11" s="18" t="n">
        <x:f>SUMIFS(Calendar!$C$16:$C$141,Calendar!$A$16:$A$141,"&gt;="&amp;H10,Calendar!$A$16:$A$141,"&lt;="&amp;H10+4)</x:f>
        <x:v>5</x:v>
      </x:c>
      <x:c r="I11" s="18" t="n">
        <x:f>SUMIFS(Calendar!$C$16:$C$141,Calendar!$A$16:$A$141,"&gt;="&amp;I10,Calendar!$A$16:$A$141,"&lt;="&amp;I10+4)</x:f>
        <x:v>5</x:v>
      </x:c>
      <x:c r="J11" s="18" t="n">
        <x:f>SUMIFS(Calendar!$C$16:$C$141,Calendar!$A$16:$A$141,"&gt;="&amp;J10,Calendar!$A$16:$A$141,"&lt;="&amp;J10+4)</x:f>
        <x:v>5</x:v>
      </x:c>
      <x:c r="K11" s="18" t="n">
        <x:f>SUMIFS(Calendar!$C$16:$C$141,Calendar!$A$16:$A$141,"&gt;="&amp;K10,Calendar!$A$16:$A$141,"&lt;="&amp;K10+4)</x:f>
        <x:v>5</x:v>
      </x:c>
      <x:c r="L11" s="18" t="n">
        <x:f>SUMIFS(Calendar!$C$16:$C$141,Calendar!$A$16:$A$141,"&gt;="&amp;L10,Calendar!$A$16:$A$141,"&lt;="&amp;L10+4)</x:f>
        <x:v>5</x:v>
      </x:c>
      <x:c r="M11" s="18" t="n">
        <x:f>SUMIFS(Calendar!$C$16:$C$141,Calendar!$A$16:$A$141,"&gt;="&amp;M10,Calendar!$A$16:$A$141,"&lt;="&amp;M10+4)</x:f>
        <x:v>5</x:v>
      </x:c>
      <x:c r="N11" s="18" t="n">
        <x:f>SUMIFS(Calendar!$C$16:$C$141,Calendar!$A$16:$A$141,"&gt;="&amp;N10,Calendar!$A$16:$A$141,"&lt;="&amp;N10+4)</x:f>
        <x:v>5</x:v>
      </x:c>
      <x:c r="O11" s="18" t="n">
        <x:f>SUMIFS(Calendar!$C$16:$C$141,Calendar!$A$16:$A$141,"&gt;="&amp;O10,Calendar!$A$16:$A$141,"&lt;="&amp;O10+4)</x:f>
        <x:v>5</x:v>
      </x:c>
      <x:c r="P11" s="18" t="n">
        <x:f>SUMIFS(Calendar!$C$16:$C$141,Calendar!$A$16:$A$141,"&gt;="&amp;P10,Calendar!$A$16:$A$141,"&lt;="&amp;P10+4)</x:f>
        <x:v>5</x:v>
      </x:c>
      <x:c r="Q11" s="18" t="n">
        <x:f>SUMIFS(Calendar!$C$16:$C$141,Calendar!$A$16:$A$141,"&gt;="&amp;Q10,Calendar!$A$16:$A$141,"&lt;="&amp;Q10+4)</x:f>
        <x:v>5</x:v>
      </x:c>
      <x:c r="R11" s="18" t="n">
        <x:f>SUMIFS(Calendar!$C$16:$C$141,Calendar!$A$16:$A$141,"&gt;="&amp;R10,Calendar!$A$16:$A$141,"&lt;="&amp;R10+4)</x:f>
        <x:v>5</x:v>
      </x:c>
      <x:c r="S11" s="18" t="n">
        <x:f>SUMIFS(Calendar!$C$16:$C$141,Calendar!$A$16:$A$141,"&gt;="&amp;S10,Calendar!$A$16:$A$141,"&lt;="&amp;S10+4)</x:f>
        <x:v>5</x:v>
      </x:c>
      <x:c r="T11" s="18" t="n">
        <x:f>SUMIFS(Calendar!$C$16:$C$141,Calendar!$A$16:$A$141,"&gt;="&amp;T10,Calendar!$A$16:$A$141,"&lt;="&amp;T10+4)</x:f>
        <x:v>2</x:v>
      </x:c>
      <x:c r="U11" s="18" t="n">
        <x:f>SUMIFS(Calendar!$C$16:$C$141,Calendar!$A$16:$A$141,"&gt;="&amp;U10,Calendar!$A$16:$A$141,"&lt;="&amp;U10+4)</x:f>
        <x:v>0</x:v>
      </x:c>
      <x:c r="V11" s="18" t="n">
        <x:f>SUMIFS(Calendar!$C$16:$C$141,Calendar!$A$16:$A$141,"&gt;="&amp;V10,Calendar!$A$16:$A$141,"&lt;="&amp;V10+4)</x:f>
        <x:v>5</x:v>
      </x:c>
      <x:c r="W11" s="18" t="n">
        <x:f>SUMIFS(Calendar!$C$16:$C$141,Calendar!$A$16:$A$141,"&gt;="&amp;W10,Calendar!$A$16:$A$141,"&lt;="&amp;W10+4)</x:f>
        <x:v>5</x:v>
      </x:c>
      <x:c r="X11" s="18" t="n">
        <x:f>SUMIFS(Calendar!$C$16:$C$141,Calendar!$A$16:$A$141,"&gt;="&amp;X10,Calendar!$A$16:$A$141,"&lt;="&amp;X10+4)</x:f>
        <x:v>5</x:v>
      </x:c>
    </x:row>
    <x:row r="12" ht="31" customHeight="1">
      <x:c r="A12" s="2" t="str">
        <x:v>P01</x:v>
      </x:c>
      <x:c r="B12" s="2" t="str">
        <x:v>FSD, AC and default Cases (2 weeks)</x:v>
      </x:c>
      <x:c r="C12" s="20" t="str">
        <x:v>BA</x:v>
      </x:c>
      <x:c r="D12" s="14" t="n">
        <x:f>MIN(INDEX('Task Plan'!$J$8:$J$157,MATCH("BA01",'Task Plan'!$A$8:$A$157,0)),INDEX('Task Plan'!$J$8:$J$157,MATCH("BA02",'Task Plan'!$A$8:$A$157,0)),INDEX('Task Plan'!$J$8:$J$157,MATCH("BA03",'Task Plan'!$A$8:$A$157,0)))</x:f>
        <x:v>46328</x:v>
      </x:c>
      <x:c r="E12" s="14" t="n">
        <x:f>MAX(INDEX('Task Plan'!$K$8:$K$157,MATCH("BA01",'Task Plan'!$A$8:$A$157,0)),INDEX('Task Plan'!$K$8:$K$157,MATCH("BA02",'Task Plan'!$A$8:$A$157,0)),INDEX('Task Plan'!$K$8:$K$157,MATCH("BA03",'Task Plan'!$A$8:$A$157,0)))</x:f>
        <x:v>46339</x:v>
      </x:c>
      <x:c r="F12" s="2"/>
      <x:c r="G12" s="35" t="n">
        <x:f>IF(AND(G$10&lt;=$E12,G$10+4&gt;=$D12,G$11&gt;0),1,0)</x:f>
        <x:v>1</x:v>
      </x:c>
      <x:c r="H12" s="35" t="n">
        <x:f>IF(AND(H$10&lt;=$E12,H$10+4&gt;=$D12,H$11&gt;0),1,0)</x:f>
        <x:v>1</x:v>
      </x:c>
      <x:c r="I12" s="35" t="n">
        <x:f>IF(AND(I$10&lt;=$E12,I$10+4&gt;=$D12,I$11&gt;0),1,0)</x:f>
        <x:v>0</x:v>
      </x:c>
      <x:c r="J12" s="35" t="n">
        <x:f>IF(AND(J$10&lt;=$E12,J$10+4&gt;=$D12,J$11&gt;0),1,0)</x:f>
        <x:v>0</x:v>
      </x:c>
      <x:c r="K12" s="35" t="n">
        <x:f>IF(AND(K$10&lt;=$E12,K$10+4&gt;=$D12,K$11&gt;0),1,0)</x:f>
        <x:v>0</x:v>
      </x:c>
      <x:c r="L12" s="35" t="n">
        <x:f>IF(AND(L$10&lt;=$E12,L$10+4&gt;=$D12,L$11&gt;0),1,0)</x:f>
        <x:v>0</x:v>
      </x:c>
      <x:c r="M12" s="35" t="n">
        <x:f>IF(AND(M$10&lt;=$E12,M$10+4&gt;=$D12,M$11&gt;0),1,0)</x:f>
        <x:v>0</x:v>
      </x:c>
      <x:c r="N12" s="35" t="n">
        <x:f>IF(AND(N$10&lt;=$E12,N$10+4&gt;=$D12,N$11&gt;0),1,0)</x:f>
        <x:v>0</x:v>
      </x:c>
      <x:c r="O12" s="35" t="n">
        <x:f>IF(AND(O$10&lt;=$E12,O$10+4&gt;=$D12,O$11&gt;0),1,0)</x:f>
        <x:v>0</x:v>
      </x:c>
      <x:c r="P12" s="35" t="n">
        <x:f>IF(AND(P$10&lt;=$E12,P$10+4&gt;=$D12,P$11&gt;0),1,0)</x:f>
        <x:v>0</x:v>
      </x:c>
      <x:c r="Q12" s="35" t="n">
        <x:f>IF(AND(Q$10&lt;=$E12,Q$10+4&gt;=$D12,Q$11&gt;0),1,0)</x:f>
        <x:v>0</x:v>
      </x:c>
      <x:c r="R12" s="35" t="n">
        <x:f>IF(AND(R$10&lt;=$E12,R$10+4&gt;=$D12,R$11&gt;0),1,0)</x:f>
        <x:v>0</x:v>
      </x:c>
      <x:c r="S12" s="35" t="n">
        <x:f>IF(AND(S$10&lt;=$E12,S$10+4&gt;=$D12,S$11&gt;0),1,0)</x:f>
        <x:v>0</x:v>
      </x:c>
      <x:c r="T12" s="35" t="n">
        <x:f>IF(AND(T$10&lt;=$E12,T$10+4&gt;=$D12,T$11&gt;0),1,0)</x:f>
        <x:v>0</x:v>
      </x:c>
      <x:c r="U12" s="35" t="n">
        <x:f>IF(AND(U$10&lt;=$E12,U$10+4&gt;=$D12,U$11&gt;0),1,0)</x:f>
        <x:v>0</x:v>
      </x:c>
      <x:c r="V12" s="35" t="n">
        <x:f>IF(AND(V$10&lt;=$E12,V$10+4&gt;=$D12,V$11&gt;0),1,0)</x:f>
        <x:v>0</x:v>
      </x:c>
      <x:c r="W12" s="35" t="n">
        <x:f>IF(AND(W$10&lt;=$E12,W$10+4&gt;=$D12,W$11&gt;0),1,0)</x:f>
        <x:v>0</x:v>
      </x:c>
      <x:c r="X12" s="35" t="n">
        <x:f>IF(AND(X$10&lt;=$E12,X$10+4&gt;=$D12,X$11&gt;0),1,0)</x:f>
        <x:v>0</x:v>
      </x:c>
    </x:row>
    <x:row r="13" ht="31" customHeight="1">
      <x:c r="A13" s="2" t="str">
        <x:v>P02</x:v>
      </x:c>
      <x:c r="B13" s="2" t="str">
        <x:v>UX design and signoff (2 weeks)</x:v>
      </x:c>
      <x:c r="C13" s="22" t="str">
        <x:v>UI/UX</x:v>
      </x:c>
      <x:c r="D13" s="14" t="n">
        <x:f>MIN(INDEX('Task Plan'!$J$8:$J$157,MATCH("F01",'Task Plan'!$A$8:$A$157,0)),INDEX('Task Plan'!$J$8:$J$157,MATCH("F02",'Task Plan'!$A$8:$A$157,0)),INDEX('Task Plan'!$J$8:$J$157,MATCH("F03",'Task Plan'!$A$8:$A$157,0)))</x:f>
        <x:v>46328</x:v>
      </x:c>
      <x:c r="E13" s="14" t="n">
        <x:f>MAX(INDEX('Task Plan'!$K$8:$K$157,MATCH("F01",'Task Plan'!$A$8:$A$157,0)),INDEX('Task Plan'!$K$8:$K$157,MATCH("F02",'Task Plan'!$A$8:$A$157,0)),INDEX('Task Plan'!$K$8:$K$157,MATCH("F03",'Task Plan'!$A$8:$A$157,0)))</x:f>
        <x:v>46339</x:v>
      </x:c>
      <x:c r="F13" s="2"/>
      <x:c r="G13" s="35" t="n">
        <x:f>IF(AND(G$10&lt;=$E13,G$10+4&gt;=$D13,G$11&gt;0),1,0)</x:f>
        <x:v>1</x:v>
      </x:c>
      <x:c r="H13" s="35" t="n">
        <x:f>IF(AND(H$10&lt;=$E13,H$10+4&gt;=$D13,H$11&gt;0),1,0)</x:f>
        <x:v>1</x:v>
      </x:c>
      <x:c r="I13" s="35" t="n">
        <x:f>IF(AND(I$10&lt;=$E13,I$10+4&gt;=$D13,I$11&gt;0),1,0)</x:f>
        <x:v>0</x:v>
      </x:c>
      <x:c r="J13" s="35" t="n">
        <x:f>IF(AND(J$10&lt;=$E13,J$10+4&gt;=$D13,J$11&gt;0),1,0)</x:f>
        <x:v>0</x:v>
      </x:c>
      <x:c r="K13" s="35" t="n">
        <x:f>IF(AND(K$10&lt;=$E13,K$10+4&gt;=$D13,K$11&gt;0),1,0)</x:f>
        <x:v>0</x:v>
      </x:c>
      <x:c r="L13" s="35" t="n">
        <x:f>IF(AND(L$10&lt;=$E13,L$10+4&gt;=$D13,L$11&gt;0),1,0)</x:f>
        <x:v>0</x:v>
      </x:c>
      <x:c r="M13" s="35" t="n">
        <x:f>IF(AND(M$10&lt;=$E13,M$10+4&gt;=$D13,M$11&gt;0),1,0)</x:f>
        <x:v>0</x:v>
      </x:c>
      <x:c r="N13" s="35" t="n">
        <x:f>IF(AND(N$10&lt;=$E13,N$10+4&gt;=$D13,N$11&gt;0),1,0)</x:f>
        <x:v>0</x:v>
      </x:c>
      <x:c r="O13" s="35" t="n">
        <x:f>IF(AND(O$10&lt;=$E13,O$10+4&gt;=$D13,O$11&gt;0),1,0)</x:f>
        <x:v>0</x:v>
      </x:c>
      <x:c r="P13" s="35" t="n">
        <x:f>IF(AND(P$10&lt;=$E13,P$10+4&gt;=$D13,P$11&gt;0),1,0)</x:f>
        <x:v>0</x:v>
      </x:c>
      <x:c r="Q13" s="35" t="n">
        <x:f>IF(AND(Q$10&lt;=$E13,Q$10+4&gt;=$D13,Q$11&gt;0),1,0)</x:f>
        <x:v>0</x:v>
      </x:c>
      <x:c r="R13" s="35" t="n">
        <x:f>IF(AND(R$10&lt;=$E13,R$10+4&gt;=$D13,R$11&gt;0),1,0)</x:f>
        <x:v>0</x:v>
      </x:c>
      <x:c r="S13" s="35" t="n">
        <x:f>IF(AND(S$10&lt;=$E13,S$10+4&gt;=$D13,S$11&gt;0),1,0)</x:f>
        <x:v>0</x:v>
      </x:c>
      <x:c r="T13" s="35" t="n">
        <x:f>IF(AND(T$10&lt;=$E13,T$10+4&gt;=$D13,T$11&gt;0),1,0)</x:f>
        <x:v>0</x:v>
      </x:c>
      <x:c r="U13" s="35" t="n">
        <x:f>IF(AND(U$10&lt;=$E13,U$10+4&gt;=$D13,U$11&gt;0),1,0)</x:f>
        <x:v>0</x:v>
      </x:c>
      <x:c r="V13" s="35" t="n">
        <x:f>IF(AND(V$10&lt;=$E13,V$10+4&gt;=$D13,V$11&gt;0),1,0)</x:f>
        <x:v>0</x:v>
      </x:c>
      <x:c r="W13" s="35" t="n">
        <x:f>IF(AND(W$10&lt;=$E13,W$10+4&gt;=$D13,W$11&gt;0),1,0)</x:f>
        <x:v>0</x:v>
      </x:c>
      <x:c r="X13" s="35" t="n">
        <x:f>IF(AND(X$10&lt;=$E13,X$10+4&gt;=$D13,X$11&gt;0),1,0)</x:f>
        <x:v>0</x:v>
      </x:c>
    </x:row>
    <x:row r="14" ht="31" customHeight="1">
      <x:c r="A14" s="2" t="str">
        <x:v>P03</x:v>
      </x:c>
      <x:c r="B14" s="2" t="str">
        <x:v>GitHub Actions delivery pipeline (parallel)</x:v>
      </x:c>
      <x:c r="C14" s="24" t="str">
        <x:v>Both Devs</x:v>
      </x:c>
      <x:c r="D14" s="14" t="n">
        <x:f>MIN(INDEX('Task Plan'!$J$8:$J$157,MATCH("A01",'Task Plan'!$A$8:$A$157,0)),INDEX('Task Plan'!$J$8:$J$157,MATCH("A02",'Task Plan'!$A$8:$A$157,0)),INDEX('Task Plan'!$J$8:$J$157,MATCH("A03",'Task Plan'!$A$8:$A$157,0)),INDEX('Task Plan'!$J$8:$J$157,MATCH("B01",'Task Plan'!$A$8:$A$157,0)),INDEX('Task Plan'!$J$8:$J$157,MATCH("B02",'Task Plan'!$A$8:$A$157,0)),INDEX('Task Plan'!$J$8:$J$157,MATCH("B03",'Task Plan'!$A$8:$A$157,0)))</x:f>
        <x:v>46328</x:v>
      </x:c>
      <x:c r="E14" s="14" t="n">
        <x:f>MAX(INDEX('Task Plan'!$K$8:$K$157,MATCH("A01",'Task Plan'!$A$8:$A$157,0)),INDEX('Task Plan'!$K$8:$K$157,MATCH("A02",'Task Plan'!$A$8:$A$157,0)),INDEX('Task Plan'!$K$8:$K$157,MATCH("A03",'Task Plan'!$A$8:$A$157,0)),INDEX('Task Plan'!$K$8:$K$157,MATCH("B01",'Task Plan'!$A$8:$A$157,0)),INDEX('Task Plan'!$K$8:$K$157,MATCH("B02",'Task Plan'!$A$8:$A$157,0)),INDEX('Task Plan'!$K$8:$K$157,MATCH("B03",'Task Plan'!$A$8:$A$157,0)))</x:f>
        <x:v>46346</x:v>
      </x:c>
      <x:c r="F14" s="2"/>
      <x:c r="G14" s="35" t="n">
        <x:f>IF(AND(G$10&lt;=$E14,G$10+4&gt;=$D14,G$11&gt;0),1,0)</x:f>
        <x:v>1</x:v>
      </x:c>
      <x:c r="H14" s="35" t="n">
        <x:f>IF(AND(H$10&lt;=$E14,H$10+4&gt;=$D14,H$11&gt;0),1,0)</x:f>
        <x:v>1</x:v>
      </x:c>
      <x:c r="I14" s="35" t="n">
        <x:f>IF(AND(I$10&lt;=$E14,I$10+4&gt;=$D14,I$11&gt;0),1,0)</x:f>
        <x:v>1</x:v>
      </x:c>
      <x:c r="J14" s="35" t="n">
        <x:f>IF(AND(J$10&lt;=$E14,J$10+4&gt;=$D14,J$11&gt;0),1,0)</x:f>
        <x:v>0</x:v>
      </x:c>
      <x:c r="K14" s="35" t="n">
        <x:f>IF(AND(K$10&lt;=$E14,K$10+4&gt;=$D14,K$11&gt;0),1,0)</x:f>
        <x:v>0</x:v>
      </x:c>
      <x:c r="L14" s="35" t="n">
        <x:f>IF(AND(L$10&lt;=$E14,L$10+4&gt;=$D14,L$11&gt;0),1,0)</x:f>
        <x:v>0</x:v>
      </x:c>
      <x:c r="M14" s="35" t="n">
        <x:f>IF(AND(M$10&lt;=$E14,M$10+4&gt;=$D14,M$11&gt;0),1,0)</x:f>
        <x:v>0</x:v>
      </x:c>
      <x:c r="N14" s="35" t="n">
        <x:f>IF(AND(N$10&lt;=$E14,N$10+4&gt;=$D14,N$11&gt;0),1,0)</x:f>
        <x:v>0</x:v>
      </x:c>
      <x:c r="O14" s="35" t="n">
        <x:f>IF(AND(O$10&lt;=$E14,O$10+4&gt;=$D14,O$11&gt;0),1,0)</x:f>
        <x:v>0</x:v>
      </x:c>
      <x:c r="P14" s="35" t="n">
        <x:f>IF(AND(P$10&lt;=$E14,P$10+4&gt;=$D14,P$11&gt;0),1,0)</x:f>
        <x:v>0</x:v>
      </x:c>
      <x:c r="Q14" s="35" t="n">
        <x:f>IF(AND(Q$10&lt;=$E14,Q$10+4&gt;=$D14,Q$11&gt;0),1,0)</x:f>
        <x:v>0</x:v>
      </x:c>
      <x:c r="R14" s="35" t="n">
        <x:f>IF(AND(R$10&lt;=$E14,R$10+4&gt;=$D14,R$11&gt;0),1,0)</x:f>
        <x:v>0</x:v>
      </x:c>
      <x:c r="S14" s="35" t="n">
        <x:f>IF(AND(S$10&lt;=$E14,S$10+4&gt;=$D14,S$11&gt;0),1,0)</x:f>
        <x:v>0</x:v>
      </x:c>
      <x:c r="T14" s="35" t="n">
        <x:f>IF(AND(T$10&lt;=$E14,T$10+4&gt;=$D14,T$11&gt;0),1,0)</x:f>
        <x:v>0</x:v>
      </x:c>
      <x:c r="U14" s="35" t="n">
        <x:f>IF(AND(U$10&lt;=$E14,U$10+4&gt;=$D14,U$11&gt;0),1,0)</x:f>
        <x:v>0</x:v>
      </x:c>
      <x:c r="V14" s="35" t="n">
        <x:f>IF(AND(V$10&lt;=$E14,V$10+4&gt;=$D14,V$11&gt;0),1,0)</x:f>
        <x:v>0</x:v>
      </x:c>
      <x:c r="W14" s="35" t="n">
        <x:f>IF(AND(W$10&lt;=$E14,W$10+4&gt;=$D14,W$11&gt;0),1,0)</x:f>
        <x:v>0</x:v>
      </x:c>
      <x:c r="X14" s="35" t="n">
        <x:f>IF(AND(X$10&lt;=$E14,X$10+4&gt;=$D14,X$11&gt;0),1,0)</x:f>
        <x:v>0</x:v>
      </x:c>
    </x:row>
    <x:row r="15" ht="31" customHeight="1">
      <x:c r="A15" s="2" t="str">
        <x:v>P04</x:v>
      </x:c>
      <x:c r="B15" s="2" t="str">
        <x:v>Azure, identity and job foundations</x:v>
      </x:c>
      <x:c r="C15" s="26" t="str">
        <x:v>Dev 2</x:v>
      </x:c>
      <x:c r="D15" s="14" t="n">
        <x:f>MIN(INDEX('Task Plan'!$J$8:$J$157,MATCH("A01",'Task Plan'!$A$8:$A$157,0)),INDEX('Task Plan'!$J$8:$J$157,MATCH("A02",'Task Plan'!$A$8:$A$157,0)),INDEX('Task Plan'!$J$8:$J$157,MATCH("A03",'Task Plan'!$A$8:$A$157,0)))</x:f>
        <x:v>46328</x:v>
      </x:c>
      <x:c r="E15" s="14" t="n">
        <x:f>MAX(INDEX('Task Plan'!$K$8:$K$157,MATCH("A01",'Task Plan'!$A$8:$A$157,0)),INDEX('Task Plan'!$K$8:$K$157,MATCH("A02",'Task Plan'!$A$8:$A$157,0)),INDEX('Task Plan'!$K$8:$K$157,MATCH("A03",'Task Plan'!$A$8:$A$157,0)))</x:f>
        <x:v>46346</x:v>
      </x:c>
      <x:c r="F15" s="2"/>
      <x:c r="G15" s="35" t="n">
        <x:f>IF(AND(G$10&lt;=$E15,G$10+4&gt;=$D15,G$11&gt;0),1,0)</x:f>
        <x:v>1</x:v>
      </x:c>
      <x:c r="H15" s="35" t="n">
        <x:f>IF(AND(H$10&lt;=$E15,H$10+4&gt;=$D15,H$11&gt;0),1,0)</x:f>
        <x:v>1</x:v>
      </x:c>
      <x:c r="I15" s="35" t="n">
        <x:f>IF(AND(I$10&lt;=$E15,I$10+4&gt;=$D15,I$11&gt;0),1,0)</x:f>
        <x:v>1</x:v>
      </x:c>
      <x:c r="J15" s="35" t="n">
        <x:f>IF(AND(J$10&lt;=$E15,J$10+4&gt;=$D15,J$11&gt;0),1,0)</x:f>
        <x:v>0</x:v>
      </x:c>
      <x:c r="K15" s="35" t="n">
        <x:f>IF(AND(K$10&lt;=$E15,K$10+4&gt;=$D15,K$11&gt;0),1,0)</x:f>
        <x:v>0</x:v>
      </x:c>
      <x:c r="L15" s="35" t="n">
        <x:f>IF(AND(L$10&lt;=$E15,L$10+4&gt;=$D15,L$11&gt;0),1,0)</x:f>
        <x:v>0</x:v>
      </x:c>
      <x:c r="M15" s="35" t="n">
        <x:f>IF(AND(M$10&lt;=$E15,M$10+4&gt;=$D15,M$11&gt;0),1,0)</x:f>
        <x:v>0</x:v>
      </x:c>
      <x:c r="N15" s="35" t="n">
        <x:f>IF(AND(N$10&lt;=$E15,N$10+4&gt;=$D15,N$11&gt;0),1,0)</x:f>
        <x:v>0</x:v>
      </x:c>
      <x:c r="O15" s="35" t="n">
        <x:f>IF(AND(O$10&lt;=$E15,O$10+4&gt;=$D15,O$11&gt;0),1,0)</x:f>
        <x:v>0</x:v>
      </x:c>
      <x:c r="P15" s="35" t="n">
        <x:f>IF(AND(P$10&lt;=$E15,P$10+4&gt;=$D15,P$11&gt;0),1,0)</x:f>
        <x:v>0</x:v>
      </x:c>
      <x:c r="Q15" s="35" t="n">
        <x:f>IF(AND(Q$10&lt;=$E15,Q$10+4&gt;=$D15,Q$11&gt;0),1,0)</x:f>
        <x:v>0</x:v>
      </x:c>
      <x:c r="R15" s="35" t="n">
        <x:f>IF(AND(R$10&lt;=$E15,R$10+4&gt;=$D15,R$11&gt;0),1,0)</x:f>
        <x:v>0</x:v>
      </x:c>
      <x:c r="S15" s="35" t="n">
        <x:f>IF(AND(S$10&lt;=$E15,S$10+4&gt;=$D15,S$11&gt;0),1,0)</x:f>
        <x:v>0</x:v>
      </x:c>
      <x:c r="T15" s="35" t="n">
        <x:f>IF(AND(T$10&lt;=$E15,T$10+4&gt;=$D15,T$11&gt;0),1,0)</x:f>
        <x:v>0</x:v>
      </x:c>
      <x:c r="U15" s="35" t="n">
        <x:f>IF(AND(U$10&lt;=$E15,U$10+4&gt;=$D15,U$11&gt;0),1,0)</x:f>
        <x:v>0</x:v>
      </x:c>
      <x:c r="V15" s="35" t="n">
        <x:f>IF(AND(V$10&lt;=$E15,V$10+4&gt;=$D15,V$11&gt;0),1,0)</x:f>
        <x:v>0</x:v>
      </x:c>
      <x:c r="W15" s="35" t="n">
        <x:f>IF(AND(W$10&lt;=$E15,W$10+4&gt;=$D15,W$11&gt;0),1,0)</x:f>
        <x:v>0</x:v>
      </x:c>
      <x:c r="X15" s="35" t="n">
        <x:f>IF(AND(X$10&lt;=$E15,X$10+4&gt;=$D15,X$11&gt;0),1,0)</x:f>
        <x:v>0</x:v>
      </x:c>
    </x:row>
    <x:row r="16" ht="31" customHeight="1">
      <x:c r="A16" s="2" t="str">
        <x:v>P05</x:v>
      </x:c>
      <x:c r="B16" s="2" t="str">
        <x:v>Core Java API implementation (3 weeks)</x:v>
      </x:c>
      <x:c r="C16" s="28" t="str">
        <x:v>Dev 1</x:v>
      </x:c>
      <x:c r="D16" s="14" t="n">
        <x:f>MIN(INDEX('Task Plan'!$J$8:$J$157,MATCH("B04",'Task Plan'!$A$8:$A$157,0)),INDEX('Task Plan'!$J$8:$J$157,MATCH("B05",'Task Plan'!$A$8:$A$157,0)),INDEX('Task Plan'!$J$8:$J$157,MATCH("B06",'Task Plan'!$A$8:$A$157,0)),INDEX('Task Plan'!$J$8:$J$157,MATCH("B07",'Task Plan'!$A$8:$A$157,0)))</x:f>
        <x:v>46342</x:v>
      </x:c>
      <x:c r="E16" s="14" t="n">
        <x:f>MAX(INDEX('Task Plan'!$K$8:$K$157,MATCH("B04",'Task Plan'!$A$8:$A$157,0)),INDEX('Task Plan'!$K$8:$K$157,MATCH("B05",'Task Plan'!$A$8:$A$157,0)),INDEX('Task Plan'!$K$8:$K$157,MATCH("B06",'Task Plan'!$A$8:$A$157,0)),INDEX('Task Plan'!$K$8:$K$157,MATCH("B07",'Task Plan'!$A$8:$A$157,0)))</x:f>
        <x:v>46360</x:v>
      </x:c>
      <x:c r="F16" s="2"/>
      <x:c r="G16" s="35" t="n">
        <x:f>IF(AND(G$10&lt;=$E16,G$10+4&gt;=$D16,G$11&gt;0),1,0)</x:f>
        <x:v>0</x:v>
      </x:c>
      <x:c r="H16" s="35" t="n">
        <x:f>IF(AND(H$10&lt;=$E16,H$10+4&gt;=$D16,H$11&gt;0),1,0)</x:f>
        <x:v>0</x:v>
      </x:c>
      <x:c r="I16" s="35" t="n">
        <x:f>IF(AND(I$10&lt;=$E16,I$10+4&gt;=$D16,I$11&gt;0),1,0)</x:f>
        <x:v>1</x:v>
      </x:c>
      <x:c r="J16" s="35" t="n">
        <x:f>IF(AND(J$10&lt;=$E16,J$10+4&gt;=$D16,J$11&gt;0),1,0)</x:f>
        <x:v>1</x:v>
      </x:c>
      <x:c r="K16" s="35" t="n">
        <x:f>IF(AND(K$10&lt;=$E16,K$10+4&gt;=$D16,K$11&gt;0),1,0)</x:f>
        <x:v>1</x:v>
      </x:c>
      <x:c r="L16" s="35" t="n">
        <x:f>IF(AND(L$10&lt;=$E16,L$10+4&gt;=$D16,L$11&gt;0),1,0)</x:f>
        <x:v>0</x:v>
      </x:c>
      <x:c r="M16" s="35" t="n">
        <x:f>IF(AND(M$10&lt;=$E16,M$10+4&gt;=$D16,M$11&gt;0),1,0)</x:f>
        <x:v>0</x:v>
      </x:c>
      <x:c r="N16" s="35" t="n">
        <x:f>IF(AND(N$10&lt;=$E16,N$10+4&gt;=$D16,N$11&gt;0),1,0)</x:f>
        <x:v>0</x:v>
      </x:c>
      <x:c r="O16" s="35" t="n">
        <x:f>IF(AND(O$10&lt;=$E16,O$10+4&gt;=$D16,O$11&gt;0),1,0)</x:f>
        <x:v>0</x:v>
      </x:c>
      <x:c r="P16" s="35" t="n">
        <x:f>IF(AND(P$10&lt;=$E16,P$10+4&gt;=$D16,P$11&gt;0),1,0)</x:f>
        <x:v>0</x:v>
      </x:c>
      <x:c r="Q16" s="35" t="n">
        <x:f>IF(AND(Q$10&lt;=$E16,Q$10+4&gt;=$D16,Q$11&gt;0),1,0)</x:f>
        <x:v>0</x:v>
      </x:c>
      <x:c r="R16" s="35" t="n">
        <x:f>IF(AND(R$10&lt;=$E16,R$10+4&gt;=$D16,R$11&gt;0),1,0)</x:f>
        <x:v>0</x:v>
      </x:c>
      <x:c r="S16" s="35" t="n">
        <x:f>IF(AND(S$10&lt;=$E16,S$10+4&gt;=$D16,S$11&gt;0),1,0)</x:f>
        <x:v>0</x:v>
      </x:c>
      <x:c r="T16" s="35" t="n">
        <x:f>IF(AND(T$10&lt;=$E16,T$10+4&gt;=$D16,T$11&gt;0),1,0)</x:f>
        <x:v>0</x:v>
      </x:c>
      <x:c r="U16" s="35" t="n">
        <x:f>IF(AND(U$10&lt;=$E16,U$10+4&gt;=$D16,U$11&gt;0),1,0)</x:f>
        <x:v>0</x:v>
      </x:c>
      <x:c r="V16" s="35" t="n">
        <x:f>IF(AND(V$10&lt;=$E16,V$10+4&gt;=$D16,V$11&gt;0),1,0)</x:f>
        <x:v>0</x:v>
      </x:c>
      <x:c r="W16" s="35" t="n">
        <x:f>IF(AND(W$10&lt;=$E16,W$10+4&gt;=$D16,W$11&gt;0),1,0)</x:f>
        <x:v>0</x:v>
      </x:c>
      <x:c r="X16" s="35" t="n">
        <x:f>IF(AND(X$10&lt;=$E16,X$10+4&gt;=$D16,X$11&gt;0),1,0)</x:f>
        <x:v>0</x:v>
      </x:c>
    </x:row>
    <x:row r="17" ht="31" customHeight="1">
      <x:c r="A17" s="2" t="str">
        <x:v>P06</x:v>
      </x:c>
      <x:c r="B17" s="2" t="str">
        <x:v>Async / Graph / Foundry coding (3 weeks)</x:v>
      </x:c>
      <x:c r="C17" s="26" t="str">
        <x:v>Dev 2</x:v>
      </x:c>
      <x:c r="D17" s="14" t="n">
        <x:f>MIN(INDEX('Task Plan'!$J$8:$J$157,MATCH("A04",'Task Plan'!$A$8:$A$157,0)),INDEX('Task Plan'!$J$8:$J$157,MATCH("A05",'Task Plan'!$A$8:$A$157,0)),INDEX('Task Plan'!$J$8:$J$157,MATCH("A06",'Task Plan'!$A$8:$A$157,0)),INDEX('Task Plan'!$J$8:$J$157,MATCH("A07",'Task Plan'!$A$8:$A$157,0)))</x:f>
        <x:v>46342</x:v>
      </x:c>
      <x:c r="E17" s="14" t="n">
        <x:f>MAX(INDEX('Task Plan'!$K$8:$K$157,MATCH("A04",'Task Plan'!$A$8:$A$157,0)),INDEX('Task Plan'!$K$8:$K$157,MATCH("A05",'Task Plan'!$A$8:$A$157,0)),INDEX('Task Plan'!$K$8:$K$157,MATCH("A06",'Task Plan'!$A$8:$A$157,0)),INDEX('Task Plan'!$K$8:$K$157,MATCH("A07",'Task Plan'!$A$8:$A$157,0)))</x:f>
        <x:v>46360</x:v>
      </x:c>
      <x:c r="F17" s="2"/>
      <x:c r="G17" s="35" t="n">
        <x:f>IF(AND(G$10&lt;=$E17,G$10+4&gt;=$D17,G$11&gt;0),1,0)</x:f>
        <x:v>0</x:v>
      </x:c>
      <x:c r="H17" s="35" t="n">
        <x:f>IF(AND(H$10&lt;=$E17,H$10+4&gt;=$D17,H$11&gt;0),1,0)</x:f>
        <x:v>0</x:v>
      </x:c>
      <x:c r="I17" s="35" t="n">
        <x:f>IF(AND(I$10&lt;=$E17,I$10+4&gt;=$D17,I$11&gt;0),1,0)</x:f>
        <x:v>1</x:v>
      </x:c>
      <x:c r="J17" s="35" t="n">
        <x:f>IF(AND(J$10&lt;=$E17,J$10+4&gt;=$D17,J$11&gt;0),1,0)</x:f>
        <x:v>1</x:v>
      </x:c>
      <x:c r="K17" s="35" t="n">
        <x:f>IF(AND(K$10&lt;=$E17,K$10+4&gt;=$D17,K$11&gt;0),1,0)</x:f>
        <x:v>1</x:v>
      </x:c>
      <x:c r="L17" s="35" t="n">
        <x:f>IF(AND(L$10&lt;=$E17,L$10+4&gt;=$D17,L$11&gt;0),1,0)</x:f>
        <x:v>0</x:v>
      </x:c>
      <x:c r="M17" s="35" t="n">
        <x:f>IF(AND(M$10&lt;=$E17,M$10+4&gt;=$D17,M$11&gt;0),1,0)</x:f>
        <x:v>0</x:v>
      </x:c>
      <x:c r="N17" s="35" t="n">
        <x:f>IF(AND(N$10&lt;=$E17,N$10+4&gt;=$D17,N$11&gt;0),1,0)</x:f>
        <x:v>0</x:v>
      </x:c>
      <x:c r="O17" s="35" t="n">
        <x:f>IF(AND(O$10&lt;=$E17,O$10+4&gt;=$D17,O$11&gt;0),1,0)</x:f>
        <x:v>0</x:v>
      </x:c>
      <x:c r="P17" s="35" t="n">
        <x:f>IF(AND(P$10&lt;=$E17,P$10+4&gt;=$D17,P$11&gt;0),1,0)</x:f>
        <x:v>0</x:v>
      </x:c>
      <x:c r="Q17" s="35" t="n">
        <x:f>IF(AND(Q$10&lt;=$E17,Q$10+4&gt;=$D17,Q$11&gt;0),1,0)</x:f>
        <x:v>0</x:v>
      </x:c>
      <x:c r="R17" s="35" t="n">
        <x:f>IF(AND(R$10&lt;=$E17,R$10+4&gt;=$D17,R$11&gt;0),1,0)</x:f>
        <x:v>0</x:v>
      </x:c>
      <x:c r="S17" s="35" t="n">
        <x:f>IF(AND(S$10&lt;=$E17,S$10+4&gt;=$D17,S$11&gt;0),1,0)</x:f>
        <x:v>0</x:v>
      </x:c>
      <x:c r="T17" s="35" t="n">
        <x:f>IF(AND(T$10&lt;=$E17,T$10+4&gt;=$D17,T$11&gt;0),1,0)</x:f>
        <x:v>0</x:v>
      </x:c>
      <x:c r="U17" s="35" t="n">
        <x:f>IF(AND(U$10&lt;=$E17,U$10+4&gt;=$D17,U$11&gt;0),1,0)</x:f>
        <x:v>0</x:v>
      </x:c>
      <x:c r="V17" s="35" t="n">
        <x:f>IF(AND(V$10&lt;=$E17,V$10+4&gt;=$D17,V$11&gt;0),1,0)</x:f>
        <x:v>0</x:v>
      </x:c>
      <x:c r="W17" s="35" t="n">
        <x:f>IF(AND(W$10&lt;=$E17,W$10+4&gt;=$D17,W$11&gt;0),1,0)</x:f>
        <x:v>0</x:v>
      </x:c>
      <x:c r="X17" s="35" t="n">
        <x:f>IF(AND(X$10&lt;=$E17,X$10+4&gt;=$D17,X$11&gt;0),1,0)</x:f>
        <x:v>0</x:v>
      </x:c>
    </x:row>
    <x:row r="18" ht="31" customHeight="1">
      <x:c r="A18" s="2" t="str">
        <x:v>P07</x:v>
      </x:c>
      <x:c r="B18" s="2" t="str">
        <x:v>Portal page implementation (3 weeks)</x:v>
      </x:c>
      <x:c r="C18" s="22" t="str">
        <x:v>UI/UX</x:v>
      </x:c>
      <x:c r="D18" s="14" t="n">
        <x:f>MIN(INDEX('Task Plan'!$J$8:$J$157,MATCH("F04",'Task Plan'!$A$8:$A$157,0)),INDEX('Task Plan'!$J$8:$J$157,MATCH("F05",'Task Plan'!$A$8:$A$157,0)),INDEX('Task Plan'!$J$8:$J$157,MATCH("F06",'Task Plan'!$A$8:$A$157,0)),INDEX('Task Plan'!$J$8:$J$157,MATCH("F07",'Task Plan'!$A$8:$A$157,0)))</x:f>
        <x:v>46342</x:v>
      </x:c>
      <x:c r="E18" s="14" t="n">
        <x:f>MAX(INDEX('Task Plan'!$K$8:$K$157,MATCH("F04",'Task Plan'!$A$8:$A$157,0)),INDEX('Task Plan'!$K$8:$K$157,MATCH("F05",'Task Plan'!$A$8:$A$157,0)),INDEX('Task Plan'!$K$8:$K$157,MATCH("F06",'Task Plan'!$A$8:$A$157,0)),INDEX('Task Plan'!$K$8:$K$157,MATCH("F07",'Task Plan'!$A$8:$A$157,0)))</x:f>
        <x:v>46360</x:v>
      </x:c>
      <x:c r="F18" s="2"/>
      <x:c r="G18" s="35" t="n">
        <x:f>IF(AND(G$10&lt;=$E18,G$10+4&gt;=$D18,G$11&gt;0),1,0)</x:f>
        <x:v>0</x:v>
      </x:c>
      <x:c r="H18" s="35" t="n">
        <x:f>IF(AND(H$10&lt;=$E18,H$10+4&gt;=$D18,H$11&gt;0),1,0)</x:f>
        <x:v>0</x:v>
      </x:c>
      <x:c r="I18" s="35" t="n">
        <x:f>IF(AND(I$10&lt;=$E18,I$10+4&gt;=$D18,I$11&gt;0),1,0)</x:f>
        <x:v>1</x:v>
      </x:c>
      <x:c r="J18" s="35" t="n">
        <x:f>IF(AND(J$10&lt;=$E18,J$10+4&gt;=$D18,J$11&gt;0),1,0)</x:f>
        <x:v>1</x:v>
      </x:c>
      <x:c r="K18" s="35" t="n">
        <x:f>IF(AND(K$10&lt;=$E18,K$10+4&gt;=$D18,K$11&gt;0),1,0)</x:f>
        <x:v>1</x:v>
      </x:c>
      <x:c r="L18" s="35" t="n">
        <x:f>IF(AND(L$10&lt;=$E18,L$10+4&gt;=$D18,L$11&gt;0),1,0)</x:f>
        <x:v>0</x:v>
      </x:c>
      <x:c r="M18" s="35" t="n">
        <x:f>IF(AND(M$10&lt;=$E18,M$10+4&gt;=$D18,M$11&gt;0),1,0)</x:f>
        <x:v>0</x:v>
      </x:c>
      <x:c r="N18" s="35" t="n">
        <x:f>IF(AND(N$10&lt;=$E18,N$10+4&gt;=$D18,N$11&gt;0),1,0)</x:f>
        <x:v>0</x:v>
      </x:c>
      <x:c r="O18" s="35" t="n">
        <x:f>IF(AND(O$10&lt;=$E18,O$10+4&gt;=$D18,O$11&gt;0),1,0)</x:f>
        <x:v>0</x:v>
      </x:c>
      <x:c r="P18" s="35" t="n">
        <x:f>IF(AND(P$10&lt;=$E18,P$10+4&gt;=$D18,P$11&gt;0),1,0)</x:f>
        <x:v>0</x:v>
      </x:c>
      <x:c r="Q18" s="35" t="n">
        <x:f>IF(AND(Q$10&lt;=$E18,Q$10+4&gt;=$D18,Q$11&gt;0),1,0)</x:f>
        <x:v>0</x:v>
      </x:c>
      <x:c r="R18" s="35" t="n">
        <x:f>IF(AND(R$10&lt;=$E18,R$10+4&gt;=$D18,R$11&gt;0),1,0)</x:f>
        <x:v>0</x:v>
      </x:c>
      <x:c r="S18" s="35" t="n">
        <x:f>IF(AND(S$10&lt;=$E18,S$10+4&gt;=$D18,S$11&gt;0),1,0)</x:f>
        <x:v>0</x:v>
      </x:c>
      <x:c r="T18" s="35" t="n">
        <x:f>IF(AND(T$10&lt;=$E18,T$10+4&gt;=$D18,T$11&gt;0),1,0)</x:f>
        <x:v>0</x:v>
      </x:c>
      <x:c r="U18" s="35" t="n">
        <x:f>IF(AND(U$10&lt;=$E18,U$10+4&gt;=$D18,U$11&gt;0),1,0)</x:f>
        <x:v>0</x:v>
      </x:c>
      <x:c r="V18" s="35" t="n">
        <x:f>IF(AND(V$10&lt;=$E18,V$10+4&gt;=$D18,V$11&gt;0),1,0)</x:f>
        <x:v>0</x:v>
      </x:c>
      <x:c r="W18" s="35" t="n">
        <x:f>IF(AND(W$10&lt;=$E18,W$10+4&gt;=$D18,W$11&gt;0),1,0)</x:f>
        <x:v>0</x:v>
      </x:c>
      <x:c r="X18" s="35" t="n">
        <x:f>IF(AND(X$10&lt;=$E18,X$10+4&gt;=$D18,X$11&gt;0),1,0)</x:f>
        <x:v>0</x:v>
      </x:c>
    </x:row>
    <x:row r="19" ht="31" customHeight="1">
      <x:c r="A19" s="2" t="str">
        <x:v>P08</x:v>
      </x:c>
      <x:c r="B19" s="2" t="str">
        <x:v>Corpus, labels and model baseline</x:v>
      </x:c>
      <x:c r="C19" s="30" t="str">
        <x:v>DS</x:v>
      </x:c>
      <x:c r="D19" s="14" t="n">
        <x:f>MIN(INDEX('Task Plan'!$J$8:$J$157,MATCH("S01",'Task Plan'!$A$8:$A$157,0)),INDEX('Task Plan'!$J$8:$J$157,MATCH("S02",'Task Plan'!$A$8:$A$157,0)),INDEX('Task Plan'!$J$8:$J$157,MATCH("S03",'Task Plan'!$A$8:$A$157,0)))</x:f>
        <x:v>46328</x:v>
      </x:c>
      <x:c r="E19" s="14" t="n">
        <x:f>MAX(INDEX('Task Plan'!$K$8:$K$157,MATCH("S01",'Task Plan'!$A$8:$A$157,0)),INDEX('Task Plan'!$K$8:$K$157,MATCH("S02",'Task Plan'!$A$8:$A$157,0)),INDEX('Task Plan'!$K$8:$K$157,MATCH("S03",'Task Plan'!$A$8:$A$157,0)))</x:f>
        <x:v>46339</x:v>
      </x:c>
      <x:c r="F19" s="2"/>
      <x:c r="G19" s="35" t="n">
        <x:f>IF(AND(G$10&lt;=$E19,G$10+4&gt;=$D19,G$11&gt;0),1,0)</x:f>
        <x:v>1</x:v>
      </x:c>
      <x:c r="H19" s="35" t="n">
        <x:f>IF(AND(H$10&lt;=$E19,H$10+4&gt;=$D19,H$11&gt;0),1,0)</x:f>
        <x:v>1</x:v>
      </x:c>
      <x:c r="I19" s="35" t="n">
        <x:f>IF(AND(I$10&lt;=$E19,I$10+4&gt;=$D19,I$11&gt;0),1,0)</x:f>
        <x:v>0</x:v>
      </x:c>
      <x:c r="J19" s="35" t="n">
        <x:f>IF(AND(J$10&lt;=$E19,J$10+4&gt;=$D19,J$11&gt;0),1,0)</x:f>
        <x:v>0</x:v>
      </x:c>
      <x:c r="K19" s="35" t="n">
        <x:f>IF(AND(K$10&lt;=$E19,K$10+4&gt;=$D19,K$11&gt;0),1,0)</x:f>
        <x:v>0</x:v>
      </x:c>
      <x:c r="L19" s="35" t="n">
        <x:f>IF(AND(L$10&lt;=$E19,L$10+4&gt;=$D19,L$11&gt;0),1,0)</x:f>
        <x:v>0</x:v>
      </x:c>
      <x:c r="M19" s="35" t="n">
        <x:f>IF(AND(M$10&lt;=$E19,M$10+4&gt;=$D19,M$11&gt;0),1,0)</x:f>
        <x:v>0</x:v>
      </x:c>
      <x:c r="N19" s="35" t="n">
        <x:f>IF(AND(N$10&lt;=$E19,N$10+4&gt;=$D19,N$11&gt;0),1,0)</x:f>
        <x:v>0</x:v>
      </x:c>
      <x:c r="O19" s="35" t="n">
        <x:f>IF(AND(O$10&lt;=$E19,O$10+4&gt;=$D19,O$11&gt;0),1,0)</x:f>
        <x:v>0</x:v>
      </x:c>
      <x:c r="P19" s="35" t="n">
        <x:f>IF(AND(P$10&lt;=$E19,P$10+4&gt;=$D19,P$11&gt;0),1,0)</x:f>
        <x:v>0</x:v>
      </x:c>
      <x:c r="Q19" s="35" t="n">
        <x:f>IF(AND(Q$10&lt;=$E19,Q$10+4&gt;=$D19,Q$11&gt;0),1,0)</x:f>
        <x:v>0</x:v>
      </x:c>
      <x:c r="R19" s="35" t="n">
        <x:f>IF(AND(R$10&lt;=$E19,R$10+4&gt;=$D19,R$11&gt;0),1,0)</x:f>
        <x:v>0</x:v>
      </x:c>
      <x:c r="S19" s="35" t="n">
        <x:f>IF(AND(S$10&lt;=$E19,S$10+4&gt;=$D19,S$11&gt;0),1,0)</x:f>
        <x:v>0</x:v>
      </x:c>
      <x:c r="T19" s="35" t="n">
        <x:f>IF(AND(T$10&lt;=$E19,T$10+4&gt;=$D19,T$11&gt;0),1,0)</x:f>
        <x:v>0</x:v>
      </x:c>
      <x:c r="U19" s="35" t="n">
        <x:f>IF(AND(U$10&lt;=$E19,U$10+4&gt;=$D19,U$11&gt;0),1,0)</x:f>
        <x:v>0</x:v>
      </x:c>
      <x:c r="V19" s="35" t="n">
        <x:f>IF(AND(V$10&lt;=$E19,V$10+4&gt;=$D19,V$11&gt;0),1,0)</x:f>
        <x:v>0</x:v>
      </x:c>
      <x:c r="W19" s="35" t="n">
        <x:f>IF(AND(W$10&lt;=$E19,W$10+4&gt;=$D19,W$11&gt;0),1,0)</x:f>
        <x:v>0</x:v>
      </x:c>
      <x:c r="X19" s="35" t="n">
        <x:f>IF(AND(X$10&lt;=$E19,X$10+4&gt;=$D19,X$11&gt;0),1,0)</x:f>
        <x:v>0</x:v>
      </x:c>
    </x:row>
    <x:row r="20" ht="31" customHeight="1">
      <x:c r="A20" s="2" t="str">
        <x:v>P09</x:v>
      </x:c>
      <x:c r="B20" s="2" t="str">
        <x:v>Intent, draft and Playbook AI baseline</x:v>
      </x:c>
      <x:c r="C20" s="30" t="str">
        <x:v>DS</x:v>
      </x:c>
      <x:c r="D20" s="14" t="n">
        <x:f>MIN(INDEX('Task Plan'!$J$8:$J$157,MATCH("S04",'Task Plan'!$A$8:$A$157,0)),INDEX('Task Plan'!$J$8:$J$157,MATCH("S05",'Task Plan'!$A$8:$A$157,0)),INDEX('Task Plan'!$J$8:$J$157,MATCH("S06",'Task Plan'!$A$8:$A$157,0)),INDEX('Task Plan'!$J$8:$J$157,MATCH("S07",'Task Plan'!$A$8:$A$157,0)))</x:f>
        <x:v>46342</x:v>
      </x:c>
      <x:c r="E20" s="14" t="n">
        <x:f>MAX(INDEX('Task Plan'!$K$8:$K$157,MATCH("S04",'Task Plan'!$A$8:$A$157,0)),INDEX('Task Plan'!$K$8:$K$157,MATCH("S05",'Task Plan'!$A$8:$A$157,0)),INDEX('Task Plan'!$K$8:$K$157,MATCH("S06",'Task Plan'!$A$8:$A$157,0)),INDEX('Task Plan'!$K$8:$K$157,MATCH("S07",'Task Plan'!$A$8:$A$157,0)))</x:f>
        <x:v>46360</x:v>
      </x:c>
      <x:c r="F20" s="2"/>
      <x:c r="G20" s="35" t="n">
        <x:f>IF(AND(G$10&lt;=$E20,G$10+4&gt;=$D20,G$11&gt;0),1,0)</x:f>
        <x:v>0</x:v>
      </x:c>
      <x:c r="H20" s="35" t="n">
        <x:f>IF(AND(H$10&lt;=$E20,H$10+4&gt;=$D20,H$11&gt;0),1,0)</x:f>
        <x:v>0</x:v>
      </x:c>
      <x:c r="I20" s="35" t="n">
        <x:f>IF(AND(I$10&lt;=$E20,I$10+4&gt;=$D20,I$11&gt;0),1,0)</x:f>
        <x:v>1</x:v>
      </x:c>
      <x:c r="J20" s="35" t="n">
        <x:f>IF(AND(J$10&lt;=$E20,J$10+4&gt;=$D20,J$11&gt;0),1,0)</x:f>
        <x:v>1</x:v>
      </x:c>
      <x:c r="K20" s="35" t="n">
        <x:f>IF(AND(K$10&lt;=$E20,K$10+4&gt;=$D20,K$11&gt;0),1,0)</x:f>
        <x:v>1</x:v>
      </x:c>
      <x:c r="L20" s="35" t="n">
        <x:f>IF(AND(L$10&lt;=$E20,L$10+4&gt;=$D20,L$11&gt;0),1,0)</x:f>
        <x:v>0</x:v>
      </x:c>
      <x:c r="M20" s="35" t="n">
        <x:f>IF(AND(M$10&lt;=$E20,M$10+4&gt;=$D20,M$11&gt;0),1,0)</x:f>
        <x:v>0</x:v>
      </x:c>
      <x:c r="N20" s="35" t="n">
        <x:f>IF(AND(N$10&lt;=$E20,N$10+4&gt;=$D20,N$11&gt;0),1,0)</x:f>
        <x:v>0</x:v>
      </x:c>
      <x:c r="O20" s="35" t="n">
        <x:f>IF(AND(O$10&lt;=$E20,O$10+4&gt;=$D20,O$11&gt;0),1,0)</x:f>
        <x:v>0</x:v>
      </x:c>
      <x:c r="P20" s="35" t="n">
        <x:f>IF(AND(P$10&lt;=$E20,P$10+4&gt;=$D20,P$11&gt;0),1,0)</x:f>
        <x:v>0</x:v>
      </x:c>
      <x:c r="Q20" s="35" t="n">
        <x:f>IF(AND(Q$10&lt;=$E20,Q$10+4&gt;=$D20,Q$11&gt;0),1,0)</x:f>
        <x:v>0</x:v>
      </x:c>
      <x:c r="R20" s="35" t="n">
        <x:f>IF(AND(R$10&lt;=$E20,R$10+4&gt;=$D20,R$11&gt;0),1,0)</x:f>
        <x:v>0</x:v>
      </x:c>
      <x:c r="S20" s="35" t="n">
        <x:f>IF(AND(S$10&lt;=$E20,S$10+4&gt;=$D20,S$11&gt;0),1,0)</x:f>
        <x:v>0</x:v>
      </x:c>
      <x:c r="T20" s="35" t="n">
        <x:f>IF(AND(T$10&lt;=$E20,T$10+4&gt;=$D20,T$11&gt;0),1,0)</x:f>
        <x:v>0</x:v>
      </x:c>
      <x:c r="U20" s="35" t="n">
        <x:f>IF(AND(U$10&lt;=$E20,U$10+4&gt;=$D20,U$11&gt;0),1,0)</x:f>
        <x:v>0</x:v>
      </x:c>
      <x:c r="V20" s="35" t="n">
        <x:f>IF(AND(V$10&lt;=$E20,V$10+4&gt;=$D20,V$11&gt;0),1,0)</x:f>
        <x:v>0</x:v>
      </x:c>
      <x:c r="W20" s="35" t="n">
        <x:f>IF(AND(W$10&lt;=$E20,W$10+4&gt;=$D20,W$11&gt;0),1,0)</x:f>
        <x:v>0</x:v>
      </x:c>
      <x:c r="X20" s="35" t="n">
        <x:f>IF(AND(X$10&lt;=$E20,X$10+4&gt;=$D20,X$11&gt;0),1,0)</x:f>
        <x:v>0</x:v>
      </x:c>
    </x:row>
    <x:row r="21" ht="31" customHeight="1">
      <x:c r="A21" s="2" t="str">
        <x:v>P10</x:v>
      </x:c>
      <x:c r="B21" s="2" t="str">
        <x:v>Focused mail-intent tuning</x:v>
      </x:c>
      <x:c r="C21" s="30" t="str">
        <x:v>DS</x:v>
      </x:c>
      <x:c r="D21" s="14" t="n">
        <x:f>MIN(INDEX('Task Plan'!$J$8:$J$157,MATCH("S08",'Task Plan'!$A$8:$A$157,0)))</x:f>
        <x:v>46363</x:v>
      </x:c>
      <x:c r="E21" s="14" t="n">
        <x:f>MAX(INDEX('Task Plan'!$K$8:$K$157,MATCH("S08",'Task Plan'!$A$8:$A$157,0)))</x:f>
        <x:v>46367</x:v>
      </x:c>
      <x:c r="F21" s="2"/>
      <x:c r="G21" s="35" t="n">
        <x:f>IF(AND(G$10&lt;=$E21,G$10+4&gt;=$D21,G$11&gt;0),1,0)</x:f>
        <x:v>0</x:v>
      </x:c>
      <x:c r="H21" s="35" t="n">
        <x:f>IF(AND(H$10&lt;=$E21,H$10+4&gt;=$D21,H$11&gt;0),1,0)</x:f>
        <x:v>0</x:v>
      </x:c>
      <x:c r="I21" s="35" t="n">
        <x:f>IF(AND(I$10&lt;=$E21,I$10+4&gt;=$D21,I$11&gt;0),1,0)</x:f>
        <x:v>0</x:v>
      </x:c>
      <x:c r="J21" s="35" t="n">
        <x:f>IF(AND(J$10&lt;=$E21,J$10+4&gt;=$D21,J$11&gt;0),1,0)</x:f>
        <x:v>0</x:v>
      </x:c>
      <x:c r="K21" s="35" t="n">
        <x:f>IF(AND(K$10&lt;=$E21,K$10+4&gt;=$D21,K$11&gt;0),1,0)</x:f>
        <x:v>0</x:v>
      </x:c>
      <x:c r="L21" s="35" t="n">
        <x:f>IF(AND(L$10&lt;=$E21,L$10+4&gt;=$D21,L$11&gt;0),1,0)</x:f>
        <x:v>1</x:v>
      </x:c>
      <x:c r="M21" s="35" t="n">
        <x:f>IF(AND(M$10&lt;=$E21,M$10+4&gt;=$D21,M$11&gt;0),1,0)</x:f>
        <x:v>0</x:v>
      </x:c>
      <x:c r="N21" s="35" t="n">
        <x:f>IF(AND(N$10&lt;=$E21,N$10+4&gt;=$D21,N$11&gt;0),1,0)</x:f>
        <x:v>0</x:v>
      </x:c>
      <x:c r="O21" s="35" t="n">
        <x:f>IF(AND(O$10&lt;=$E21,O$10+4&gt;=$D21,O$11&gt;0),1,0)</x:f>
        <x:v>0</x:v>
      </x:c>
      <x:c r="P21" s="35" t="n">
        <x:f>IF(AND(P$10&lt;=$E21,P$10+4&gt;=$D21,P$11&gt;0),1,0)</x:f>
        <x:v>0</x:v>
      </x:c>
      <x:c r="Q21" s="35" t="n">
        <x:f>IF(AND(Q$10&lt;=$E21,Q$10+4&gt;=$D21,Q$11&gt;0),1,0)</x:f>
        <x:v>0</x:v>
      </x:c>
      <x:c r="R21" s="35" t="n">
        <x:f>IF(AND(R$10&lt;=$E21,R$10+4&gt;=$D21,R$11&gt;0),1,0)</x:f>
        <x:v>0</x:v>
      </x:c>
      <x:c r="S21" s="35" t="n">
        <x:f>IF(AND(S$10&lt;=$E21,S$10+4&gt;=$D21,S$11&gt;0),1,0)</x:f>
        <x:v>0</x:v>
      </x:c>
      <x:c r="T21" s="35" t="n">
        <x:f>IF(AND(T$10&lt;=$E21,T$10+4&gt;=$D21,T$11&gt;0),1,0)</x:f>
        <x:v>0</x:v>
      </x:c>
      <x:c r="U21" s="35" t="n">
        <x:f>IF(AND(U$10&lt;=$E21,U$10+4&gt;=$D21,U$11&gt;0),1,0)</x:f>
        <x:v>0</x:v>
      </x:c>
      <x:c r="V21" s="35" t="n">
        <x:f>IF(AND(V$10&lt;=$E21,V$10+4&gt;=$D21,V$11&gt;0),1,0)</x:f>
        <x:v>0</x:v>
      </x:c>
      <x:c r="W21" s="35" t="n">
        <x:f>IF(AND(W$10&lt;=$E21,W$10+4&gt;=$D21,W$11&gt;0),1,0)</x:f>
        <x:v>0</x:v>
      </x:c>
      <x:c r="X21" s="35" t="n">
        <x:f>IF(AND(X$10&lt;=$E21,X$10+4&gt;=$D21,X$11&gt;0),1,0)</x:f>
        <x:v>0</x:v>
      </x:c>
    </x:row>
    <x:row r="22" ht="31" customHeight="1">
      <x:c r="A22" s="2" t="str">
        <x:v>P11</x:v>
      </x:c>
      <x:c r="B22" s="2" t="str">
        <x:v>Focused draft-mail tuning</x:v>
      </x:c>
      <x:c r="C22" s="30" t="str">
        <x:v>DS</x:v>
      </x:c>
      <x:c r="D22" s="14" t="n">
        <x:f>MIN(INDEX('Task Plan'!$J$8:$J$157,MATCH("S09",'Task Plan'!$A$8:$A$157,0)))</x:f>
        <x:v>46370</x:v>
      </x:c>
      <x:c r="E22" s="14" t="n">
        <x:f>MAX(INDEX('Task Plan'!$K$8:$K$157,MATCH("S09",'Task Plan'!$A$8:$A$157,0)))</x:f>
        <x:v>46374</x:v>
      </x:c>
      <x:c r="F22" s="2"/>
      <x:c r="G22" s="35" t="n">
        <x:f>IF(AND(G$10&lt;=$E22,G$10+4&gt;=$D22,G$11&gt;0),1,0)</x:f>
        <x:v>0</x:v>
      </x:c>
      <x:c r="H22" s="35" t="n">
        <x:f>IF(AND(H$10&lt;=$E22,H$10+4&gt;=$D22,H$11&gt;0),1,0)</x:f>
        <x:v>0</x:v>
      </x:c>
      <x:c r="I22" s="35" t="n">
        <x:f>IF(AND(I$10&lt;=$E22,I$10+4&gt;=$D22,I$11&gt;0),1,0)</x:f>
        <x:v>0</x:v>
      </x:c>
      <x:c r="J22" s="35" t="n">
        <x:f>IF(AND(J$10&lt;=$E22,J$10+4&gt;=$D22,J$11&gt;0),1,0)</x:f>
        <x:v>0</x:v>
      </x:c>
      <x:c r="K22" s="35" t="n">
        <x:f>IF(AND(K$10&lt;=$E22,K$10+4&gt;=$D22,K$11&gt;0),1,0)</x:f>
        <x:v>0</x:v>
      </x:c>
      <x:c r="L22" s="35" t="n">
        <x:f>IF(AND(L$10&lt;=$E22,L$10+4&gt;=$D22,L$11&gt;0),1,0)</x:f>
        <x:v>0</x:v>
      </x:c>
      <x:c r="M22" s="35" t="n">
        <x:f>IF(AND(M$10&lt;=$E22,M$10+4&gt;=$D22,M$11&gt;0),1,0)</x:f>
        <x:v>1</x:v>
      </x:c>
      <x:c r="N22" s="35" t="n">
        <x:f>IF(AND(N$10&lt;=$E22,N$10+4&gt;=$D22,N$11&gt;0),1,0)</x:f>
        <x:v>0</x:v>
      </x:c>
      <x:c r="O22" s="35" t="n">
        <x:f>IF(AND(O$10&lt;=$E22,O$10+4&gt;=$D22,O$11&gt;0),1,0)</x:f>
        <x:v>0</x:v>
      </x:c>
      <x:c r="P22" s="35" t="n">
        <x:f>IF(AND(P$10&lt;=$E22,P$10+4&gt;=$D22,P$11&gt;0),1,0)</x:f>
        <x:v>0</x:v>
      </x:c>
      <x:c r="Q22" s="35" t="n">
        <x:f>IF(AND(Q$10&lt;=$E22,Q$10+4&gt;=$D22,Q$11&gt;0),1,0)</x:f>
        <x:v>0</x:v>
      </x:c>
      <x:c r="R22" s="35" t="n">
        <x:f>IF(AND(R$10&lt;=$E22,R$10+4&gt;=$D22,R$11&gt;0),1,0)</x:f>
        <x:v>0</x:v>
      </x:c>
      <x:c r="S22" s="35" t="n">
        <x:f>IF(AND(S$10&lt;=$E22,S$10+4&gt;=$D22,S$11&gt;0),1,0)</x:f>
        <x:v>0</x:v>
      </x:c>
      <x:c r="T22" s="35" t="n">
        <x:f>IF(AND(T$10&lt;=$E22,T$10+4&gt;=$D22,T$11&gt;0),1,0)</x:f>
        <x:v>0</x:v>
      </x:c>
      <x:c r="U22" s="35" t="n">
        <x:f>IF(AND(U$10&lt;=$E22,U$10+4&gt;=$D22,U$11&gt;0),1,0)</x:f>
        <x:v>0</x:v>
      </x:c>
      <x:c r="V22" s="35" t="n">
        <x:f>IF(AND(V$10&lt;=$E22,V$10+4&gt;=$D22,V$11&gt;0),1,0)</x:f>
        <x:v>0</x:v>
      </x:c>
      <x:c r="W22" s="35" t="n">
        <x:f>IF(AND(W$10&lt;=$E22,W$10+4&gt;=$D22,W$11&gt;0),1,0)</x:f>
        <x:v>0</x:v>
      </x:c>
      <x:c r="X22" s="35" t="n">
        <x:f>IF(AND(X$10&lt;=$E22,X$10+4&gt;=$D22,X$11&gt;0),1,0)</x:f>
        <x:v>0</x:v>
      </x:c>
    </x:row>
    <x:row r="23" ht="31" customHeight="1">
      <x:c r="A23" s="2" t="str">
        <x:v>P12</x:v>
      </x:c>
      <x:c r="B23" s="2" t="str">
        <x:v>Focused Playbook tuning / QA candidate</x:v>
      </x:c>
      <x:c r="C23" s="30" t="str">
        <x:v>DS</x:v>
      </x:c>
      <x:c r="D23" s="14" t="n">
        <x:f>MIN(INDEX('Task Plan'!$J$8:$J$157,MATCH("S10",'Task Plan'!$A$8:$A$157,0)))</x:f>
        <x:v>46377</x:v>
      </x:c>
      <x:c r="E23" s="14" t="n">
        <x:f>MAX(INDEX('Task Plan'!$K$8:$K$157,MATCH("S10",'Task Plan'!$A$8:$A$157,0)))</x:f>
        <x:v>46381</x:v>
      </x:c>
      <x:c r="F23" s="2"/>
      <x:c r="G23" s="35" t="n">
        <x:f>IF(AND(G$10&lt;=$E23,G$10+4&gt;=$D23,G$11&gt;0),1,0)</x:f>
        <x:v>0</x:v>
      </x:c>
      <x:c r="H23" s="35" t="n">
        <x:f>IF(AND(H$10&lt;=$E23,H$10+4&gt;=$D23,H$11&gt;0),1,0)</x:f>
        <x:v>0</x:v>
      </x:c>
      <x:c r="I23" s="35" t="n">
        <x:f>IF(AND(I$10&lt;=$E23,I$10+4&gt;=$D23,I$11&gt;0),1,0)</x:f>
        <x:v>0</x:v>
      </x:c>
      <x:c r="J23" s="35" t="n">
        <x:f>IF(AND(J$10&lt;=$E23,J$10+4&gt;=$D23,J$11&gt;0),1,0)</x:f>
        <x:v>0</x:v>
      </x:c>
      <x:c r="K23" s="35" t="n">
        <x:f>IF(AND(K$10&lt;=$E23,K$10+4&gt;=$D23,K$11&gt;0),1,0)</x:f>
        <x:v>0</x:v>
      </x:c>
      <x:c r="L23" s="35" t="n">
        <x:f>IF(AND(L$10&lt;=$E23,L$10+4&gt;=$D23,L$11&gt;0),1,0)</x:f>
        <x:v>0</x:v>
      </x:c>
      <x:c r="M23" s="35" t="n">
        <x:f>IF(AND(M$10&lt;=$E23,M$10+4&gt;=$D23,M$11&gt;0),1,0)</x:f>
        <x:v>0</x:v>
      </x:c>
      <x:c r="N23" s="35" t="n">
        <x:f>IF(AND(N$10&lt;=$E23,N$10+4&gt;=$D23,N$11&gt;0),1,0)</x:f>
        <x:v>1</x:v>
      </x:c>
      <x:c r="O23" s="35" t="n">
        <x:f>IF(AND(O$10&lt;=$E23,O$10+4&gt;=$D23,O$11&gt;0),1,0)</x:f>
        <x:v>0</x:v>
      </x:c>
      <x:c r="P23" s="35" t="n">
        <x:f>IF(AND(P$10&lt;=$E23,P$10+4&gt;=$D23,P$11&gt;0),1,0)</x:f>
        <x:v>0</x:v>
      </x:c>
      <x:c r="Q23" s="35" t="n">
        <x:f>IF(AND(Q$10&lt;=$E23,Q$10+4&gt;=$D23,Q$11&gt;0),1,0)</x:f>
        <x:v>0</x:v>
      </x:c>
      <x:c r="R23" s="35" t="n">
        <x:f>IF(AND(R$10&lt;=$E23,R$10+4&gt;=$D23,R$11&gt;0),1,0)</x:f>
        <x:v>0</x:v>
      </x:c>
      <x:c r="S23" s="35" t="n">
        <x:f>IF(AND(S$10&lt;=$E23,S$10+4&gt;=$D23,S$11&gt;0),1,0)</x:f>
        <x:v>0</x:v>
      </x:c>
      <x:c r="T23" s="35" t="n">
        <x:f>IF(AND(T$10&lt;=$E23,T$10+4&gt;=$D23,T$11&gt;0),1,0)</x:f>
        <x:v>0</x:v>
      </x:c>
      <x:c r="U23" s="35" t="n">
        <x:f>IF(AND(U$10&lt;=$E23,U$10+4&gt;=$D23,U$11&gt;0),1,0)</x:f>
        <x:v>0</x:v>
      </x:c>
      <x:c r="V23" s="35" t="n">
        <x:f>IF(AND(V$10&lt;=$E23,V$10+4&gt;=$D23,V$11&gt;0),1,0)</x:f>
        <x:v>0</x:v>
      </x:c>
      <x:c r="W23" s="35" t="n">
        <x:f>IF(AND(W$10&lt;=$E23,W$10+4&gt;=$D23,W$11&gt;0),1,0)</x:f>
        <x:v>0</x:v>
      </x:c>
      <x:c r="X23" s="35" t="n">
        <x:f>IF(AND(X$10&lt;=$E23,X$10+4&gt;=$D23,X$11&gt;0),1,0)</x:f>
        <x:v>0</x:v>
      </x:c>
    </x:row>
    <x:row r="24" ht="31" customHeight="1">
      <x:c r="A24" s="2" t="str">
        <x:v>P22</x:v>
      </x:c>
      <x:c r="B24" s="2" t="str">
        <x:v>QA feedback tuning / final candidate freeze</x:v>
      </x:c>
      <x:c r="C24" s="30" t="str">
        <x:v>DS</x:v>
      </x:c>
      <x:c r="D24" s="14" t="n">
        <x:f>MIN(INDEX('Task Plan'!$J$8:$J$157,MATCH("S11",'Task Plan'!$A$8:$A$157,0)),INDEX('Task Plan'!$J$8:$J$157,MATCH("S12",'Task Plan'!$A$8:$A$157,0)),INDEX('Task Plan'!$J$8:$J$157,MATCH("S13",'Task Plan'!$A$8:$A$157,0)),INDEX('Task Plan'!$J$8:$J$157,MATCH("S-FB10",'Task Plan'!$A$8:$A$157,0)),INDEX('Task Plan'!$J$8:$J$157,MATCH("S-FB11",'Task Plan'!$A$8:$A$157,0)))</x:f>
        <x:v>46384</x:v>
      </x:c>
      <x:c r="E24" s="14" t="n">
        <x:f>MAX(INDEX('Task Plan'!$K$8:$K$157,MATCH("S11",'Task Plan'!$A$8:$A$157,0)),INDEX('Task Plan'!$K$8:$K$157,MATCH("S12",'Task Plan'!$A$8:$A$157,0)),INDEX('Task Plan'!$K$8:$K$157,MATCH("S13",'Task Plan'!$A$8:$A$157,0)),INDEX('Task Plan'!$K$8:$K$157,MATCH("S-FB10",'Task Plan'!$A$8:$A$157,0)),INDEX('Task Plan'!$K$8:$K$157,MATCH("S-FB11",'Task Plan'!$A$8:$A$157,0)))</x:f>
        <x:v>46416</x:v>
      </x:c>
      <x:c r="F24" s="2"/>
      <x:c r="G24" s="35" t="n">
        <x:f>IF(AND(G$10&lt;=$E24,G$10+4&gt;=$D24,G$11&gt;0),1,0)</x:f>
        <x:v>0</x:v>
      </x:c>
      <x:c r="H24" s="35" t="n">
        <x:f>IF(AND(H$10&lt;=$E24,H$10+4&gt;=$D24,H$11&gt;0),1,0)</x:f>
        <x:v>0</x:v>
      </x:c>
      <x:c r="I24" s="35" t="n">
        <x:f>IF(AND(I$10&lt;=$E24,I$10+4&gt;=$D24,I$11&gt;0),1,0)</x:f>
        <x:v>0</x:v>
      </x:c>
      <x:c r="J24" s="35" t="n">
        <x:f>IF(AND(J$10&lt;=$E24,J$10+4&gt;=$D24,J$11&gt;0),1,0)</x:f>
        <x:v>0</x:v>
      </x:c>
      <x:c r="K24" s="35" t="n">
        <x:f>IF(AND(K$10&lt;=$E24,K$10+4&gt;=$D24,K$11&gt;0),1,0)</x:f>
        <x:v>0</x:v>
      </x:c>
      <x:c r="L24" s="35" t="n">
        <x:f>IF(AND(L$10&lt;=$E24,L$10+4&gt;=$D24,L$11&gt;0),1,0)</x:f>
        <x:v>0</x:v>
      </x:c>
      <x:c r="M24" s="35" t="n">
        <x:f>IF(AND(M$10&lt;=$E24,M$10+4&gt;=$D24,M$11&gt;0),1,0)</x:f>
        <x:v>0</x:v>
      </x:c>
      <x:c r="N24" s="35" t="n">
        <x:f>IF(AND(N$10&lt;=$E24,N$10+4&gt;=$D24,N$11&gt;0),1,0)</x:f>
        <x:v>0</x:v>
      </x:c>
      <x:c r="O24" s="35" t="n">
        <x:f>IF(AND(O$10&lt;=$E24,O$10+4&gt;=$D24,O$11&gt;0),1,0)</x:f>
        <x:v>1</x:v>
      </x:c>
      <x:c r="P24" s="35" t="n">
        <x:f>IF(AND(P$10&lt;=$E24,P$10+4&gt;=$D24,P$11&gt;0),1,0)</x:f>
        <x:v>1</x:v>
      </x:c>
      <x:c r="Q24" s="35" t="n">
        <x:f>IF(AND(Q$10&lt;=$E24,Q$10+4&gt;=$D24,Q$11&gt;0),1,0)</x:f>
        <x:v>1</x:v>
      </x:c>
      <x:c r="R24" s="35" t="n">
        <x:f>IF(AND(R$10&lt;=$E24,R$10+4&gt;=$D24,R$11&gt;0),1,0)</x:f>
        <x:v>1</x:v>
      </x:c>
      <x:c r="S24" s="35" t="n">
        <x:f>IF(AND(S$10&lt;=$E24,S$10+4&gt;=$D24,S$11&gt;0),1,0)</x:f>
        <x:v>1</x:v>
      </x:c>
      <x:c r="T24" s="35" t="n">
        <x:f>IF(AND(T$10&lt;=$E24,T$10+4&gt;=$D24,T$11&gt;0),1,0)</x:f>
        <x:v>0</x:v>
      </x:c>
      <x:c r="U24" s="35" t="n">
        <x:f>IF(AND(U$10&lt;=$E24,U$10+4&gt;=$D24,U$11&gt;0),1,0)</x:f>
        <x:v>0</x:v>
      </x:c>
      <x:c r="V24" s="35" t="n">
        <x:f>IF(AND(V$10&lt;=$E24,V$10+4&gt;=$D24,V$11&gt;0),1,0)</x:f>
        <x:v>0</x:v>
      </x:c>
      <x:c r="W24" s="35" t="n">
        <x:f>IF(AND(W$10&lt;=$E24,W$10+4&gt;=$D24,W$11&gt;0),1,0)</x:f>
        <x:v>0</x:v>
      </x:c>
      <x:c r="X24" s="35" t="n">
        <x:f>IF(AND(X$10&lt;=$E24,X$10+4&gt;=$D24,X$11&gt;0),1,0)</x:f>
        <x:v>0</x:v>
      </x:c>
    </x:row>
    <x:row r="25" ht="31" customHeight="1">
      <x:c r="A25" s="2" t="str">
        <x:v>P13</x:v>
      </x:c>
      <x:c r="B25" s="2" t="str">
        <x:v>Technical QA: SIT, faults and regression</x:v>
      </x:c>
      <x:c r="C25" s="32" t="str">
        <x:v>Tester 1</x:v>
      </x:c>
      <x:c r="D25" s="14" t="n">
        <x:f>MIN(INDEX('Task Plan'!$J$8:$J$157,MATCH("Q08",'Task Plan'!$A$8:$A$157,0)),INDEX('Task Plan'!$J$8:$J$157,MATCH("Q09",'Task Plan'!$A$8:$A$157,0)),INDEX('Task Plan'!$J$8:$J$157,MATCH("Q10",'Task Plan'!$A$8:$A$157,0)),INDEX('Task Plan'!$J$8:$J$157,MATCH("Q11",'Task Plan'!$A$8:$A$157,0)),INDEX('Task Plan'!$J$8:$J$157,MATCH("Q12",'Task Plan'!$A$8:$A$157,0)),INDEX('Task Plan'!$J$8:$J$157,MATCH("Q13",'Task Plan'!$A$8:$A$157,0)),INDEX('Task Plan'!$J$8:$J$157,MATCH("Q-FB10",'Task Plan'!$A$8:$A$157,0)),INDEX('Task Plan'!$J$8:$J$157,MATCH("Q-FB11",'Task Plan'!$A$8:$A$157,0)))</x:f>
        <x:v>46363</x:v>
      </x:c>
      <x:c r="E25" s="14" t="n">
        <x:f>MAX(INDEX('Task Plan'!$K$8:$K$157,MATCH("Q08",'Task Plan'!$A$8:$A$157,0)),INDEX('Task Plan'!$K$8:$K$157,MATCH("Q09",'Task Plan'!$A$8:$A$157,0)),INDEX('Task Plan'!$K$8:$K$157,MATCH("Q10",'Task Plan'!$A$8:$A$157,0)),INDEX('Task Plan'!$K$8:$K$157,MATCH("Q11",'Task Plan'!$A$8:$A$157,0)),INDEX('Task Plan'!$K$8:$K$157,MATCH("Q12",'Task Plan'!$A$8:$A$157,0)),INDEX('Task Plan'!$K$8:$K$157,MATCH("Q13",'Task Plan'!$A$8:$A$157,0)),INDEX('Task Plan'!$K$8:$K$157,MATCH("Q-FB10",'Task Plan'!$A$8:$A$157,0)),INDEX('Task Plan'!$K$8:$K$157,MATCH("Q-FB11",'Task Plan'!$A$8:$A$157,0)))</x:f>
        <x:v>46416</x:v>
      </x:c>
      <x:c r="F25" s="2"/>
      <x:c r="G25" s="35" t="n">
        <x:f>IF(AND(G$10&lt;=$E25,G$10+4&gt;=$D25,G$11&gt;0),1,0)</x:f>
        <x:v>0</x:v>
      </x:c>
      <x:c r="H25" s="35" t="n">
        <x:f>IF(AND(H$10&lt;=$E25,H$10+4&gt;=$D25,H$11&gt;0),1,0)</x:f>
        <x:v>0</x:v>
      </x:c>
      <x:c r="I25" s="35" t="n">
        <x:f>IF(AND(I$10&lt;=$E25,I$10+4&gt;=$D25,I$11&gt;0),1,0)</x:f>
        <x:v>0</x:v>
      </x:c>
      <x:c r="J25" s="35" t="n">
        <x:f>IF(AND(J$10&lt;=$E25,J$10+4&gt;=$D25,J$11&gt;0),1,0)</x:f>
        <x:v>0</x:v>
      </x:c>
      <x:c r="K25" s="35" t="n">
        <x:f>IF(AND(K$10&lt;=$E25,K$10+4&gt;=$D25,K$11&gt;0),1,0)</x:f>
        <x:v>0</x:v>
      </x:c>
      <x:c r="L25" s="35" t="n">
        <x:f>IF(AND(L$10&lt;=$E25,L$10+4&gt;=$D25,L$11&gt;0),1,0)</x:f>
        <x:v>1</x:v>
      </x:c>
      <x:c r="M25" s="35" t="n">
        <x:f>IF(AND(M$10&lt;=$E25,M$10+4&gt;=$D25,M$11&gt;0),1,0)</x:f>
        <x:v>1</x:v>
      </x:c>
      <x:c r="N25" s="35" t="n">
        <x:f>IF(AND(N$10&lt;=$E25,N$10+4&gt;=$D25,N$11&gt;0),1,0)</x:f>
        <x:v>1</x:v>
      </x:c>
      <x:c r="O25" s="35" t="n">
        <x:f>IF(AND(O$10&lt;=$E25,O$10+4&gt;=$D25,O$11&gt;0),1,0)</x:f>
        <x:v>1</x:v>
      </x:c>
      <x:c r="P25" s="35" t="n">
        <x:f>IF(AND(P$10&lt;=$E25,P$10+4&gt;=$D25,P$11&gt;0),1,0)</x:f>
        <x:v>1</x:v>
      </x:c>
      <x:c r="Q25" s="35" t="n">
        <x:f>IF(AND(Q$10&lt;=$E25,Q$10+4&gt;=$D25,Q$11&gt;0),1,0)</x:f>
        <x:v>1</x:v>
      </x:c>
      <x:c r="R25" s="35" t="n">
        <x:f>IF(AND(R$10&lt;=$E25,R$10+4&gt;=$D25,R$11&gt;0),1,0)</x:f>
        <x:v>1</x:v>
      </x:c>
      <x:c r="S25" s="35" t="n">
        <x:f>IF(AND(S$10&lt;=$E25,S$10+4&gt;=$D25,S$11&gt;0),1,0)</x:f>
        <x:v>1</x:v>
      </x:c>
      <x:c r="T25" s="35" t="n">
        <x:f>IF(AND(T$10&lt;=$E25,T$10+4&gt;=$D25,T$11&gt;0),1,0)</x:f>
        <x:v>0</x:v>
      </x:c>
      <x:c r="U25" s="35" t="n">
        <x:f>IF(AND(U$10&lt;=$E25,U$10+4&gt;=$D25,U$11&gt;0),1,0)</x:f>
        <x:v>0</x:v>
      </x:c>
      <x:c r="V25" s="35" t="n">
        <x:f>IF(AND(V$10&lt;=$E25,V$10+4&gt;=$D25,V$11&gt;0),1,0)</x:f>
        <x:v>0</x:v>
      </x:c>
      <x:c r="W25" s="35" t="n">
        <x:f>IF(AND(W$10&lt;=$E25,W$10+4&gt;=$D25,W$11&gt;0),1,0)</x:f>
        <x:v>0</x:v>
      </x:c>
      <x:c r="X25" s="35" t="n">
        <x:f>IF(AND(X$10&lt;=$E25,X$10+4&gt;=$D25,X$11&gt;0),1,0)</x:f>
        <x:v>0</x:v>
      </x:c>
    </x:row>
    <x:row r="26" ht="31" customHeight="1">
      <x:c r="A26" s="2" t="str">
        <x:v>P18</x:v>
      </x:c>
      <x:c r="B26" s="2" t="str">
        <x:v>Business QA: SIT and default-Case journeys</x:v>
      </x:c>
      <x:c r="C26" s="34" t="str">
        <x:v>Tester 2</x:v>
      </x:c>
      <x:c r="D26" s="14" t="n">
        <x:f>MIN(INDEX('Task Plan'!$J$8:$J$157,MATCH("U08",'Task Plan'!$A$8:$A$157,0)),INDEX('Task Plan'!$J$8:$J$157,MATCH("U09",'Task Plan'!$A$8:$A$157,0)),INDEX('Task Plan'!$J$8:$J$157,MATCH("U10",'Task Plan'!$A$8:$A$157,0)),INDEX('Task Plan'!$J$8:$J$157,MATCH("U11",'Task Plan'!$A$8:$A$157,0)),INDEX('Task Plan'!$J$8:$J$157,MATCH("U12",'Task Plan'!$A$8:$A$157,0)),INDEX('Task Plan'!$J$8:$J$157,MATCH("U13",'Task Plan'!$A$8:$A$157,0)),INDEX('Task Plan'!$J$8:$J$157,MATCH("U-FB10",'Task Plan'!$A$8:$A$157,0)),INDEX('Task Plan'!$J$8:$J$157,MATCH("U-FB11",'Task Plan'!$A$8:$A$157,0)))</x:f>
        <x:v>46363</x:v>
      </x:c>
      <x:c r="E26" s="14" t="n">
        <x:f>MAX(INDEX('Task Plan'!$K$8:$K$157,MATCH("U08",'Task Plan'!$A$8:$A$157,0)),INDEX('Task Plan'!$K$8:$K$157,MATCH("U09",'Task Plan'!$A$8:$A$157,0)),INDEX('Task Plan'!$K$8:$K$157,MATCH("U10",'Task Plan'!$A$8:$A$157,0)),INDEX('Task Plan'!$K$8:$K$157,MATCH("U11",'Task Plan'!$A$8:$A$157,0)),INDEX('Task Plan'!$K$8:$K$157,MATCH("U12",'Task Plan'!$A$8:$A$157,0)),INDEX('Task Plan'!$K$8:$K$157,MATCH("U13",'Task Plan'!$A$8:$A$157,0)),INDEX('Task Plan'!$K$8:$K$157,MATCH("U-FB10",'Task Plan'!$A$8:$A$157,0)),INDEX('Task Plan'!$K$8:$K$157,MATCH("U-FB11",'Task Plan'!$A$8:$A$157,0)))</x:f>
        <x:v>46416</x:v>
      </x:c>
      <x:c r="F26" s="2"/>
      <x:c r="G26" s="35" t="n">
        <x:f>IF(AND(G$10&lt;=$E26,G$10+4&gt;=$D26,G$11&gt;0),1,0)</x:f>
        <x:v>0</x:v>
      </x:c>
      <x:c r="H26" s="35" t="n">
        <x:f>IF(AND(H$10&lt;=$E26,H$10+4&gt;=$D26,H$11&gt;0),1,0)</x:f>
        <x:v>0</x:v>
      </x:c>
      <x:c r="I26" s="35" t="n">
        <x:f>IF(AND(I$10&lt;=$E26,I$10+4&gt;=$D26,I$11&gt;0),1,0)</x:f>
        <x:v>0</x:v>
      </x:c>
      <x:c r="J26" s="35" t="n">
        <x:f>IF(AND(J$10&lt;=$E26,J$10+4&gt;=$D26,J$11&gt;0),1,0)</x:f>
        <x:v>0</x:v>
      </x:c>
      <x:c r="K26" s="35" t="n">
        <x:f>IF(AND(K$10&lt;=$E26,K$10+4&gt;=$D26,K$11&gt;0),1,0)</x:f>
        <x:v>0</x:v>
      </x:c>
      <x:c r="L26" s="35" t="n">
        <x:f>IF(AND(L$10&lt;=$E26,L$10+4&gt;=$D26,L$11&gt;0),1,0)</x:f>
        <x:v>1</x:v>
      </x:c>
      <x:c r="M26" s="35" t="n">
        <x:f>IF(AND(M$10&lt;=$E26,M$10+4&gt;=$D26,M$11&gt;0),1,0)</x:f>
        <x:v>1</x:v>
      </x:c>
      <x:c r="N26" s="35" t="n">
        <x:f>IF(AND(N$10&lt;=$E26,N$10+4&gt;=$D26,N$11&gt;0),1,0)</x:f>
        <x:v>1</x:v>
      </x:c>
      <x:c r="O26" s="35" t="n">
        <x:f>IF(AND(O$10&lt;=$E26,O$10+4&gt;=$D26,O$11&gt;0),1,0)</x:f>
        <x:v>1</x:v>
      </x:c>
      <x:c r="P26" s="35" t="n">
        <x:f>IF(AND(P$10&lt;=$E26,P$10+4&gt;=$D26,P$11&gt;0),1,0)</x:f>
        <x:v>1</x:v>
      </x:c>
      <x:c r="Q26" s="35" t="n">
        <x:f>IF(AND(Q$10&lt;=$E26,Q$10+4&gt;=$D26,Q$11&gt;0),1,0)</x:f>
        <x:v>1</x:v>
      </x:c>
      <x:c r="R26" s="35" t="n">
        <x:f>IF(AND(R$10&lt;=$E26,R$10+4&gt;=$D26,R$11&gt;0),1,0)</x:f>
        <x:v>1</x:v>
      </x:c>
      <x:c r="S26" s="35" t="n">
        <x:f>IF(AND(S$10&lt;=$E26,S$10+4&gt;=$D26,S$11&gt;0),1,0)</x:f>
        <x:v>1</x:v>
      </x:c>
      <x:c r="T26" s="35" t="n">
        <x:f>IF(AND(T$10&lt;=$E26,T$10+4&gt;=$D26,T$11&gt;0),1,0)</x:f>
        <x:v>0</x:v>
      </x:c>
      <x:c r="U26" s="35" t="n">
        <x:f>IF(AND(U$10&lt;=$E26,U$10+4&gt;=$D26,U$11&gt;0),1,0)</x:f>
        <x:v>0</x:v>
      </x:c>
      <x:c r="V26" s="35" t="n">
        <x:f>IF(AND(V$10&lt;=$E26,V$10+4&gt;=$D26,V$11&gt;0),1,0)</x:f>
        <x:v>0</x:v>
      </x:c>
      <x:c r="W26" s="35" t="n">
        <x:f>IF(AND(W$10&lt;=$E26,W$10+4&gt;=$D26,W$11&gt;0),1,0)</x:f>
        <x:v>0</x:v>
      </x:c>
      <x:c r="X26" s="35" t="n">
        <x:f>IF(AND(X$10&lt;=$E26,X$10+4&gt;=$D26,X$11&gt;0),1,0)</x:f>
        <x:v>0</x:v>
      </x:c>
    </x:row>
    <x:row r="27" ht="31" customHeight="1">
      <x:c r="A27" s="2" t="str">
        <x:v>P19</x:v>
      </x:c>
      <x:c r="B27" s="2" t="str">
        <x:v>AI scenario accuracy / final holdout</x:v>
      </x:c>
      <x:c r="C27" s="34" t="str">
        <x:v>Tester 2</x:v>
      </x:c>
      <x:c r="D27" s="14" t="n">
        <x:f>MIN(INDEX('Task Plan'!$J$8:$J$157,MATCH("U09",'Task Plan'!$A$8:$A$157,0)),INDEX('Task Plan'!$J$8:$J$157,MATCH("U10",'Task Plan'!$A$8:$A$157,0)),INDEX('Task Plan'!$J$8:$J$157,MATCH("U11",'Task Plan'!$A$8:$A$157,0)),INDEX('Task Plan'!$J$8:$J$157,MATCH("U12",'Task Plan'!$A$8:$A$157,0)),INDEX('Task Plan'!$J$8:$J$157,MATCH("U13",'Task Plan'!$A$8:$A$157,0)),INDEX('Task Plan'!$J$8:$J$157,MATCH("U-FB10",'Task Plan'!$A$8:$A$157,0)),INDEX('Task Plan'!$J$8:$J$157,MATCH("U-FB11",'Task Plan'!$A$8:$A$157,0)))</x:f>
        <x:v>46370</x:v>
      </x:c>
      <x:c r="E27" s="14" t="n">
        <x:f>MAX(INDEX('Task Plan'!$K$8:$K$157,MATCH("U09",'Task Plan'!$A$8:$A$157,0)),INDEX('Task Plan'!$K$8:$K$157,MATCH("U10",'Task Plan'!$A$8:$A$157,0)),INDEX('Task Plan'!$K$8:$K$157,MATCH("U11",'Task Plan'!$A$8:$A$157,0)),INDEX('Task Plan'!$K$8:$K$157,MATCH("U12",'Task Plan'!$A$8:$A$157,0)),INDEX('Task Plan'!$K$8:$K$157,MATCH("U13",'Task Plan'!$A$8:$A$157,0)),INDEX('Task Plan'!$K$8:$K$157,MATCH("U-FB10",'Task Plan'!$A$8:$A$157,0)),INDEX('Task Plan'!$K$8:$K$157,MATCH("U-FB11",'Task Plan'!$A$8:$A$157,0)))</x:f>
        <x:v>46416</x:v>
      </x:c>
      <x:c r="F27" s="2"/>
      <x:c r="G27" s="35" t="n">
        <x:f>IF(AND(G$10&lt;=$E27,G$10+4&gt;=$D27,G$11&gt;0),1,0)</x:f>
        <x:v>0</x:v>
      </x:c>
      <x:c r="H27" s="35" t="n">
        <x:f>IF(AND(H$10&lt;=$E27,H$10+4&gt;=$D27,H$11&gt;0),1,0)</x:f>
        <x:v>0</x:v>
      </x:c>
      <x:c r="I27" s="35" t="n">
        <x:f>IF(AND(I$10&lt;=$E27,I$10+4&gt;=$D27,I$11&gt;0),1,0)</x:f>
        <x:v>0</x:v>
      </x:c>
      <x:c r="J27" s="35" t="n">
        <x:f>IF(AND(J$10&lt;=$E27,J$10+4&gt;=$D27,J$11&gt;0),1,0)</x:f>
        <x:v>0</x:v>
      </x:c>
      <x:c r="K27" s="35" t="n">
        <x:f>IF(AND(K$10&lt;=$E27,K$10+4&gt;=$D27,K$11&gt;0),1,0)</x:f>
        <x:v>0</x:v>
      </x:c>
      <x:c r="L27" s="35" t="n">
        <x:f>IF(AND(L$10&lt;=$E27,L$10+4&gt;=$D27,L$11&gt;0),1,0)</x:f>
        <x:v>0</x:v>
      </x:c>
      <x:c r="M27" s="35" t="n">
        <x:f>IF(AND(M$10&lt;=$E27,M$10+4&gt;=$D27,M$11&gt;0),1,0)</x:f>
        <x:v>1</x:v>
      </x:c>
      <x:c r="N27" s="35" t="n">
        <x:f>IF(AND(N$10&lt;=$E27,N$10+4&gt;=$D27,N$11&gt;0),1,0)</x:f>
        <x:v>1</x:v>
      </x:c>
      <x:c r="O27" s="35" t="n">
        <x:f>IF(AND(O$10&lt;=$E27,O$10+4&gt;=$D27,O$11&gt;0),1,0)</x:f>
        <x:v>1</x:v>
      </x:c>
      <x:c r="P27" s="35" t="n">
        <x:f>IF(AND(P$10&lt;=$E27,P$10+4&gt;=$D27,P$11&gt;0),1,0)</x:f>
        <x:v>1</x:v>
      </x:c>
      <x:c r="Q27" s="35" t="n">
        <x:f>IF(AND(Q$10&lt;=$E27,Q$10+4&gt;=$D27,Q$11&gt;0),1,0)</x:f>
        <x:v>1</x:v>
      </x:c>
      <x:c r="R27" s="35" t="n">
        <x:f>IF(AND(R$10&lt;=$E27,R$10+4&gt;=$D27,R$11&gt;0),1,0)</x:f>
        <x:v>1</x:v>
      </x:c>
      <x:c r="S27" s="35" t="n">
        <x:f>IF(AND(S$10&lt;=$E27,S$10+4&gt;=$D27,S$11&gt;0),1,0)</x:f>
        <x:v>1</x:v>
      </x:c>
      <x:c r="T27" s="35" t="n">
        <x:f>IF(AND(T$10&lt;=$E27,T$10+4&gt;=$D27,T$11&gt;0),1,0)</x:f>
        <x:v>0</x:v>
      </x:c>
      <x:c r="U27" s="35" t="n">
        <x:f>IF(AND(U$10&lt;=$E27,U$10+4&gt;=$D27,U$11&gt;0),1,0)</x:f>
        <x:v>0</x:v>
      </x:c>
      <x:c r="V27" s="35" t="n">
        <x:f>IF(AND(V$10&lt;=$E27,V$10+4&gt;=$D27,V$11&gt;0),1,0)</x:f>
        <x:v>0</x:v>
      </x:c>
      <x:c r="W27" s="35" t="n">
        <x:f>IF(AND(W$10&lt;=$E27,W$10+4&gt;=$D27,W$11&gt;0),1,0)</x:f>
        <x:v>0</x:v>
      </x:c>
      <x:c r="X27" s="35" t="n">
        <x:f>IF(AND(X$10&lt;=$E27,X$10+4&gt;=$D27,X$11&gt;0),1,0)</x:f>
        <x:v>0</x:v>
      </x:c>
    </x:row>
    <x:row r="28" ht="31" customHeight="1">
      <x:c r="A28" s="2" t="str">
        <x:v>P14</x:v>
      </x:c>
      <x:c r="B28" s="2" t="str">
        <x:v>UAT scripts, data and environment deployment</x:v>
      </x:c>
      <x:c r="C28" s="20" t="str">
        <x:v>BA</x:v>
      </x:c>
      <x:c r="D28" s="14" t="n">
        <x:f>MIN(INDEX('Task Plan'!$J$8:$J$157,MATCH("BA12",'Task Plan'!$A$8:$A$157,0)),INDEX('Task Plan'!$J$8:$J$157,MATCH("BA13",'Task Plan'!$A$8:$A$157,0)),INDEX('Task Plan'!$J$8:$J$157,MATCH("BA14",'Task Plan'!$A$8:$A$157,0)),INDEX('Task Plan'!$J$8:$J$157,MATCH("F13",'Task Plan'!$A$8:$A$157,0)),INDEX('Task Plan'!$J$8:$J$157,MATCH("F14",'Task Plan'!$A$8:$A$157,0)),INDEX('Task Plan'!$J$8:$J$157,MATCH("BA-FB10",'Task Plan'!$A$8:$A$157,0)),INDEX('Task Plan'!$J$8:$J$157,MATCH("BA-FB11",'Task Plan'!$A$8:$A$157,0)))</x:f>
        <x:v>46391</x:v>
      </x:c>
      <x:c r="E28" s="14" t="n">
        <x:f>MAX(INDEX('Task Plan'!$K$8:$K$157,MATCH("BA12",'Task Plan'!$A$8:$A$157,0)),INDEX('Task Plan'!$K$8:$K$157,MATCH("BA13",'Task Plan'!$A$8:$A$157,0)),INDEX('Task Plan'!$K$8:$K$157,MATCH("BA14",'Task Plan'!$A$8:$A$157,0)),INDEX('Task Plan'!$K$8:$K$157,MATCH("F13",'Task Plan'!$A$8:$A$157,0)),INDEX('Task Plan'!$K$8:$K$157,MATCH("F14",'Task Plan'!$A$8:$A$157,0)),INDEX('Task Plan'!$K$8:$K$157,MATCH("BA-FB10",'Task Plan'!$A$8:$A$157,0)),INDEX('Task Plan'!$K$8:$K$157,MATCH("BA-FB11",'Task Plan'!$A$8:$A$157,0)))</x:f>
        <x:v>46420</x:v>
      </x:c>
      <x:c r="F28" s="2"/>
      <x:c r="G28" s="35" t="n">
        <x:f>IF(AND(G$10&lt;=$E28,G$10+4&gt;=$D28,G$11&gt;0),1,0)</x:f>
        <x:v>0</x:v>
      </x:c>
      <x:c r="H28" s="35" t="n">
        <x:f>IF(AND(H$10&lt;=$E28,H$10+4&gt;=$D28,H$11&gt;0),1,0)</x:f>
        <x:v>0</x:v>
      </x:c>
      <x:c r="I28" s="35" t="n">
        <x:f>IF(AND(I$10&lt;=$E28,I$10+4&gt;=$D28,I$11&gt;0),1,0)</x:f>
        <x:v>0</x:v>
      </x:c>
      <x:c r="J28" s="35" t="n">
        <x:f>IF(AND(J$10&lt;=$E28,J$10+4&gt;=$D28,J$11&gt;0),1,0)</x:f>
        <x:v>0</x:v>
      </x:c>
      <x:c r="K28" s="35" t="n">
        <x:f>IF(AND(K$10&lt;=$E28,K$10+4&gt;=$D28,K$11&gt;0),1,0)</x:f>
        <x:v>0</x:v>
      </x:c>
      <x:c r="L28" s="35" t="n">
        <x:f>IF(AND(L$10&lt;=$E28,L$10+4&gt;=$D28,L$11&gt;0),1,0)</x:f>
        <x:v>0</x:v>
      </x:c>
      <x:c r="M28" s="35" t="n">
        <x:f>IF(AND(M$10&lt;=$E28,M$10+4&gt;=$D28,M$11&gt;0),1,0)</x:f>
        <x:v>0</x:v>
      </x:c>
      <x:c r="N28" s="35" t="n">
        <x:f>IF(AND(N$10&lt;=$E28,N$10+4&gt;=$D28,N$11&gt;0),1,0)</x:f>
        <x:v>0</x:v>
      </x:c>
      <x:c r="O28" s="35" t="n">
        <x:f>IF(AND(O$10&lt;=$E28,O$10+4&gt;=$D28,O$11&gt;0),1,0)</x:f>
        <x:v>0</x:v>
      </x:c>
      <x:c r="P28" s="35" t="n">
        <x:f>IF(AND(P$10&lt;=$E28,P$10+4&gt;=$D28,P$11&gt;0),1,0)</x:f>
        <x:v>1</x:v>
      </x:c>
      <x:c r="Q28" s="35" t="n">
        <x:f>IF(AND(Q$10&lt;=$E28,Q$10+4&gt;=$D28,Q$11&gt;0),1,0)</x:f>
        <x:v>1</x:v>
      </x:c>
      <x:c r="R28" s="35" t="n">
        <x:f>IF(AND(R$10&lt;=$E28,R$10+4&gt;=$D28,R$11&gt;0),1,0)</x:f>
        <x:v>1</x:v>
      </x:c>
      <x:c r="S28" s="35" t="n">
        <x:f>IF(AND(S$10&lt;=$E28,S$10+4&gt;=$D28,S$11&gt;0),1,0)</x:f>
        <x:v>1</x:v>
      </x:c>
      <x:c r="T28" s="35" t="n">
        <x:f>IF(AND(T$10&lt;=$E28,T$10+4&gt;=$D28,T$11&gt;0),1,0)</x:f>
        <x:v>1</x:v>
      </x:c>
      <x:c r="U28" s="35" t="n">
        <x:f>IF(AND(U$10&lt;=$E28,U$10+4&gt;=$D28,U$11&gt;0),1,0)</x:f>
        <x:v>0</x:v>
      </x:c>
      <x:c r="V28" s="35" t="n">
        <x:f>IF(AND(V$10&lt;=$E28,V$10+4&gt;=$D28,V$11&gt;0),1,0)</x:f>
        <x:v>0</x:v>
      </x:c>
      <x:c r="W28" s="35" t="n">
        <x:f>IF(AND(W$10&lt;=$E28,W$10+4&gt;=$D28,W$11&gt;0),1,0)</x:f>
        <x:v>0</x:v>
      </x:c>
      <x:c r="X28" s="35" t="n">
        <x:f>IF(AND(X$10&lt;=$E28,X$10+4&gt;=$D28,X$11&gt;0),1,0)</x:f>
        <x:v>0</x:v>
      </x:c>
    </x:row>
    <x:row r="29" ht="31" customHeight="1">
      <x:c r="A29" s="2" t="str">
        <x:v>P15</x:v>
      </x:c>
      <x:c r="B29" s="2" t="str">
        <x:v>UAT smoke / pre-holiday readiness checkpoint</x:v>
      </x:c>
      <x:c r="C29" s="26" t="str">
        <x:v>Dev 2</x:v>
      </x:c>
      <x:c r="D29" s="14" t="n">
        <x:f>MIN(INDEX('Task Plan'!$J$8:$J$157,MATCH("A14",'Task Plan'!$A$8:$A$157,0)),INDEX('Task Plan'!$J$8:$J$157,MATCH("B14",'Task Plan'!$A$8:$A$157,0)),INDEX('Task Plan'!$J$8:$J$157,MATCH("S14",'Task Plan'!$A$8:$A$157,0)),INDEX('Task Plan'!$J$8:$J$157,MATCH("Q14",'Task Plan'!$A$8:$A$157,0)),INDEX('Task Plan'!$J$8:$J$157,MATCH("U14",'Task Plan'!$A$8:$A$157,0)),INDEX('Task Plan'!$J$8:$J$157,MATCH("BA14",'Task Plan'!$A$8:$A$157,0)),INDEX('Task Plan'!$J$8:$J$157,MATCH("F14",'Task Plan'!$A$8:$A$157,0)))</x:f>
        <x:v>46419</x:v>
      </x:c>
      <x:c r="E29" s="14" t="n">
        <x:f>MAX(INDEX('Task Plan'!$K$8:$K$157,MATCH("A14",'Task Plan'!$A$8:$A$157,0)),INDEX('Task Plan'!$K$8:$K$157,MATCH("B14",'Task Plan'!$A$8:$A$157,0)),INDEX('Task Plan'!$K$8:$K$157,MATCH("S14",'Task Plan'!$A$8:$A$157,0)),INDEX('Task Plan'!$K$8:$K$157,MATCH("Q14",'Task Plan'!$A$8:$A$157,0)),INDEX('Task Plan'!$K$8:$K$157,MATCH("U14",'Task Plan'!$A$8:$A$157,0)),INDEX('Task Plan'!$K$8:$K$157,MATCH("BA14",'Task Plan'!$A$8:$A$157,0)),INDEX('Task Plan'!$K$8:$K$157,MATCH("F14",'Task Plan'!$A$8:$A$157,0)))</x:f>
        <x:v>46420</x:v>
      </x:c>
      <x:c r="F29" s="2"/>
      <x:c r="G29" s="35" t="n">
        <x:f>IF(AND(G$10&lt;=$E29,G$10+4&gt;=$D29,G$11&gt;0),1,0)</x:f>
        <x:v>0</x:v>
      </x:c>
      <x:c r="H29" s="35" t="n">
        <x:f>IF(AND(H$10&lt;=$E29,H$10+4&gt;=$D29,H$11&gt;0),1,0)</x:f>
        <x:v>0</x:v>
      </x:c>
      <x:c r="I29" s="35" t="n">
        <x:f>IF(AND(I$10&lt;=$E29,I$10+4&gt;=$D29,I$11&gt;0),1,0)</x:f>
        <x:v>0</x:v>
      </x:c>
      <x:c r="J29" s="35" t="n">
        <x:f>IF(AND(J$10&lt;=$E29,J$10+4&gt;=$D29,J$11&gt;0),1,0)</x:f>
        <x:v>0</x:v>
      </x:c>
      <x:c r="K29" s="35" t="n">
        <x:f>IF(AND(K$10&lt;=$E29,K$10+4&gt;=$D29,K$11&gt;0),1,0)</x:f>
        <x:v>0</x:v>
      </x:c>
      <x:c r="L29" s="35" t="n">
        <x:f>IF(AND(L$10&lt;=$E29,L$10+4&gt;=$D29,L$11&gt;0),1,0)</x:f>
        <x:v>0</x:v>
      </x:c>
      <x:c r="M29" s="35" t="n">
        <x:f>IF(AND(M$10&lt;=$E29,M$10+4&gt;=$D29,M$11&gt;0),1,0)</x:f>
        <x:v>0</x:v>
      </x:c>
      <x:c r="N29" s="35" t="n">
        <x:f>IF(AND(N$10&lt;=$E29,N$10+4&gt;=$D29,N$11&gt;0),1,0)</x:f>
        <x:v>0</x:v>
      </x:c>
      <x:c r="O29" s="35" t="n">
        <x:f>IF(AND(O$10&lt;=$E29,O$10+4&gt;=$D29,O$11&gt;0),1,0)</x:f>
        <x:v>0</x:v>
      </x:c>
      <x:c r="P29" s="35" t="n">
        <x:f>IF(AND(P$10&lt;=$E29,P$10+4&gt;=$D29,P$11&gt;0),1,0)</x:f>
        <x:v>0</x:v>
      </x:c>
      <x:c r="Q29" s="35" t="n">
        <x:f>IF(AND(Q$10&lt;=$E29,Q$10+4&gt;=$D29,Q$11&gt;0),1,0)</x:f>
        <x:v>0</x:v>
      </x:c>
      <x:c r="R29" s="35" t="n">
        <x:f>IF(AND(R$10&lt;=$E29,R$10+4&gt;=$D29,R$11&gt;0),1,0)</x:f>
        <x:v>0</x:v>
      </x:c>
      <x:c r="S29" s="35" t="n">
        <x:f>IF(AND(S$10&lt;=$E29,S$10+4&gt;=$D29,S$11&gt;0),1,0)</x:f>
        <x:v>0</x:v>
      </x:c>
      <x:c r="T29" s="35" t="n">
        <x:f>IF(AND(T$10&lt;=$E29,T$10+4&gt;=$D29,T$11&gt;0),1,0)</x:f>
        <x:v>1</x:v>
      </x:c>
      <x:c r="U29" s="35" t="n">
        <x:f>IF(AND(U$10&lt;=$E29,U$10+4&gt;=$D29,U$11&gt;0),1,0)</x:f>
        <x:v>0</x:v>
      </x:c>
      <x:c r="V29" s="35" t="n">
        <x:f>IF(AND(V$10&lt;=$E29,V$10+4&gt;=$D29,V$11&gt;0),1,0)</x:f>
        <x:v>0</x:v>
      </x:c>
      <x:c r="W29" s="35" t="n">
        <x:f>IF(AND(W$10&lt;=$E29,W$10+4&gt;=$D29,W$11&gt;0),1,0)</x:f>
        <x:v>0</x:v>
      </x:c>
      <x:c r="X29" s="35" t="n">
        <x:f>IF(AND(X$10&lt;=$E29,X$10+4&gt;=$D29,X$11&gt;0),1,0)</x:f>
        <x:v>0</x:v>
      </x:c>
    </x:row>
    <x:row r="30" ht="31" customHeight="1">
      <x:c r="A30" s="2" t="str">
        <x:v>P16</x:v>
      </x:c>
      <x:c r="B30" s="2" t="str">
        <x:v>AM UAT coordination and business signoff</x:v>
      </x:c>
      <x:c r="C30" s="20" t="str">
        <x:v>BA</x:v>
      </x:c>
      <x:c r="D30" s="14" t="n">
        <x:f>MIN(INDEX('Task Plan'!$J$8:$J$157,MATCH("BA16",'Task Plan'!$A$8:$A$157,0)),INDEX('Task Plan'!$J$8:$J$157,MATCH("BA17",'Task Plan'!$A$8:$A$157,0)))</x:f>
        <x:v>46433</x:v>
      </x:c>
      <x:c r="E30" s="14" t="n">
        <x:f>MAX(INDEX('Task Plan'!$K$8:$K$157,MATCH("BA16",'Task Plan'!$A$8:$A$157,0)),INDEX('Task Plan'!$K$8:$K$157,MATCH("BA17",'Task Plan'!$A$8:$A$157,0)))</x:f>
        <x:v>46442</x:v>
      </x:c>
      <x:c r="F30" s="2"/>
      <x:c r="G30" s="35" t="n">
        <x:f>IF(AND(G$10&lt;=$E30,G$10+4&gt;=$D30,G$11&gt;0),1,0)</x:f>
        <x:v>0</x:v>
      </x:c>
      <x:c r="H30" s="35" t="n">
        <x:f>IF(AND(H$10&lt;=$E30,H$10+4&gt;=$D30,H$11&gt;0),1,0)</x:f>
        <x:v>0</x:v>
      </x:c>
      <x:c r="I30" s="35" t="n">
        <x:f>IF(AND(I$10&lt;=$E30,I$10+4&gt;=$D30,I$11&gt;0),1,0)</x:f>
        <x:v>0</x:v>
      </x:c>
      <x:c r="J30" s="35" t="n">
        <x:f>IF(AND(J$10&lt;=$E30,J$10+4&gt;=$D30,J$11&gt;0),1,0)</x:f>
        <x:v>0</x:v>
      </x:c>
      <x:c r="K30" s="35" t="n">
        <x:f>IF(AND(K$10&lt;=$E30,K$10+4&gt;=$D30,K$11&gt;0),1,0)</x:f>
        <x:v>0</x:v>
      </x:c>
      <x:c r="L30" s="35" t="n">
        <x:f>IF(AND(L$10&lt;=$E30,L$10+4&gt;=$D30,L$11&gt;0),1,0)</x:f>
        <x:v>0</x:v>
      </x:c>
      <x:c r="M30" s="35" t="n">
        <x:f>IF(AND(M$10&lt;=$E30,M$10+4&gt;=$D30,M$11&gt;0),1,0)</x:f>
        <x:v>0</x:v>
      </x:c>
      <x:c r="N30" s="35" t="n">
        <x:f>IF(AND(N$10&lt;=$E30,N$10+4&gt;=$D30,N$11&gt;0),1,0)</x:f>
        <x:v>0</x:v>
      </x:c>
      <x:c r="O30" s="35" t="n">
        <x:f>IF(AND(O$10&lt;=$E30,O$10+4&gt;=$D30,O$11&gt;0),1,0)</x:f>
        <x:v>0</x:v>
      </x:c>
      <x:c r="P30" s="35" t="n">
        <x:f>IF(AND(P$10&lt;=$E30,P$10+4&gt;=$D30,P$11&gt;0),1,0)</x:f>
        <x:v>0</x:v>
      </x:c>
      <x:c r="Q30" s="35" t="n">
        <x:f>IF(AND(Q$10&lt;=$E30,Q$10+4&gt;=$D30,Q$11&gt;0),1,0)</x:f>
        <x:v>0</x:v>
      </x:c>
      <x:c r="R30" s="35" t="n">
        <x:f>IF(AND(R$10&lt;=$E30,R$10+4&gt;=$D30,R$11&gt;0),1,0)</x:f>
        <x:v>0</x:v>
      </x:c>
      <x:c r="S30" s="35" t="n">
        <x:f>IF(AND(S$10&lt;=$E30,S$10+4&gt;=$D30,S$11&gt;0),1,0)</x:f>
        <x:v>0</x:v>
      </x:c>
      <x:c r="T30" s="35" t="n">
        <x:f>IF(AND(T$10&lt;=$E30,T$10+4&gt;=$D30,T$11&gt;0),1,0)</x:f>
        <x:v>0</x:v>
      </x:c>
      <x:c r="U30" s="35" t="n">
        <x:f>IF(AND(U$10&lt;=$E30,U$10+4&gt;=$D30,U$11&gt;0),1,0)</x:f>
        <x:v>0</x:v>
      </x:c>
      <x:c r="V30" s="35" t="n">
        <x:f>IF(AND(V$10&lt;=$E30,V$10+4&gt;=$D30,V$11&gt;0),1,0)</x:f>
        <x:v>1</x:v>
      </x:c>
      <x:c r="W30" s="35" t="n">
        <x:f>IF(AND(W$10&lt;=$E30,W$10+4&gt;=$D30,W$11&gt;0),1,0)</x:f>
        <x:v>1</x:v>
      </x:c>
      <x:c r="X30" s="35" t="n">
        <x:f>IF(AND(X$10&lt;=$E30,X$10+4&gt;=$D30,X$11&gt;0),1,0)</x:f>
        <x:v>0</x:v>
      </x:c>
    </x:row>
    <x:row r="31" ht="31" customHeight="1">
      <x:c r="A31" s="2" t="str">
        <x:v>P20</x:v>
      </x:c>
      <x:c r="B31" s="2" t="str">
        <x:v>UAT technical QA / full regression</x:v>
      </x:c>
      <x:c r="C31" s="32" t="str">
        <x:v>Tester 1</x:v>
      </x:c>
      <x:c r="D31" s="14" t="n">
        <x:f>MIN(INDEX('Task Plan'!$J$8:$J$157,MATCH("Q16",'Task Plan'!$A$8:$A$157,0)),INDEX('Task Plan'!$J$8:$J$157,MATCH("Q17",'Task Plan'!$A$8:$A$157,0)))</x:f>
        <x:v>46433</x:v>
      </x:c>
      <x:c r="E31" s="14" t="n">
        <x:f>MAX(INDEX('Task Plan'!$K$8:$K$157,MATCH("Q16",'Task Plan'!$A$8:$A$157,0)),INDEX('Task Plan'!$K$8:$K$157,MATCH("Q17",'Task Plan'!$A$8:$A$157,0)))</x:f>
        <x:v>46442</x:v>
      </x:c>
      <x:c r="F31" s="2"/>
      <x:c r="G31" s="35" t="n">
        <x:f>IF(AND(G$10&lt;=$E31,G$10+4&gt;=$D31,G$11&gt;0),1,0)</x:f>
        <x:v>0</x:v>
      </x:c>
      <x:c r="H31" s="35" t="n">
        <x:f>IF(AND(H$10&lt;=$E31,H$10+4&gt;=$D31,H$11&gt;0),1,0)</x:f>
        <x:v>0</x:v>
      </x:c>
      <x:c r="I31" s="35" t="n">
        <x:f>IF(AND(I$10&lt;=$E31,I$10+4&gt;=$D31,I$11&gt;0),1,0)</x:f>
        <x:v>0</x:v>
      </x:c>
      <x:c r="J31" s="35" t="n">
        <x:f>IF(AND(J$10&lt;=$E31,J$10+4&gt;=$D31,J$11&gt;0),1,0)</x:f>
        <x:v>0</x:v>
      </x:c>
      <x:c r="K31" s="35" t="n">
        <x:f>IF(AND(K$10&lt;=$E31,K$10+4&gt;=$D31,K$11&gt;0),1,0)</x:f>
        <x:v>0</x:v>
      </x:c>
      <x:c r="L31" s="35" t="n">
        <x:f>IF(AND(L$10&lt;=$E31,L$10+4&gt;=$D31,L$11&gt;0),1,0)</x:f>
        <x:v>0</x:v>
      </x:c>
      <x:c r="M31" s="35" t="n">
        <x:f>IF(AND(M$10&lt;=$E31,M$10+4&gt;=$D31,M$11&gt;0),1,0)</x:f>
        <x:v>0</x:v>
      </x:c>
      <x:c r="N31" s="35" t="n">
        <x:f>IF(AND(N$10&lt;=$E31,N$10+4&gt;=$D31,N$11&gt;0),1,0)</x:f>
        <x:v>0</x:v>
      </x:c>
      <x:c r="O31" s="35" t="n">
        <x:f>IF(AND(O$10&lt;=$E31,O$10+4&gt;=$D31,O$11&gt;0),1,0)</x:f>
        <x:v>0</x:v>
      </x:c>
      <x:c r="P31" s="35" t="n">
        <x:f>IF(AND(P$10&lt;=$E31,P$10+4&gt;=$D31,P$11&gt;0),1,0)</x:f>
        <x:v>0</x:v>
      </x:c>
      <x:c r="Q31" s="35" t="n">
        <x:f>IF(AND(Q$10&lt;=$E31,Q$10+4&gt;=$D31,Q$11&gt;0),1,0)</x:f>
        <x:v>0</x:v>
      </x:c>
      <x:c r="R31" s="35" t="n">
        <x:f>IF(AND(R$10&lt;=$E31,R$10+4&gt;=$D31,R$11&gt;0),1,0)</x:f>
        <x:v>0</x:v>
      </x:c>
      <x:c r="S31" s="35" t="n">
        <x:f>IF(AND(S$10&lt;=$E31,S$10+4&gt;=$D31,S$11&gt;0),1,0)</x:f>
        <x:v>0</x:v>
      </x:c>
      <x:c r="T31" s="35" t="n">
        <x:f>IF(AND(T$10&lt;=$E31,T$10+4&gt;=$D31,T$11&gt;0),1,0)</x:f>
        <x:v>0</x:v>
      </x:c>
      <x:c r="U31" s="35" t="n">
        <x:f>IF(AND(U$10&lt;=$E31,U$10+4&gt;=$D31,U$11&gt;0),1,0)</x:f>
        <x:v>0</x:v>
      </x:c>
      <x:c r="V31" s="35" t="n">
        <x:f>IF(AND(V$10&lt;=$E31,V$10+4&gt;=$D31,V$11&gt;0),1,0)</x:f>
        <x:v>1</x:v>
      </x:c>
      <x:c r="W31" s="35" t="n">
        <x:f>IF(AND(W$10&lt;=$E31,W$10+4&gt;=$D31,W$11&gt;0),1,0)</x:f>
        <x:v>1</x:v>
      </x:c>
      <x:c r="X31" s="35" t="n">
        <x:f>IF(AND(X$10&lt;=$E31,X$10+4&gt;=$D31,X$11&gt;0),1,0)</x:f>
        <x:v>0</x:v>
      </x:c>
    </x:row>
    <x:row r="32" ht="31" customHeight="1">
      <x:c r="A32" s="2" t="str">
        <x:v>P21</x:v>
      </x:c>
      <x:c r="B32" s="2" t="str">
        <x:v>UAT business QA / AI scenario retests</x:v>
      </x:c>
      <x:c r="C32" s="34" t="str">
        <x:v>Tester 2</x:v>
      </x:c>
      <x:c r="D32" s="14" t="n">
        <x:f>MIN(INDEX('Task Plan'!$J$8:$J$157,MATCH("U16",'Task Plan'!$A$8:$A$157,0)),INDEX('Task Plan'!$J$8:$J$157,MATCH("U17",'Task Plan'!$A$8:$A$157,0)))</x:f>
        <x:v>46433</x:v>
      </x:c>
      <x:c r="E32" s="14" t="n">
        <x:f>MAX(INDEX('Task Plan'!$K$8:$K$157,MATCH("U16",'Task Plan'!$A$8:$A$157,0)),INDEX('Task Plan'!$K$8:$K$157,MATCH("U17",'Task Plan'!$A$8:$A$157,0)))</x:f>
        <x:v>46442</x:v>
      </x:c>
      <x:c r="F32" s="2"/>
      <x:c r="G32" s="35" t="n">
        <x:f>IF(AND(G$10&lt;=$E32,G$10+4&gt;=$D32,G$11&gt;0),1,0)</x:f>
        <x:v>0</x:v>
      </x:c>
      <x:c r="H32" s="35" t="n">
        <x:f>IF(AND(H$10&lt;=$E32,H$10+4&gt;=$D32,H$11&gt;0),1,0)</x:f>
        <x:v>0</x:v>
      </x:c>
      <x:c r="I32" s="35" t="n">
        <x:f>IF(AND(I$10&lt;=$E32,I$10+4&gt;=$D32,I$11&gt;0),1,0)</x:f>
        <x:v>0</x:v>
      </x:c>
      <x:c r="J32" s="35" t="n">
        <x:f>IF(AND(J$10&lt;=$E32,J$10+4&gt;=$D32,J$11&gt;0),1,0)</x:f>
        <x:v>0</x:v>
      </x:c>
      <x:c r="K32" s="35" t="n">
        <x:f>IF(AND(K$10&lt;=$E32,K$10+4&gt;=$D32,K$11&gt;0),1,0)</x:f>
        <x:v>0</x:v>
      </x:c>
      <x:c r="L32" s="35" t="n">
        <x:f>IF(AND(L$10&lt;=$E32,L$10+4&gt;=$D32,L$11&gt;0),1,0)</x:f>
        <x:v>0</x:v>
      </x:c>
      <x:c r="M32" s="35" t="n">
        <x:f>IF(AND(M$10&lt;=$E32,M$10+4&gt;=$D32,M$11&gt;0),1,0)</x:f>
        <x:v>0</x:v>
      </x:c>
      <x:c r="N32" s="35" t="n">
        <x:f>IF(AND(N$10&lt;=$E32,N$10+4&gt;=$D32,N$11&gt;0),1,0)</x:f>
        <x:v>0</x:v>
      </x:c>
      <x:c r="O32" s="35" t="n">
        <x:f>IF(AND(O$10&lt;=$E32,O$10+4&gt;=$D32,O$11&gt;0),1,0)</x:f>
        <x:v>0</x:v>
      </x:c>
      <x:c r="P32" s="35" t="n">
        <x:f>IF(AND(P$10&lt;=$E32,P$10+4&gt;=$D32,P$11&gt;0),1,0)</x:f>
        <x:v>0</x:v>
      </x:c>
      <x:c r="Q32" s="35" t="n">
        <x:f>IF(AND(Q$10&lt;=$E32,Q$10+4&gt;=$D32,Q$11&gt;0),1,0)</x:f>
        <x:v>0</x:v>
      </x:c>
      <x:c r="R32" s="35" t="n">
        <x:f>IF(AND(R$10&lt;=$E32,R$10+4&gt;=$D32,R$11&gt;0),1,0)</x:f>
        <x:v>0</x:v>
      </x:c>
      <x:c r="S32" s="35" t="n">
        <x:f>IF(AND(S$10&lt;=$E32,S$10+4&gt;=$D32,S$11&gt;0),1,0)</x:f>
        <x:v>0</x:v>
      </x:c>
      <x:c r="T32" s="35" t="n">
        <x:f>IF(AND(T$10&lt;=$E32,T$10+4&gt;=$D32,T$11&gt;0),1,0)</x:f>
        <x:v>0</x:v>
      </x:c>
      <x:c r="U32" s="35" t="n">
        <x:f>IF(AND(U$10&lt;=$E32,U$10+4&gt;=$D32,U$11&gt;0),1,0)</x:f>
        <x:v>0</x:v>
      </x:c>
      <x:c r="V32" s="35" t="n">
        <x:f>IF(AND(V$10&lt;=$E32,V$10+4&gt;=$D32,V$11&gt;0),1,0)</x:f>
        <x:v>1</x:v>
      </x:c>
      <x:c r="W32" s="35" t="n">
        <x:f>IF(AND(W$10&lt;=$E32,W$10+4&gt;=$D32,W$11&gt;0),1,0)</x:f>
        <x:v>1</x:v>
      </x:c>
      <x:c r="X32" s="35" t="n">
        <x:f>IF(AND(X$10&lt;=$E32,X$10+4&gt;=$D32,X$11&gt;0),1,0)</x:f>
        <x:v>0</x:v>
      </x:c>
    </x:row>
    <x:row r="33" ht="31" customHeight="1">
      <x:c r="A33" s="2" t="str">
        <x:v>P23</x:v>
      </x:c>
      <x:c r="B33" s="2" t="str">
        <x:v>Go/No-Go Feb 25 / production Feb 26</x:v>
      </x:c>
      <x:c r="C33" s="26" t="str">
        <x:v>Dev 2</x:v>
      </x:c>
      <x:c r="D33" s="14" t="n">
        <x:f>MIN(INDEX('Task Plan'!$J$8:$J$157,MATCH("A-GATE",'Task Plan'!$A$8:$A$157,0)),INDEX('Task Plan'!$J$8:$J$157,MATCH("A-REL",'Task Plan'!$A$8:$A$157,0)))</x:f>
        <x:v>46443</x:v>
      </x:c>
      <x:c r="E33" s="14" t="n">
        <x:f>MAX(INDEX('Task Plan'!$K$8:$K$157,MATCH("A-GATE",'Task Plan'!$A$8:$A$157,0)),INDEX('Task Plan'!$K$8:$K$157,MATCH("A-REL",'Task Plan'!$A$8:$A$157,0)))</x:f>
        <x:v>46444</x:v>
      </x:c>
      <x:c r="F33" s="2"/>
      <x:c r="G33" s="35" t="n">
        <x:f>IF(AND(G$10&lt;=$E33,G$10+4&gt;=$D33,G$11&gt;0),1,0)</x:f>
        <x:v>0</x:v>
      </x:c>
      <x:c r="H33" s="35" t="n">
        <x:f>IF(AND(H$10&lt;=$E33,H$10+4&gt;=$D33,H$11&gt;0),1,0)</x:f>
        <x:v>0</x:v>
      </x:c>
      <x:c r="I33" s="35" t="n">
        <x:f>IF(AND(I$10&lt;=$E33,I$10+4&gt;=$D33,I$11&gt;0),1,0)</x:f>
        <x:v>0</x:v>
      </x:c>
      <x:c r="J33" s="35" t="n">
        <x:f>IF(AND(J$10&lt;=$E33,J$10+4&gt;=$D33,J$11&gt;0),1,0)</x:f>
        <x:v>0</x:v>
      </x:c>
      <x:c r="K33" s="35" t="n">
        <x:f>IF(AND(K$10&lt;=$E33,K$10+4&gt;=$D33,K$11&gt;0),1,0)</x:f>
        <x:v>0</x:v>
      </x:c>
      <x:c r="L33" s="35" t="n">
        <x:f>IF(AND(L$10&lt;=$E33,L$10+4&gt;=$D33,L$11&gt;0),1,0)</x:f>
        <x:v>0</x:v>
      </x:c>
      <x:c r="M33" s="35" t="n">
        <x:f>IF(AND(M$10&lt;=$E33,M$10+4&gt;=$D33,M$11&gt;0),1,0)</x:f>
        <x:v>0</x:v>
      </x:c>
      <x:c r="N33" s="35" t="n">
        <x:f>IF(AND(N$10&lt;=$E33,N$10+4&gt;=$D33,N$11&gt;0),1,0)</x:f>
        <x:v>0</x:v>
      </x:c>
      <x:c r="O33" s="35" t="n">
        <x:f>IF(AND(O$10&lt;=$E33,O$10+4&gt;=$D33,O$11&gt;0),1,0)</x:f>
        <x:v>0</x:v>
      </x:c>
      <x:c r="P33" s="35" t="n">
        <x:f>IF(AND(P$10&lt;=$E33,P$10+4&gt;=$D33,P$11&gt;0),1,0)</x:f>
        <x:v>0</x:v>
      </x:c>
      <x:c r="Q33" s="35" t="n">
        <x:f>IF(AND(Q$10&lt;=$E33,Q$10+4&gt;=$D33,Q$11&gt;0),1,0)</x:f>
        <x:v>0</x:v>
      </x:c>
      <x:c r="R33" s="35" t="n">
        <x:f>IF(AND(R$10&lt;=$E33,R$10+4&gt;=$D33,R$11&gt;0),1,0)</x:f>
        <x:v>0</x:v>
      </x:c>
      <x:c r="S33" s="35" t="n">
        <x:f>IF(AND(S$10&lt;=$E33,S$10+4&gt;=$D33,S$11&gt;0),1,0)</x:f>
        <x:v>0</x:v>
      </x:c>
      <x:c r="T33" s="35" t="n">
        <x:f>IF(AND(T$10&lt;=$E33,T$10+4&gt;=$D33,T$11&gt;0),1,0)</x:f>
        <x:v>0</x:v>
      </x:c>
      <x:c r="U33" s="35" t="n">
        <x:f>IF(AND(U$10&lt;=$E33,U$10+4&gt;=$D33,U$11&gt;0),1,0)</x:f>
        <x:v>0</x:v>
      </x:c>
      <x:c r="V33" s="35" t="n">
        <x:f>IF(AND(V$10&lt;=$E33,V$10+4&gt;=$D33,V$11&gt;0),1,0)</x:f>
        <x:v>0</x:v>
      </x:c>
      <x:c r="W33" s="35" t="n">
        <x:f>IF(AND(W$10&lt;=$E33,W$10+4&gt;=$D33,W$11&gt;0),1,0)</x:f>
        <x:v>1</x:v>
      </x:c>
      <x:c r="X33" s="35" t="n">
        <x:f>IF(AND(X$10&lt;=$E33,X$10+4&gt;=$D33,X$11&gt;0),1,0)</x:f>
        <x:v>0</x:v>
      </x:c>
    </x:row>
    <x:row r="34" ht="31" customHeight="1">
      <x:c r="A34" s="2" t="str">
        <x:v>P17</x:v>
      </x:c>
      <x:c r="B34" s="2" t="str">
        <x:v>Production hypercare and Mar 5 handover</x:v>
      </x:c>
      <x:c r="C34" s="26" t="str">
        <x:v>Dev 2</x:v>
      </x:c>
      <x:c r="D34" s="14" t="n">
        <x:f>MIN(INDEX('Task Plan'!$J$8:$J$157,MATCH("A18",'Task Plan'!$A$8:$A$157,0)),INDEX('Task Plan'!$J$8:$J$157,MATCH("B18",'Task Plan'!$A$8:$A$157,0)),INDEX('Task Plan'!$J$8:$J$157,MATCH("S18",'Task Plan'!$A$8:$A$157,0)),INDEX('Task Plan'!$J$8:$J$157,MATCH("Q18",'Task Plan'!$A$8:$A$157,0)),INDEX('Task Plan'!$J$8:$J$157,MATCH("U18",'Task Plan'!$A$8:$A$157,0)),INDEX('Task Plan'!$J$8:$J$157,MATCH("BA18",'Task Plan'!$A$8:$A$157,0)),INDEX('Task Plan'!$J$8:$J$157,MATCH("F18",'Task Plan'!$A$8:$A$157,0)))</x:f>
        <x:v>46447</x:v>
      </x:c>
      <x:c r="E34" s="14" t="n">
        <x:f>MAX(INDEX('Task Plan'!$K$8:$K$157,MATCH("A18",'Task Plan'!$A$8:$A$157,0)),INDEX('Task Plan'!$K$8:$K$157,MATCH("B18",'Task Plan'!$A$8:$A$157,0)),INDEX('Task Plan'!$K$8:$K$157,MATCH("S18",'Task Plan'!$A$8:$A$157,0)),INDEX('Task Plan'!$K$8:$K$157,MATCH("Q18",'Task Plan'!$A$8:$A$157,0)),INDEX('Task Plan'!$K$8:$K$157,MATCH("U18",'Task Plan'!$A$8:$A$157,0)),INDEX('Task Plan'!$K$8:$K$157,MATCH("BA18",'Task Plan'!$A$8:$A$157,0)),INDEX('Task Plan'!$K$8:$K$157,MATCH("F18",'Task Plan'!$A$8:$A$157,0)))</x:f>
        <x:v>46451</x:v>
      </x:c>
      <x:c r="F34" s="2"/>
      <x:c r="G34" s="35" t="n">
        <x:f>IF(AND(G$10&lt;=$E34,G$10+4&gt;=$D34,G$11&gt;0),1,0)</x:f>
        <x:v>0</x:v>
      </x:c>
      <x:c r="H34" s="35" t="n">
        <x:f>IF(AND(H$10&lt;=$E34,H$10+4&gt;=$D34,H$11&gt;0),1,0)</x:f>
        <x:v>0</x:v>
      </x:c>
      <x:c r="I34" s="35" t="n">
        <x:f>IF(AND(I$10&lt;=$E34,I$10+4&gt;=$D34,I$11&gt;0),1,0)</x:f>
        <x:v>0</x:v>
      </x:c>
      <x:c r="J34" s="35" t="n">
        <x:f>IF(AND(J$10&lt;=$E34,J$10+4&gt;=$D34,J$11&gt;0),1,0)</x:f>
        <x:v>0</x:v>
      </x:c>
      <x:c r="K34" s="35" t="n">
        <x:f>IF(AND(K$10&lt;=$E34,K$10+4&gt;=$D34,K$11&gt;0),1,0)</x:f>
        <x:v>0</x:v>
      </x:c>
      <x:c r="L34" s="35" t="n">
        <x:f>IF(AND(L$10&lt;=$E34,L$10+4&gt;=$D34,L$11&gt;0),1,0)</x:f>
        <x:v>0</x:v>
      </x:c>
      <x:c r="M34" s="35" t="n">
        <x:f>IF(AND(M$10&lt;=$E34,M$10+4&gt;=$D34,M$11&gt;0),1,0)</x:f>
        <x:v>0</x:v>
      </x:c>
      <x:c r="N34" s="35" t="n">
        <x:f>IF(AND(N$10&lt;=$E34,N$10+4&gt;=$D34,N$11&gt;0),1,0)</x:f>
        <x:v>0</x:v>
      </x:c>
      <x:c r="O34" s="35" t="n">
        <x:f>IF(AND(O$10&lt;=$E34,O$10+4&gt;=$D34,O$11&gt;0),1,0)</x:f>
        <x:v>0</x:v>
      </x:c>
      <x:c r="P34" s="35" t="n">
        <x:f>IF(AND(P$10&lt;=$E34,P$10+4&gt;=$D34,P$11&gt;0),1,0)</x:f>
        <x:v>0</x:v>
      </x:c>
      <x:c r="Q34" s="35" t="n">
        <x:f>IF(AND(Q$10&lt;=$E34,Q$10+4&gt;=$D34,Q$11&gt;0),1,0)</x:f>
        <x:v>0</x:v>
      </x:c>
      <x:c r="R34" s="35" t="n">
        <x:f>IF(AND(R$10&lt;=$E34,R$10+4&gt;=$D34,R$11&gt;0),1,0)</x:f>
        <x:v>0</x:v>
      </x:c>
      <x:c r="S34" s="35" t="n">
        <x:f>IF(AND(S$10&lt;=$E34,S$10+4&gt;=$D34,S$11&gt;0),1,0)</x:f>
        <x:v>0</x:v>
      </x:c>
      <x:c r="T34" s="35" t="n">
        <x:f>IF(AND(T$10&lt;=$E34,T$10+4&gt;=$D34,T$11&gt;0),1,0)</x:f>
        <x:v>0</x:v>
      </x:c>
      <x:c r="U34" s="35" t="n">
        <x:f>IF(AND(U$10&lt;=$E34,U$10+4&gt;=$D34,U$11&gt;0),1,0)</x:f>
        <x:v>0</x:v>
      </x:c>
      <x:c r="V34" s="35" t="n">
        <x:f>IF(AND(V$10&lt;=$E34,V$10+4&gt;=$D34,V$11&gt;0),1,0)</x:f>
        <x:v>0</x:v>
      </x:c>
      <x:c r="W34" s="35" t="n">
        <x:f>IF(AND(W$10&lt;=$E34,W$10+4&gt;=$D34,W$11&gt;0),1,0)</x:f>
        <x:v>0</x:v>
      </x:c>
      <x:c r="X34" s="35" t="n">
        <x:f>IF(AND(X$10&lt;=$E34,X$10+4&gt;=$D34,X$11&gt;0),1,0)</x:f>
        <x:v>1</x:v>
      </x:c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27" customHeight="1">
      <x:c r="A37" s="36" t="str">
        <x:v>Planned milestones: evidence and formal approvals remain pending</x:v>
      </x:c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</x:row>
    <x:row r="38" ht="36" customHeight="1">
      <x:c r="A38" s="13" t="str">
        <x:v>Gate</x:v>
      </x:c>
      <x:c r="B38" s="13" t="str">
        <x:v>Milestone</x:v>
      </x:c>
      <x:c r="C38" s="13" t="str">
        <x:v>Coordinator</x:v>
      </x:c>
      <x:c r="D38" s="13" t="str">
        <x:v>Planned date</x:v>
      </x:c>
      <x:c r="E38" s="13" t="str">
        <x:v>Evidence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</x:row>
    <x:row r="39" ht="30" customHeight="1">
      <x:c r="A39" s="2" t="str">
        <x:v>G01</x:v>
      </x:c>
      <x:c r="B39" s="2" t="str">
        <x:f>'Team and Gates'!B68</x:f>
        <x:v>FSD SIGNOFF</x:v>
      </x:c>
      <x:c r="C39" s="2" t="str">
        <x:f>'Team and Gates'!E68</x:f>
        <x:v>BA</x:v>
      </x:c>
      <x:c r="D39" s="14" t="n">
        <x:f>'Team and Gates'!D68</x:f>
        <x:v>46339</x:v>
      </x:c>
      <x:c r="E39" s="2" t="str">
        <x:f>'Team and Gates'!F68</x:f>
        <x:v>Not run</x:v>
      </x:c>
      <x:c r="F39" s="2"/>
      <x:c r="G39" s="35" t="n">
        <x:f>IF(AND($D39&gt;=G$10,$D39&lt;=G$10+4),1,0)</x:f>
        <x:v>0</x:v>
      </x:c>
      <x:c r="H39" s="35" t="n">
        <x:f>IF(AND($D39&gt;=H$10,$D39&lt;=H$10+4),1,0)</x:f>
        <x:v>1</x:v>
      </x:c>
      <x:c r="I39" s="35" t="n">
        <x:f>IF(AND($D39&gt;=I$10,$D39&lt;=I$10+4),1,0)</x:f>
        <x:v>0</x:v>
      </x:c>
      <x:c r="J39" s="35" t="n">
        <x:f>IF(AND($D39&gt;=J$10,$D39&lt;=J$10+4),1,0)</x:f>
        <x:v>0</x:v>
      </x:c>
      <x:c r="K39" s="35" t="n">
        <x:f>IF(AND($D39&gt;=K$10,$D39&lt;=K$10+4),1,0)</x:f>
        <x:v>0</x:v>
      </x:c>
      <x:c r="L39" s="35" t="n">
        <x:f>IF(AND($D39&gt;=L$10,$D39&lt;=L$10+4),1,0)</x:f>
        <x:v>0</x:v>
      </x:c>
      <x:c r="M39" s="35" t="n">
        <x:f>IF(AND($D39&gt;=M$10,$D39&lt;=M$10+4),1,0)</x:f>
        <x:v>0</x:v>
      </x:c>
      <x:c r="N39" s="35" t="n">
        <x:f>IF(AND($D39&gt;=N$10,$D39&lt;=N$10+4),1,0)</x:f>
        <x:v>0</x:v>
      </x:c>
      <x:c r="O39" s="35" t="n">
        <x:f>IF(AND($D39&gt;=O$10,$D39&lt;=O$10+4),1,0)</x:f>
        <x:v>0</x:v>
      </x:c>
      <x:c r="P39" s="35" t="n">
        <x:f>IF(AND($D39&gt;=P$10,$D39&lt;=P$10+4),1,0)</x:f>
        <x:v>0</x:v>
      </x:c>
      <x:c r="Q39" s="35" t="n">
        <x:f>IF(AND($D39&gt;=Q$10,$D39&lt;=Q$10+4),1,0)</x:f>
        <x:v>0</x:v>
      </x:c>
      <x:c r="R39" s="35" t="n">
        <x:f>IF(AND($D39&gt;=R$10,$D39&lt;=R$10+4),1,0)</x:f>
        <x:v>0</x:v>
      </x:c>
      <x:c r="S39" s="35" t="n">
        <x:f>IF(AND($D39&gt;=S$10,$D39&lt;=S$10+4),1,0)</x:f>
        <x:v>0</x:v>
      </x:c>
      <x:c r="T39" s="35" t="n">
        <x:f>IF(AND($D39&gt;=T$10,$D39&lt;=T$10+4),1,0)</x:f>
        <x:v>0</x:v>
      </x:c>
      <x:c r="U39" s="35" t="n">
        <x:f>IF(AND($D39&gt;=U$10,$D39&lt;=U$10+4),1,0)</x:f>
        <x:v>0</x:v>
      </x:c>
      <x:c r="V39" s="35" t="n">
        <x:f>IF(AND($D39&gt;=V$10,$D39&lt;=V$10+4),1,0)</x:f>
        <x:v>0</x:v>
      </x:c>
      <x:c r="W39" s="35" t="n">
        <x:f>IF(AND($D39&gt;=W$10,$D39&lt;=W$10+4),1,0)</x:f>
        <x:v>0</x:v>
      </x:c>
      <x:c r="X39" s="35" t="n">
        <x:f>IF(AND($D39&gt;=X$10,$D39&lt;=X$10+4),1,0)</x:f>
        <x:v>0</x:v>
      </x:c>
    </x:row>
    <x:row r="40" ht="30" customHeight="1">
      <x:c r="A40" s="2" t="str">
        <x:v>G02</x:v>
      </x:c>
      <x:c r="B40" s="2" t="str">
        <x:f>'Team and Gates'!B69</x:f>
        <x:v>GitHub Actions / test environment ready</x:v>
      </x:c>
      <x:c r="C40" s="2" t="str">
        <x:f>'Team and Gates'!E69</x:f>
        <x:v>Dev 2</x:v>
      </x:c>
      <x:c r="D40" s="14" t="n">
        <x:f>'Team and Gates'!D69</x:f>
        <x:v>46346</x:v>
      </x:c>
      <x:c r="E40" s="2" t="str">
        <x:f>'Team and Gates'!F69</x:f>
        <x:v>Not run</x:v>
      </x:c>
      <x:c r="F40" s="2"/>
      <x:c r="G40" s="35" t="n">
        <x:f>IF(AND($D40&gt;=G$10,$D40&lt;=G$10+4),1,0)</x:f>
        <x:v>0</x:v>
      </x:c>
      <x:c r="H40" s="35" t="n">
        <x:f>IF(AND($D40&gt;=H$10,$D40&lt;=H$10+4),1,0)</x:f>
        <x:v>0</x:v>
      </x:c>
      <x:c r="I40" s="35" t="n">
        <x:f>IF(AND($D40&gt;=I$10,$D40&lt;=I$10+4),1,0)</x:f>
        <x:v>1</x:v>
      </x:c>
      <x:c r="J40" s="35" t="n">
        <x:f>IF(AND($D40&gt;=J$10,$D40&lt;=J$10+4),1,0)</x:f>
        <x:v>0</x:v>
      </x:c>
      <x:c r="K40" s="35" t="n">
        <x:f>IF(AND($D40&gt;=K$10,$D40&lt;=K$10+4),1,0)</x:f>
        <x:v>0</x:v>
      </x:c>
      <x:c r="L40" s="35" t="n">
        <x:f>IF(AND($D40&gt;=L$10,$D40&lt;=L$10+4),1,0)</x:f>
        <x:v>0</x:v>
      </x:c>
      <x:c r="M40" s="35" t="n">
        <x:f>IF(AND($D40&gt;=M$10,$D40&lt;=M$10+4),1,0)</x:f>
        <x:v>0</x:v>
      </x:c>
      <x:c r="N40" s="35" t="n">
        <x:f>IF(AND($D40&gt;=N$10,$D40&lt;=N$10+4),1,0)</x:f>
        <x:v>0</x:v>
      </x:c>
      <x:c r="O40" s="35" t="n">
        <x:f>IF(AND($D40&gt;=O$10,$D40&lt;=O$10+4),1,0)</x:f>
        <x:v>0</x:v>
      </x:c>
      <x:c r="P40" s="35" t="n">
        <x:f>IF(AND($D40&gt;=P$10,$D40&lt;=P$10+4),1,0)</x:f>
        <x:v>0</x:v>
      </x:c>
      <x:c r="Q40" s="35" t="n">
        <x:f>IF(AND($D40&gt;=Q$10,$D40&lt;=Q$10+4),1,0)</x:f>
        <x:v>0</x:v>
      </x:c>
      <x:c r="R40" s="35" t="n">
        <x:f>IF(AND($D40&gt;=R$10,$D40&lt;=R$10+4),1,0)</x:f>
        <x:v>0</x:v>
      </x:c>
      <x:c r="S40" s="35" t="n">
        <x:f>IF(AND($D40&gt;=S$10,$D40&lt;=S$10+4),1,0)</x:f>
        <x:v>0</x:v>
      </x:c>
      <x:c r="T40" s="35" t="n">
        <x:f>IF(AND($D40&gt;=T$10,$D40&lt;=T$10+4),1,0)</x:f>
        <x:v>0</x:v>
      </x:c>
      <x:c r="U40" s="35" t="n">
        <x:f>IF(AND($D40&gt;=U$10,$D40&lt;=U$10+4),1,0)</x:f>
        <x:v>0</x:v>
      </x:c>
      <x:c r="V40" s="35" t="n">
        <x:f>IF(AND($D40&gt;=V$10,$D40&lt;=V$10+4),1,0)</x:f>
        <x:v>0</x:v>
      </x:c>
      <x:c r="W40" s="35" t="n">
        <x:f>IF(AND($D40&gt;=W$10,$D40&lt;=W$10+4),1,0)</x:f>
        <x:v>0</x:v>
      </x:c>
      <x:c r="X40" s="35" t="n">
        <x:f>IF(AND($D40&gt;=X$10,$D40&lt;=X$10+4),1,0)</x:f>
        <x:v>0</x:v>
      </x:c>
    </x:row>
    <x:row r="41" ht="30" customHeight="1">
      <x:c r="A41" s="2" t="str">
        <x:v>G03</x:v>
      </x:c>
      <x:c r="B41" s="2" t="str">
        <x:f>'Team and Gates'!B70</x:f>
        <x:v>UI/UX design SIGNOFF</x:v>
      </x:c>
      <x:c r="C41" s="2" t="str">
        <x:f>'Team and Gates'!E70</x:f>
        <x:v>UI/UX</x:v>
      </x:c>
      <x:c r="D41" s="14" t="n">
        <x:f>'Team and Gates'!D70</x:f>
        <x:v>46339</x:v>
      </x:c>
      <x:c r="E41" s="2" t="str">
        <x:f>'Team and Gates'!F70</x:f>
        <x:v>Not run</x:v>
      </x:c>
      <x:c r="F41" s="2"/>
      <x:c r="G41" s="35" t="n">
        <x:f>IF(AND($D41&gt;=G$10,$D41&lt;=G$10+4),1,0)</x:f>
        <x:v>0</x:v>
      </x:c>
      <x:c r="H41" s="35" t="n">
        <x:f>IF(AND($D41&gt;=H$10,$D41&lt;=H$10+4),1,0)</x:f>
        <x:v>1</x:v>
      </x:c>
      <x:c r="I41" s="35" t="n">
        <x:f>IF(AND($D41&gt;=I$10,$D41&lt;=I$10+4),1,0)</x:f>
        <x:v>0</x:v>
      </x:c>
      <x:c r="J41" s="35" t="n">
        <x:f>IF(AND($D41&gt;=J$10,$D41&lt;=J$10+4),1,0)</x:f>
        <x:v>0</x:v>
      </x:c>
      <x:c r="K41" s="35" t="n">
        <x:f>IF(AND($D41&gt;=K$10,$D41&lt;=K$10+4),1,0)</x:f>
        <x:v>0</x:v>
      </x:c>
      <x:c r="L41" s="35" t="n">
        <x:f>IF(AND($D41&gt;=L$10,$D41&lt;=L$10+4),1,0)</x:f>
        <x:v>0</x:v>
      </x:c>
      <x:c r="M41" s="35" t="n">
        <x:f>IF(AND($D41&gt;=M$10,$D41&lt;=M$10+4),1,0)</x:f>
        <x:v>0</x:v>
      </x:c>
      <x:c r="N41" s="35" t="n">
        <x:f>IF(AND($D41&gt;=N$10,$D41&lt;=N$10+4),1,0)</x:f>
        <x:v>0</x:v>
      </x:c>
      <x:c r="O41" s="35" t="n">
        <x:f>IF(AND($D41&gt;=O$10,$D41&lt;=O$10+4),1,0)</x:f>
        <x:v>0</x:v>
      </x:c>
      <x:c r="P41" s="35" t="n">
        <x:f>IF(AND($D41&gt;=P$10,$D41&lt;=P$10+4),1,0)</x:f>
        <x:v>0</x:v>
      </x:c>
      <x:c r="Q41" s="35" t="n">
        <x:f>IF(AND($D41&gt;=Q$10,$D41&lt;=Q$10+4),1,0)</x:f>
        <x:v>0</x:v>
      </x:c>
      <x:c r="R41" s="35" t="n">
        <x:f>IF(AND($D41&gt;=R$10,$D41&lt;=R$10+4),1,0)</x:f>
        <x:v>0</x:v>
      </x:c>
      <x:c r="S41" s="35" t="n">
        <x:f>IF(AND($D41&gt;=S$10,$D41&lt;=S$10+4),1,0)</x:f>
        <x:v>0</x:v>
      </x:c>
      <x:c r="T41" s="35" t="n">
        <x:f>IF(AND($D41&gt;=T$10,$D41&lt;=T$10+4),1,0)</x:f>
        <x:v>0</x:v>
      </x:c>
      <x:c r="U41" s="35" t="n">
        <x:f>IF(AND($D41&gt;=U$10,$D41&lt;=U$10+4),1,0)</x:f>
        <x:v>0</x:v>
      </x:c>
      <x:c r="V41" s="35" t="n">
        <x:f>IF(AND($D41&gt;=V$10,$D41&lt;=V$10+4),1,0)</x:f>
        <x:v>0</x:v>
      </x:c>
      <x:c r="W41" s="35" t="n">
        <x:f>IF(AND($D41&gt;=W$10,$D41&lt;=W$10+4),1,0)</x:f>
        <x:v>0</x:v>
      </x:c>
      <x:c r="X41" s="35" t="n">
        <x:f>IF(AND($D41&gt;=X$10,$D41&lt;=X$10+4),1,0)</x:f>
        <x:v>0</x:v>
      </x:c>
    </x:row>
    <x:row r="42" ht="30" customHeight="1">
      <x:c r="A42" s="2" t="str">
        <x:v>G04</x:v>
      </x:c>
      <x:c r="B42" s="2" t="str">
        <x:f>'Team and Gates'!B71</x:f>
        <x:v>Feature complete / SIT entry ready</x:v>
      </x:c>
      <x:c r="C42" s="2" t="str">
        <x:f>'Team and Gates'!E71</x:f>
        <x:v>Dev 1</x:v>
      </x:c>
      <x:c r="D42" s="14" t="n">
        <x:f>'Team and Gates'!D71</x:f>
        <x:v>46360</x:v>
      </x:c>
      <x:c r="E42" s="2" t="str">
        <x:f>'Team and Gates'!F71</x:f>
        <x:v>Not run</x:v>
      </x:c>
      <x:c r="F42" s="2"/>
      <x:c r="G42" s="35" t="n">
        <x:f>IF(AND($D42&gt;=G$10,$D42&lt;=G$10+4),1,0)</x:f>
        <x:v>0</x:v>
      </x:c>
      <x:c r="H42" s="35" t="n">
        <x:f>IF(AND($D42&gt;=H$10,$D42&lt;=H$10+4),1,0)</x:f>
        <x:v>0</x:v>
      </x:c>
      <x:c r="I42" s="35" t="n">
        <x:f>IF(AND($D42&gt;=I$10,$D42&lt;=I$10+4),1,0)</x:f>
        <x:v>0</x:v>
      </x:c>
      <x:c r="J42" s="35" t="n">
        <x:f>IF(AND($D42&gt;=J$10,$D42&lt;=J$10+4),1,0)</x:f>
        <x:v>0</x:v>
      </x:c>
      <x:c r="K42" s="35" t="n">
        <x:f>IF(AND($D42&gt;=K$10,$D42&lt;=K$10+4),1,0)</x:f>
        <x:v>1</x:v>
      </x:c>
      <x:c r="L42" s="35" t="n">
        <x:f>IF(AND($D42&gt;=L$10,$D42&lt;=L$10+4),1,0)</x:f>
        <x:v>0</x:v>
      </x:c>
      <x:c r="M42" s="35" t="n">
        <x:f>IF(AND($D42&gt;=M$10,$D42&lt;=M$10+4),1,0)</x:f>
        <x:v>0</x:v>
      </x:c>
      <x:c r="N42" s="35" t="n">
        <x:f>IF(AND($D42&gt;=N$10,$D42&lt;=N$10+4),1,0)</x:f>
        <x:v>0</x:v>
      </x:c>
      <x:c r="O42" s="35" t="n">
        <x:f>IF(AND($D42&gt;=O$10,$D42&lt;=O$10+4),1,0)</x:f>
        <x:v>0</x:v>
      </x:c>
      <x:c r="P42" s="35" t="n">
        <x:f>IF(AND($D42&gt;=P$10,$D42&lt;=P$10+4),1,0)</x:f>
        <x:v>0</x:v>
      </x:c>
      <x:c r="Q42" s="35" t="n">
        <x:f>IF(AND($D42&gt;=Q$10,$D42&lt;=Q$10+4),1,0)</x:f>
        <x:v>0</x:v>
      </x:c>
      <x:c r="R42" s="35" t="n">
        <x:f>IF(AND($D42&gt;=R$10,$D42&lt;=R$10+4),1,0)</x:f>
        <x:v>0</x:v>
      </x:c>
      <x:c r="S42" s="35" t="n">
        <x:f>IF(AND($D42&gt;=S$10,$D42&lt;=S$10+4),1,0)</x:f>
        <x:v>0</x:v>
      </x:c>
      <x:c r="T42" s="35" t="n">
        <x:f>IF(AND($D42&gt;=T$10,$D42&lt;=T$10+4),1,0)</x:f>
        <x:v>0</x:v>
      </x:c>
      <x:c r="U42" s="35" t="n">
        <x:f>IF(AND($D42&gt;=U$10,$D42&lt;=U$10+4),1,0)</x:f>
        <x:v>0</x:v>
      </x:c>
      <x:c r="V42" s="35" t="n">
        <x:f>IF(AND($D42&gt;=V$10,$D42&lt;=V$10+4),1,0)</x:f>
        <x:v>0</x:v>
      </x:c>
      <x:c r="W42" s="35" t="n">
        <x:f>IF(AND($D42&gt;=W$10,$D42&lt;=W$10+4),1,0)</x:f>
        <x:v>0</x:v>
      </x:c>
      <x:c r="X42" s="35" t="n">
        <x:f>IF(AND($D42&gt;=X$10,$D42&lt;=X$10+4),1,0)</x:f>
        <x:v>0</x:v>
      </x:c>
    </x:row>
    <x:row r="43" ht="30" customHeight="1">
      <x:c r="A43" s="2" t="str">
        <x:v>G05</x:v>
      </x:c>
      <x:c r="B43" s="2" t="str">
        <x:f>'Team and Gates'!B72</x:f>
        <x:v>SIT START</x:v>
      </x:c>
      <x:c r="C43" s="2" t="str">
        <x:f>'Team and Gates'!E72</x:f>
        <x:v>Tester 1</x:v>
      </x:c>
      <x:c r="D43" s="14" t="n">
        <x:f>'Team and Gates'!D72</x:f>
        <x:v>46363</x:v>
      </x:c>
      <x:c r="E43" s="2" t="str">
        <x:f>'Team and Gates'!F72</x:f>
        <x:v>Not run</x:v>
      </x:c>
      <x:c r="F43" s="2"/>
      <x:c r="G43" s="35" t="n">
        <x:f>IF(AND($D43&gt;=G$10,$D43&lt;=G$10+4),1,0)</x:f>
        <x:v>0</x:v>
      </x:c>
      <x:c r="H43" s="35" t="n">
        <x:f>IF(AND($D43&gt;=H$10,$D43&lt;=H$10+4),1,0)</x:f>
        <x:v>0</x:v>
      </x:c>
      <x:c r="I43" s="35" t="n">
        <x:f>IF(AND($D43&gt;=I$10,$D43&lt;=I$10+4),1,0)</x:f>
        <x:v>0</x:v>
      </x:c>
      <x:c r="J43" s="35" t="n">
        <x:f>IF(AND($D43&gt;=J$10,$D43&lt;=J$10+4),1,0)</x:f>
        <x:v>0</x:v>
      </x:c>
      <x:c r="K43" s="35" t="n">
        <x:f>IF(AND($D43&gt;=K$10,$D43&lt;=K$10+4),1,0)</x:f>
        <x:v>0</x:v>
      </x:c>
      <x:c r="L43" s="35" t="n">
        <x:f>IF(AND($D43&gt;=L$10,$D43&lt;=L$10+4),1,0)</x:f>
        <x:v>1</x:v>
      </x:c>
      <x:c r="M43" s="35" t="n">
        <x:f>IF(AND($D43&gt;=M$10,$D43&lt;=M$10+4),1,0)</x:f>
        <x:v>0</x:v>
      </x:c>
      <x:c r="N43" s="35" t="n">
        <x:f>IF(AND($D43&gt;=N$10,$D43&lt;=N$10+4),1,0)</x:f>
        <x:v>0</x:v>
      </x:c>
      <x:c r="O43" s="35" t="n">
        <x:f>IF(AND($D43&gt;=O$10,$D43&lt;=O$10+4),1,0)</x:f>
        <x:v>0</x:v>
      </x:c>
      <x:c r="P43" s="35" t="n">
        <x:f>IF(AND($D43&gt;=P$10,$D43&lt;=P$10+4),1,0)</x:f>
        <x:v>0</x:v>
      </x:c>
      <x:c r="Q43" s="35" t="n">
        <x:f>IF(AND($D43&gt;=Q$10,$D43&lt;=Q$10+4),1,0)</x:f>
        <x:v>0</x:v>
      </x:c>
      <x:c r="R43" s="35" t="n">
        <x:f>IF(AND($D43&gt;=R$10,$D43&lt;=R$10+4),1,0)</x:f>
        <x:v>0</x:v>
      </x:c>
      <x:c r="S43" s="35" t="n">
        <x:f>IF(AND($D43&gt;=S$10,$D43&lt;=S$10+4),1,0)</x:f>
        <x:v>0</x:v>
      </x:c>
      <x:c r="T43" s="35" t="n">
        <x:f>IF(AND($D43&gt;=T$10,$D43&lt;=T$10+4),1,0)</x:f>
        <x:v>0</x:v>
      </x:c>
      <x:c r="U43" s="35" t="n">
        <x:f>IF(AND($D43&gt;=U$10,$D43&lt;=U$10+4),1,0)</x:f>
        <x:v>0</x:v>
      </x:c>
      <x:c r="V43" s="35" t="n">
        <x:f>IF(AND($D43&gt;=V$10,$D43&lt;=V$10+4),1,0)</x:f>
        <x:v>0</x:v>
      </x:c>
      <x:c r="W43" s="35" t="n">
        <x:f>IF(AND($D43&gt;=W$10,$D43&lt;=W$10+4),1,0)</x:f>
        <x:v>0</x:v>
      </x:c>
      <x:c r="X43" s="35" t="n">
        <x:f>IF(AND($D43&gt;=X$10,$D43&lt;=X$10+4),1,0)</x:f>
        <x:v>0</x:v>
      </x:c>
    </x:row>
    <x:row r="44" ht="30" customHeight="1">
      <x:c r="A44" s="2" t="str">
        <x:v>G06</x:v>
      </x:c>
      <x:c r="B44" s="2" t="str">
        <x:f>'Team and Gates'!B73</x:f>
        <x:v>SIT SIGNOFF</x:v>
      </x:c>
      <x:c r="C44" s="2" t="str">
        <x:f>'Team and Gates'!E73</x:f>
        <x:v>Tester 1</x:v>
      </x:c>
      <x:c r="D44" s="14" t="n">
        <x:f>'Team and Gates'!D73</x:f>
        <x:v>46416</x:v>
      </x:c>
      <x:c r="E44" s="2" t="str">
        <x:f>'Team and Gates'!F73</x:f>
        <x:v>Not run</x:v>
      </x:c>
      <x:c r="F44" s="2"/>
      <x:c r="G44" s="35" t="n">
        <x:f>IF(AND($D44&gt;=G$10,$D44&lt;=G$10+4),1,0)</x:f>
        <x:v>0</x:v>
      </x:c>
      <x:c r="H44" s="35" t="n">
        <x:f>IF(AND($D44&gt;=H$10,$D44&lt;=H$10+4),1,0)</x:f>
        <x:v>0</x:v>
      </x:c>
      <x:c r="I44" s="35" t="n">
        <x:f>IF(AND($D44&gt;=I$10,$D44&lt;=I$10+4),1,0)</x:f>
        <x:v>0</x:v>
      </x:c>
      <x:c r="J44" s="35" t="n">
        <x:f>IF(AND($D44&gt;=J$10,$D44&lt;=J$10+4),1,0)</x:f>
        <x:v>0</x:v>
      </x:c>
      <x:c r="K44" s="35" t="n">
        <x:f>IF(AND($D44&gt;=K$10,$D44&lt;=K$10+4),1,0)</x:f>
        <x:v>0</x:v>
      </x:c>
      <x:c r="L44" s="35" t="n">
        <x:f>IF(AND($D44&gt;=L$10,$D44&lt;=L$10+4),1,0)</x:f>
        <x:v>0</x:v>
      </x:c>
      <x:c r="M44" s="35" t="n">
        <x:f>IF(AND($D44&gt;=M$10,$D44&lt;=M$10+4),1,0)</x:f>
        <x:v>0</x:v>
      </x:c>
      <x:c r="N44" s="35" t="n">
        <x:f>IF(AND($D44&gt;=N$10,$D44&lt;=N$10+4),1,0)</x:f>
        <x:v>0</x:v>
      </x:c>
      <x:c r="O44" s="35" t="n">
        <x:f>IF(AND($D44&gt;=O$10,$D44&lt;=O$10+4),1,0)</x:f>
        <x:v>0</x:v>
      </x:c>
      <x:c r="P44" s="35" t="n">
        <x:f>IF(AND($D44&gt;=P$10,$D44&lt;=P$10+4),1,0)</x:f>
        <x:v>0</x:v>
      </x:c>
      <x:c r="Q44" s="35" t="n">
        <x:f>IF(AND($D44&gt;=Q$10,$D44&lt;=Q$10+4),1,0)</x:f>
        <x:v>0</x:v>
      </x:c>
      <x:c r="R44" s="35" t="n">
        <x:f>IF(AND($D44&gt;=R$10,$D44&lt;=R$10+4),1,0)</x:f>
        <x:v>0</x:v>
      </x:c>
      <x:c r="S44" s="35" t="n">
        <x:f>IF(AND($D44&gt;=S$10,$D44&lt;=S$10+4),1,0)</x:f>
        <x:v>1</x:v>
      </x:c>
      <x:c r="T44" s="35" t="n">
        <x:f>IF(AND($D44&gt;=T$10,$D44&lt;=T$10+4),1,0)</x:f>
        <x:v>0</x:v>
      </x:c>
      <x:c r="U44" s="35" t="n">
        <x:f>IF(AND($D44&gt;=U$10,$D44&lt;=U$10+4),1,0)</x:f>
        <x:v>0</x:v>
      </x:c>
      <x:c r="V44" s="35" t="n">
        <x:f>IF(AND($D44&gt;=V$10,$D44&lt;=V$10+4),1,0)</x:f>
        <x:v>0</x:v>
      </x:c>
      <x:c r="W44" s="35" t="n">
        <x:f>IF(AND($D44&gt;=W$10,$D44&lt;=W$10+4),1,0)</x:f>
        <x:v>0</x:v>
      </x:c>
      <x:c r="X44" s="35" t="n">
        <x:f>IF(AND($D44&gt;=X$10,$D44&lt;=X$10+4),1,0)</x:f>
        <x:v>0</x:v>
      </x:c>
    </x:row>
    <x:row r="45" ht="30" customHeight="1">
      <x:c r="A45" s="2" t="str">
        <x:v>G07</x:v>
      </x:c>
      <x:c r="B45" s="2" t="str">
        <x:f>'Team and Gates'!B74</x:f>
        <x:v>UAT environment READY / smoke passed</x:v>
      </x:c>
      <x:c r="C45" s="2" t="str">
        <x:f>'Team and Gates'!E74</x:f>
        <x:v>Dev 2</x:v>
      </x:c>
      <x:c r="D45" s="14" t="n">
        <x:f>'Team and Gates'!D74</x:f>
        <x:v>46420</x:v>
      </x:c>
      <x:c r="E45" s="2" t="str">
        <x:f>'Team and Gates'!F74</x:f>
        <x:v>Not run</x:v>
      </x:c>
      <x:c r="F45" s="2"/>
      <x:c r="G45" s="35" t="n">
        <x:f>IF(AND($D45&gt;=G$10,$D45&lt;=G$10+4),1,0)</x:f>
        <x:v>0</x:v>
      </x:c>
      <x:c r="H45" s="35" t="n">
        <x:f>IF(AND($D45&gt;=H$10,$D45&lt;=H$10+4),1,0)</x:f>
        <x:v>0</x:v>
      </x:c>
      <x:c r="I45" s="35" t="n">
        <x:f>IF(AND($D45&gt;=I$10,$D45&lt;=I$10+4),1,0)</x:f>
        <x:v>0</x:v>
      </x:c>
      <x:c r="J45" s="35" t="n">
        <x:f>IF(AND($D45&gt;=J$10,$D45&lt;=J$10+4),1,0)</x:f>
        <x:v>0</x:v>
      </x:c>
      <x:c r="K45" s="35" t="n">
        <x:f>IF(AND($D45&gt;=K$10,$D45&lt;=K$10+4),1,0)</x:f>
        <x:v>0</x:v>
      </x:c>
      <x:c r="L45" s="35" t="n">
        <x:f>IF(AND($D45&gt;=L$10,$D45&lt;=L$10+4),1,0)</x:f>
        <x:v>0</x:v>
      </x:c>
      <x:c r="M45" s="35" t="n">
        <x:f>IF(AND($D45&gt;=M$10,$D45&lt;=M$10+4),1,0)</x:f>
        <x:v>0</x:v>
      </x:c>
      <x:c r="N45" s="35" t="n">
        <x:f>IF(AND($D45&gt;=N$10,$D45&lt;=N$10+4),1,0)</x:f>
        <x:v>0</x:v>
      </x:c>
      <x:c r="O45" s="35" t="n">
        <x:f>IF(AND($D45&gt;=O$10,$D45&lt;=O$10+4),1,0)</x:f>
        <x:v>0</x:v>
      </x:c>
      <x:c r="P45" s="35" t="n">
        <x:f>IF(AND($D45&gt;=P$10,$D45&lt;=P$10+4),1,0)</x:f>
        <x:v>0</x:v>
      </x:c>
      <x:c r="Q45" s="35" t="n">
        <x:f>IF(AND($D45&gt;=Q$10,$D45&lt;=Q$10+4),1,0)</x:f>
        <x:v>0</x:v>
      </x:c>
      <x:c r="R45" s="35" t="n">
        <x:f>IF(AND($D45&gt;=R$10,$D45&lt;=R$10+4),1,0)</x:f>
        <x:v>0</x:v>
      </x:c>
      <x:c r="S45" s="35" t="n">
        <x:f>IF(AND($D45&gt;=S$10,$D45&lt;=S$10+4),1,0)</x:f>
        <x:v>0</x:v>
      </x:c>
      <x:c r="T45" s="35" t="n">
        <x:f>IF(AND($D45&gt;=T$10,$D45&lt;=T$10+4),1,0)</x:f>
        <x:v>1</x:v>
      </x:c>
      <x:c r="U45" s="35" t="n">
        <x:f>IF(AND($D45&gt;=U$10,$D45&lt;=U$10+4),1,0)</x:f>
        <x:v>0</x:v>
      </x:c>
      <x:c r="V45" s="35" t="n">
        <x:f>IF(AND($D45&gt;=V$10,$D45&lt;=V$10+4),1,0)</x:f>
        <x:v>0</x:v>
      </x:c>
      <x:c r="W45" s="35" t="n">
        <x:f>IF(AND($D45&gt;=W$10,$D45&lt;=W$10+4),1,0)</x:f>
        <x:v>0</x:v>
      </x:c>
      <x:c r="X45" s="35" t="n">
        <x:f>IF(AND($D45&gt;=X$10,$D45&lt;=X$10+4),1,0)</x:f>
        <x:v>0</x:v>
      </x:c>
    </x:row>
    <x:row r="46" ht="30" customHeight="1">
      <x:c r="A46" s="2" t="str">
        <x:v>G08</x:v>
      </x:c>
      <x:c r="B46" s="2" t="str">
        <x:f>'Team and Gates'!B75</x:f>
        <x:v>UAT START</x:v>
      </x:c>
      <x:c r="C46" s="2" t="str">
        <x:f>'Team and Gates'!E75</x:f>
        <x:v>BA</x:v>
      </x:c>
      <x:c r="D46" s="14" t="n">
        <x:f>'Team and Gates'!D75</x:f>
        <x:v>46433</x:v>
      </x:c>
      <x:c r="E46" s="2" t="str">
        <x:f>'Team and Gates'!F75</x:f>
        <x:v>Not run</x:v>
      </x:c>
      <x:c r="F46" s="2"/>
      <x:c r="G46" s="35" t="n">
        <x:f>IF(AND($D46&gt;=G$10,$D46&lt;=G$10+4),1,0)</x:f>
        <x:v>0</x:v>
      </x:c>
      <x:c r="H46" s="35" t="n">
        <x:f>IF(AND($D46&gt;=H$10,$D46&lt;=H$10+4),1,0)</x:f>
        <x:v>0</x:v>
      </x:c>
      <x:c r="I46" s="35" t="n">
        <x:f>IF(AND($D46&gt;=I$10,$D46&lt;=I$10+4),1,0)</x:f>
        <x:v>0</x:v>
      </x:c>
      <x:c r="J46" s="35" t="n">
        <x:f>IF(AND($D46&gt;=J$10,$D46&lt;=J$10+4),1,0)</x:f>
        <x:v>0</x:v>
      </x:c>
      <x:c r="K46" s="35" t="n">
        <x:f>IF(AND($D46&gt;=K$10,$D46&lt;=K$10+4),1,0)</x:f>
        <x:v>0</x:v>
      </x:c>
      <x:c r="L46" s="35" t="n">
        <x:f>IF(AND($D46&gt;=L$10,$D46&lt;=L$10+4),1,0)</x:f>
        <x:v>0</x:v>
      </x:c>
      <x:c r="M46" s="35" t="n">
        <x:f>IF(AND($D46&gt;=M$10,$D46&lt;=M$10+4),1,0)</x:f>
        <x:v>0</x:v>
      </x:c>
      <x:c r="N46" s="35" t="n">
        <x:f>IF(AND($D46&gt;=N$10,$D46&lt;=N$10+4),1,0)</x:f>
        <x:v>0</x:v>
      </x:c>
      <x:c r="O46" s="35" t="n">
        <x:f>IF(AND($D46&gt;=O$10,$D46&lt;=O$10+4),1,0)</x:f>
        <x:v>0</x:v>
      </x:c>
      <x:c r="P46" s="35" t="n">
        <x:f>IF(AND($D46&gt;=P$10,$D46&lt;=P$10+4),1,0)</x:f>
        <x:v>0</x:v>
      </x:c>
      <x:c r="Q46" s="35" t="n">
        <x:f>IF(AND($D46&gt;=Q$10,$D46&lt;=Q$10+4),1,0)</x:f>
        <x:v>0</x:v>
      </x:c>
      <x:c r="R46" s="35" t="n">
        <x:f>IF(AND($D46&gt;=R$10,$D46&lt;=R$10+4),1,0)</x:f>
        <x:v>0</x:v>
      </x:c>
      <x:c r="S46" s="35" t="n">
        <x:f>IF(AND($D46&gt;=S$10,$D46&lt;=S$10+4),1,0)</x:f>
        <x:v>0</x:v>
      </x:c>
      <x:c r="T46" s="35" t="n">
        <x:f>IF(AND($D46&gt;=T$10,$D46&lt;=T$10+4),1,0)</x:f>
        <x:v>0</x:v>
      </x:c>
      <x:c r="U46" s="35" t="n">
        <x:f>IF(AND($D46&gt;=U$10,$D46&lt;=U$10+4),1,0)</x:f>
        <x:v>0</x:v>
      </x:c>
      <x:c r="V46" s="35" t="n">
        <x:f>IF(AND($D46&gt;=V$10,$D46&lt;=V$10+4),1,0)</x:f>
        <x:v>1</x:v>
      </x:c>
      <x:c r="W46" s="35" t="n">
        <x:f>IF(AND($D46&gt;=W$10,$D46&lt;=W$10+4),1,0)</x:f>
        <x:v>0</x:v>
      </x:c>
      <x:c r="X46" s="35" t="n">
        <x:f>IF(AND($D46&gt;=X$10,$D46&lt;=X$10+4),1,0)</x:f>
        <x:v>0</x:v>
      </x:c>
    </x:row>
    <x:row r="47" ht="30" customHeight="1">
      <x:c r="A47" s="2" t="str">
        <x:v>G09</x:v>
      </x:c>
      <x:c r="B47" s="2" t="str">
        <x:f>'Team and Gates'!B76</x:f>
        <x:v>UAT SIGNOFF</x:v>
      </x:c>
      <x:c r="C47" s="2" t="str">
        <x:f>'Team and Gates'!E76</x:f>
        <x:v>BA</x:v>
      </x:c>
      <x:c r="D47" s="14" t="n">
        <x:f>'Team and Gates'!D76</x:f>
        <x:v>46442</x:v>
      </x:c>
      <x:c r="E47" s="2" t="str">
        <x:f>'Team and Gates'!F76</x:f>
        <x:v>Not run</x:v>
      </x:c>
      <x:c r="F47" s="2"/>
      <x:c r="G47" s="35" t="n">
        <x:f>IF(AND($D47&gt;=G$10,$D47&lt;=G$10+4),1,0)</x:f>
        <x:v>0</x:v>
      </x:c>
      <x:c r="H47" s="35" t="n">
        <x:f>IF(AND($D47&gt;=H$10,$D47&lt;=H$10+4),1,0)</x:f>
        <x:v>0</x:v>
      </x:c>
      <x:c r="I47" s="35" t="n">
        <x:f>IF(AND($D47&gt;=I$10,$D47&lt;=I$10+4),1,0)</x:f>
        <x:v>0</x:v>
      </x:c>
      <x:c r="J47" s="35" t="n">
        <x:f>IF(AND($D47&gt;=J$10,$D47&lt;=J$10+4),1,0)</x:f>
        <x:v>0</x:v>
      </x:c>
      <x:c r="K47" s="35" t="n">
        <x:f>IF(AND($D47&gt;=K$10,$D47&lt;=K$10+4),1,0)</x:f>
        <x:v>0</x:v>
      </x:c>
      <x:c r="L47" s="35" t="n">
        <x:f>IF(AND($D47&gt;=L$10,$D47&lt;=L$10+4),1,0)</x:f>
        <x:v>0</x:v>
      </x:c>
      <x:c r="M47" s="35" t="n">
        <x:f>IF(AND($D47&gt;=M$10,$D47&lt;=M$10+4),1,0)</x:f>
        <x:v>0</x:v>
      </x:c>
      <x:c r="N47" s="35" t="n">
        <x:f>IF(AND($D47&gt;=N$10,$D47&lt;=N$10+4),1,0)</x:f>
        <x:v>0</x:v>
      </x:c>
      <x:c r="O47" s="35" t="n">
        <x:f>IF(AND($D47&gt;=O$10,$D47&lt;=O$10+4),1,0)</x:f>
        <x:v>0</x:v>
      </x:c>
      <x:c r="P47" s="35" t="n">
        <x:f>IF(AND($D47&gt;=P$10,$D47&lt;=P$10+4),1,0)</x:f>
        <x:v>0</x:v>
      </x:c>
      <x:c r="Q47" s="35" t="n">
        <x:f>IF(AND($D47&gt;=Q$10,$D47&lt;=Q$10+4),1,0)</x:f>
        <x:v>0</x:v>
      </x:c>
      <x:c r="R47" s="35" t="n">
        <x:f>IF(AND($D47&gt;=R$10,$D47&lt;=R$10+4),1,0)</x:f>
        <x:v>0</x:v>
      </x:c>
      <x:c r="S47" s="35" t="n">
        <x:f>IF(AND($D47&gt;=S$10,$D47&lt;=S$10+4),1,0)</x:f>
        <x:v>0</x:v>
      </x:c>
      <x:c r="T47" s="35" t="n">
        <x:f>IF(AND($D47&gt;=T$10,$D47&lt;=T$10+4),1,0)</x:f>
        <x:v>0</x:v>
      </x:c>
      <x:c r="U47" s="35" t="n">
        <x:f>IF(AND($D47&gt;=U$10,$D47&lt;=U$10+4),1,0)</x:f>
        <x:v>0</x:v>
      </x:c>
      <x:c r="V47" s="35" t="n">
        <x:f>IF(AND($D47&gt;=V$10,$D47&lt;=V$10+4),1,0)</x:f>
        <x:v>0</x:v>
      </x:c>
      <x:c r="W47" s="35" t="n">
        <x:f>IF(AND($D47&gt;=W$10,$D47&lt;=W$10+4),1,0)</x:f>
        <x:v>1</x:v>
      </x:c>
      <x:c r="X47" s="35" t="n">
        <x:f>IF(AND($D47&gt;=X$10,$D47&lt;=X$10+4),1,0)</x:f>
        <x:v>0</x:v>
      </x:c>
    </x:row>
    <x:row r="48" ht="30" customHeight="1">
      <x:c r="A48" s="2" t="str">
        <x:v>G10</x:v>
      </x:c>
      <x:c r="B48" s="2" t="str">
        <x:f>'Team and Gates'!B77</x:f>
        <x:v>Release Go / No-Go</x:v>
      </x:c>
      <x:c r="C48" s="2" t="str">
        <x:f>'Team and Gates'!E77</x:f>
        <x:v>Dev 1</x:v>
      </x:c>
      <x:c r="D48" s="14" t="n">
        <x:f>'Team and Gates'!D77</x:f>
        <x:v>46443</x:v>
      </x:c>
      <x:c r="E48" s="2" t="str">
        <x:f>'Team and Gates'!F77</x:f>
        <x:v>Not run</x:v>
      </x:c>
      <x:c r="F48" s="2"/>
      <x:c r="G48" s="35" t="n">
        <x:f>IF(AND($D48&gt;=G$10,$D48&lt;=G$10+4),1,0)</x:f>
        <x:v>0</x:v>
      </x:c>
      <x:c r="H48" s="35" t="n">
        <x:f>IF(AND($D48&gt;=H$10,$D48&lt;=H$10+4),1,0)</x:f>
        <x:v>0</x:v>
      </x:c>
      <x:c r="I48" s="35" t="n">
        <x:f>IF(AND($D48&gt;=I$10,$D48&lt;=I$10+4),1,0)</x:f>
        <x:v>0</x:v>
      </x:c>
      <x:c r="J48" s="35" t="n">
        <x:f>IF(AND($D48&gt;=J$10,$D48&lt;=J$10+4),1,0)</x:f>
        <x:v>0</x:v>
      </x:c>
      <x:c r="K48" s="35" t="n">
        <x:f>IF(AND($D48&gt;=K$10,$D48&lt;=K$10+4),1,0)</x:f>
        <x:v>0</x:v>
      </x:c>
      <x:c r="L48" s="35" t="n">
        <x:f>IF(AND($D48&gt;=L$10,$D48&lt;=L$10+4),1,0)</x:f>
        <x:v>0</x:v>
      </x:c>
      <x:c r="M48" s="35" t="n">
        <x:f>IF(AND($D48&gt;=M$10,$D48&lt;=M$10+4),1,0)</x:f>
        <x:v>0</x:v>
      </x:c>
      <x:c r="N48" s="35" t="n">
        <x:f>IF(AND($D48&gt;=N$10,$D48&lt;=N$10+4),1,0)</x:f>
        <x:v>0</x:v>
      </x:c>
      <x:c r="O48" s="35" t="n">
        <x:f>IF(AND($D48&gt;=O$10,$D48&lt;=O$10+4),1,0)</x:f>
        <x:v>0</x:v>
      </x:c>
      <x:c r="P48" s="35" t="n">
        <x:f>IF(AND($D48&gt;=P$10,$D48&lt;=P$10+4),1,0)</x:f>
        <x:v>0</x:v>
      </x:c>
      <x:c r="Q48" s="35" t="n">
        <x:f>IF(AND($D48&gt;=Q$10,$D48&lt;=Q$10+4),1,0)</x:f>
        <x:v>0</x:v>
      </x:c>
      <x:c r="R48" s="35" t="n">
        <x:f>IF(AND($D48&gt;=R$10,$D48&lt;=R$10+4),1,0)</x:f>
        <x:v>0</x:v>
      </x:c>
      <x:c r="S48" s="35" t="n">
        <x:f>IF(AND($D48&gt;=S$10,$D48&lt;=S$10+4),1,0)</x:f>
        <x:v>0</x:v>
      </x:c>
      <x:c r="T48" s="35" t="n">
        <x:f>IF(AND($D48&gt;=T$10,$D48&lt;=T$10+4),1,0)</x:f>
        <x:v>0</x:v>
      </x:c>
      <x:c r="U48" s="35" t="n">
        <x:f>IF(AND($D48&gt;=U$10,$D48&lt;=U$10+4),1,0)</x:f>
        <x:v>0</x:v>
      </x:c>
      <x:c r="V48" s="35" t="n">
        <x:f>IF(AND($D48&gt;=V$10,$D48&lt;=V$10+4),1,0)</x:f>
        <x:v>0</x:v>
      </x:c>
      <x:c r="W48" s="35" t="n">
        <x:f>IF(AND($D48&gt;=W$10,$D48&lt;=W$10+4),1,0)</x:f>
        <x:v>1</x:v>
      </x:c>
      <x:c r="X48" s="35" t="n">
        <x:f>IF(AND($D48&gt;=X$10,$D48&lt;=X$10+4),1,0)</x:f>
        <x:v>0</x:v>
      </x:c>
    </x:row>
    <x:row r="49" ht="30" customHeight="1">
      <x:c r="A49" s="2" t="str">
        <x:v>G11</x:v>
      </x:c>
      <x:c r="B49" s="2" t="str">
        <x:f>'Team and Gates'!B78</x:f>
        <x:v>Production release</x:v>
      </x:c>
      <x:c r="C49" s="2" t="str">
        <x:f>'Team and Gates'!E78</x:f>
        <x:v>Dev 2</x:v>
      </x:c>
      <x:c r="D49" s="14" t="n">
        <x:f>'Team and Gates'!D78</x:f>
        <x:v>46444</x:v>
      </x:c>
      <x:c r="E49" s="2" t="str">
        <x:f>'Team and Gates'!F78</x:f>
        <x:v>Not run</x:v>
      </x:c>
      <x:c r="F49" s="2"/>
      <x:c r="G49" s="35" t="n">
        <x:f>IF(AND($D49&gt;=G$10,$D49&lt;=G$10+4),1,0)</x:f>
        <x:v>0</x:v>
      </x:c>
      <x:c r="H49" s="35" t="n">
        <x:f>IF(AND($D49&gt;=H$10,$D49&lt;=H$10+4),1,0)</x:f>
        <x:v>0</x:v>
      </x:c>
      <x:c r="I49" s="35" t="n">
        <x:f>IF(AND($D49&gt;=I$10,$D49&lt;=I$10+4),1,0)</x:f>
        <x:v>0</x:v>
      </x:c>
      <x:c r="J49" s="35" t="n">
        <x:f>IF(AND($D49&gt;=J$10,$D49&lt;=J$10+4),1,0)</x:f>
        <x:v>0</x:v>
      </x:c>
      <x:c r="K49" s="35" t="n">
        <x:f>IF(AND($D49&gt;=K$10,$D49&lt;=K$10+4),1,0)</x:f>
        <x:v>0</x:v>
      </x:c>
      <x:c r="L49" s="35" t="n">
        <x:f>IF(AND($D49&gt;=L$10,$D49&lt;=L$10+4),1,0)</x:f>
        <x:v>0</x:v>
      </x:c>
      <x:c r="M49" s="35" t="n">
        <x:f>IF(AND($D49&gt;=M$10,$D49&lt;=M$10+4),1,0)</x:f>
        <x:v>0</x:v>
      </x:c>
      <x:c r="N49" s="35" t="n">
        <x:f>IF(AND($D49&gt;=N$10,$D49&lt;=N$10+4),1,0)</x:f>
        <x:v>0</x:v>
      </x:c>
      <x:c r="O49" s="35" t="n">
        <x:f>IF(AND($D49&gt;=O$10,$D49&lt;=O$10+4),1,0)</x:f>
        <x:v>0</x:v>
      </x:c>
      <x:c r="P49" s="35" t="n">
        <x:f>IF(AND($D49&gt;=P$10,$D49&lt;=P$10+4),1,0)</x:f>
        <x:v>0</x:v>
      </x:c>
      <x:c r="Q49" s="35" t="n">
        <x:f>IF(AND($D49&gt;=Q$10,$D49&lt;=Q$10+4),1,0)</x:f>
        <x:v>0</x:v>
      </x:c>
      <x:c r="R49" s="35" t="n">
        <x:f>IF(AND($D49&gt;=R$10,$D49&lt;=R$10+4),1,0)</x:f>
        <x:v>0</x:v>
      </x:c>
      <x:c r="S49" s="35" t="n">
        <x:f>IF(AND($D49&gt;=S$10,$D49&lt;=S$10+4),1,0)</x:f>
        <x:v>0</x:v>
      </x:c>
      <x:c r="T49" s="35" t="n">
        <x:f>IF(AND($D49&gt;=T$10,$D49&lt;=T$10+4),1,0)</x:f>
        <x:v>0</x:v>
      </x:c>
      <x:c r="U49" s="35" t="n">
        <x:f>IF(AND($D49&gt;=U$10,$D49&lt;=U$10+4),1,0)</x:f>
        <x:v>0</x:v>
      </x:c>
      <x:c r="V49" s="35" t="n">
        <x:f>IF(AND($D49&gt;=V$10,$D49&lt;=V$10+4),1,0)</x:f>
        <x:v>0</x:v>
      </x:c>
      <x:c r="W49" s="35" t="n">
        <x:f>IF(AND($D49&gt;=W$10,$D49&lt;=W$10+4),1,0)</x:f>
        <x:v>1</x:v>
      </x:c>
      <x:c r="X49" s="35" t="n">
        <x:f>IF(AND($D49&gt;=X$10,$D49&lt;=X$10+4),1,0)</x:f>
        <x:v>0</x:v>
      </x:c>
    </x:row>
    <x:row r="50" ht="30" customHeight="1">
      <x:c r="A50" s="2" t="str">
        <x:v>G12</x:v>
      </x:c>
      <x:c r="B50" s="2" t="str">
        <x:f>'Team and Gates'!B79</x:f>
        <x:v>Hypercare / handover complete</x:v>
      </x:c>
      <x:c r="C50" s="2" t="str">
        <x:f>'Team and Gates'!E79</x:f>
        <x:v>BA</x:v>
      </x:c>
      <x:c r="D50" s="14" t="n">
        <x:f>'Team and Gates'!D79</x:f>
        <x:v>46451</x:v>
      </x:c>
      <x:c r="E50" s="2" t="str">
        <x:f>'Team and Gates'!F79</x:f>
        <x:v>Not run</x:v>
      </x:c>
      <x:c r="F50" s="2"/>
      <x:c r="G50" s="35" t="n">
        <x:f>IF(AND($D50&gt;=G$10,$D50&lt;=G$10+4),1,0)</x:f>
        <x:v>0</x:v>
      </x:c>
      <x:c r="H50" s="35" t="n">
        <x:f>IF(AND($D50&gt;=H$10,$D50&lt;=H$10+4),1,0)</x:f>
        <x:v>0</x:v>
      </x:c>
      <x:c r="I50" s="35" t="n">
        <x:f>IF(AND($D50&gt;=I$10,$D50&lt;=I$10+4),1,0)</x:f>
        <x:v>0</x:v>
      </x:c>
      <x:c r="J50" s="35" t="n">
        <x:f>IF(AND($D50&gt;=J$10,$D50&lt;=J$10+4),1,0)</x:f>
        <x:v>0</x:v>
      </x:c>
      <x:c r="K50" s="35" t="n">
        <x:f>IF(AND($D50&gt;=K$10,$D50&lt;=K$10+4),1,0)</x:f>
        <x:v>0</x:v>
      </x:c>
      <x:c r="L50" s="35" t="n">
        <x:f>IF(AND($D50&gt;=L$10,$D50&lt;=L$10+4),1,0)</x:f>
        <x:v>0</x:v>
      </x:c>
      <x:c r="M50" s="35" t="n">
        <x:f>IF(AND($D50&gt;=M$10,$D50&lt;=M$10+4),1,0)</x:f>
        <x:v>0</x:v>
      </x:c>
      <x:c r="N50" s="35" t="n">
        <x:f>IF(AND($D50&gt;=N$10,$D50&lt;=N$10+4),1,0)</x:f>
        <x:v>0</x:v>
      </x:c>
      <x:c r="O50" s="35" t="n">
        <x:f>IF(AND($D50&gt;=O$10,$D50&lt;=O$10+4),1,0)</x:f>
        <x:v>0</x:v>
      </x:c>
      <x:c r="P50" s="35" t="n">
        <x:f>IF(AND($D50&gt;=P$10,$D50&lt;=P$10+4),1,0)</x:f>
        <x:v>0</x:v>
      </x:c>
      <x:c r="Q50" s="35" t="n">
        <x:f>IF(AND($D50&gt;=Q$10,$D50&lt;=Q$10+4),1,0)</x:f>
        <x:v>0</x:v>
      </x:c>
      <x:c r="R50" s="35" t="n">
        <x:f>IF(AND($D50&gt;=R$10,$D50&lt;=R$10+4),1,0)</x:f>
        <x:v>0</x:v>
      </x:c>
      <x:c r="S50" s="35" t="n">
        <x:f>IF(AND($D50&gt;=S$10,$D50&lt;=S$10+4),1,0)</x:f>
        <x:v>0</x:v>
      </x:c>
      <x:c r="T50" s="35" t="n">
        <x:f>IF(AND($D50&gt;=T$10,$D50&lt;=T$10+4),1,0)</x:f>
        <x:v>0</x:v>
      </x:c>
      <x:c r="U50" s="35" t="n">
        <x:f>IF(AND($D50&gt;=U$10,$D50&lt;=U$10+4),1,0)</x:f>
        <x:v>0</x:v>
      </x:c>
      <x:c r="V50" s="35" t="n">
        <x:f>IF(AND($D50&gt;=V$10,$D50&lt;=V$10+4),1,0)</x:f>
        <x:v>0</x:v>
      </x:c>
      <x:c r="W50" s="35" t="n">
        <x:f>IF(AND($D50&gt;=W$10,$D50&lt;=W$10+4),1,0)</x:f>
        <x:v>0</x:v>
      </x:c>
      <x:c r="X50" s="35" t="n">
        <x:f>IF(AND($D50&gt;=X$10,$D50&lt;=X$10+4),1,0)</x:f>
        <x:v>1</x:v>
      </x:c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</x:row>
    <x:row r="53" ht="25" customHeight="1">
      <x:c r="A53" s="2" t="str">
        <x:v>FSD and UX: 2 weeks. Java features: 3 weeks. GitHub Actions runs in parallel and is ready before SIT starts Dec 7.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25" customHeight="1">
      <x:c r="A54" s="2" t="str">
        <x:v>UAT environment deployed and smoke-tested by Feb 2; Feb 3–12 leave; formal AM UAT Feb 15-24 (8 workdays).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</x:row>
    <x:row r="55" ht="25" customHeight="1">
      <x:c r="A55" s="2" t="str">
        <x:v>UAT signoff Feb 24; Go/No-Go Feb 25; production Feb 26. Staff the Friday rollout/weekend on-call; hand over Mar 5.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</x:row>
    <x:row r="56" ht="25" customHeight="1">
      <x:c r="A56" s="2" t="str">
        <x:v>Eight weeks of SIT/tuning Dec 7-Jan 29 include independent QA after each DS candidate release and final unseen holdout.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</x:row>
    <x:row r="57" ht="25" customHeight="1">
      <x:c r="A57" s="2" t="str">
        <x:v>BA and UI/UX rates and allocations are assumptions. Cost uses Gantt-scheduled effort; unused reserve and leave are not charged.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</x:sheetData>
  <x:mergeCells>
    <x:mergeCell ref="H4:I4"/>
    <x:mergeCell ref="L4:M4"/>
  </x:mergeCells>
  <x:conditionalFormatting sqref="G12:X12">
    <x:cfRule type="expression" dxfId="0" priority="1">
      <x:formula>G12=1</x:formula>
    </x:cfRule>
  </x:conditionalFormatting>
  <x:conditionalFormatting sqref="G13:X13">
    <x:cfRule type="expression" dxfId="1" priority="2">
      <x:formula>G13=1</x:formula>
    </x:cfRule>
  </x:conditionalFormatting>
  <x:conditionalFormatting sqref="G14:X14">
    <x:cfRule type="expression" dxfId="2" priority="3">
      <x:formula>G14=1</x:formula>
    </x:cfRule>
  </x:conditionalFormatting>
  <x:conditionalFormatting sqref="G15:X15">
    <x:cfRule type="expression" dxfId="3" priority="4">
      <x:formula>G15=1</x:formula>
    </x:cfRule>
  </x:conditionalFormatting>
  <x:conditionalFormatting sqref="G16:X16">
    <x:cfRule type="expression" dxfId="4" priority="5">
      <x:formula>G16=1</x:formula>
    </x:cfRule>
  </x:conditionalFormatting>
  <x:conditionalFormatting sqref="G17:X17">
    <x:cfRule type="expression" dxfId="5" priority="6">
      <x:formula>G17=1</x:formula>
    </x:cfRule>
  </x:conditionalFormatting>
  <x:conditionalFormatting sqref="G18:X18">
    <x:cfRule type="expression" dxfId="6" priority="7">
      <x:formula>G18=1</x:formula>
    </x:cfRule>
  </x:conditionalFormatting>
  <x:conditionalFormatting sqref="G19:X19">
    <x:cfRule type="expression" dxfId="7" priority="8">
      <x:formula>G19=1</x:formula>
    </x:cfRule>
  </x:conditionalFormatting>
  <x:conditionalFormatting sqref="G20:X20">
    <x:cfRule type="expression" dxfId="8" priority="9">
      <x:formula>G20=1</x:formula>
    </x:cfRule>
  </x:conditionalFormatting>
  <x:conditionalFormatting sqref="G21:X21">
    <x:cfRule type="expression" dxfId="9" priority="10">
      <x:formula>G21=1</x:formula>
    </x:cfRule>
  </x:conditionalFormatting>
  <x:conditionalFormatting sqref="G22:X22">
    <x:cfRule type="expression" dxfId="10" priority="11">
      <x:formula>G22=1</x:formula>
    </x:cfRule>
  </x:conditionalFormatting>
  <x:conditionalFormatting sqref="G23:X23">
    <x:cfRule type="expression" dxfId="11" priority="12">
      <x:formula>G23=1</x:formula>
    </x:cfRule>
  </x:conditionalFormatting>
  <x:conditionalFormatting sqref="G24:X24">
    <x:cfRule type="expression" dxfId="12" priority="13">
      <x:formula>G24=1</x:formula>
    </x:cfRule>
  </x:conditionalFormatting>
  <x:conditionalFormatting sqref="G25:X25">
    <x:cfRule type="expression" dxfId="13" priority="14">
      <x:formula>G25=1</x:formula>
    </x:cfRule>
  </x:conditionalFormatting>
  <x:conditionalFormatting sqref="G26:X26">
    <x:cfRule type="expression" dxfId="14" priority="15">
      <x:formula>G26=1</x:formula>
    </x:cfRule>
  </x:conditionalFormatting>
  <x:conditionalFormatting sqref="G27:X27">
    <x:cfRule type="expression" dxfId="15" priority="16">
      <x:formula>G27=1</x:formula>
    </x:cfRule>
  </x:conditionalFormatting>
  <x:conditionalFormatting sqref="G28:X28">
    <x:cfRule type="expression" dxfId="16" priority="17">
      <x:formula>G28=1</x:formula>
    </x:cfRule>
  </x:conditionalFormatting>
  <x:conditionalFormatting sqref="G29:X29">
    <x:cfRule type="expression" dxfId="17" priority="18">
      <x:formula>G29=1</x:formula>
    </x:cfRule>
  </x:conditionalFormatting>
  <x:conditionalFormatting sqref="G30:X30">
    <x:cfRule type="expression" dxfId="18" priority="19">
      <x:formula>G30=1</x:formula>
    </x:cfRule>
  </x:conditionalFormatting>
  <x:conditionalFormatting sqref="G31:X31">
    <x:cfRule type="expression" dxfId="19" priority="20">
      <x:formula>G31=1</x:formula>
    </x:cfRule>
  </x:conditionalFormatting>
  <x:conditionalFormatting sqref="G32:X32">
    <x:cfRule type="expression" dxfId="20" priority="21">
      <x:formula>G32=1</x:formula>
    </x:cfRule>
  </x:conditionalFormatting>
  <x:conditionalFormatting sqref="G33:X33">
    <x:cfRule type="expression" dxfId="21" priority="22">
      <x:formula>G33=1</x:formula>
    </x:cfRule>
  </x:conditionalFormatting>
  <x:conditionalFormatting sqref="G34:X34">
    <x:cfRule type="expression" dxfId="22" priority="23">
      <x:formula>G34=1</x:formula>
    </x:cfRule>
  </x:conditionalFormatting>
  <x:conditionalFormatting sqref="G12:X34">
    <x:cfRule type="expression" dxfId="23" priority="24">
      <x:formula>G$11=0</x:formula>
    </x:cfRule>
  </x:conditionalFormatting>
  <x:conditionalFormatting sqref="G39:X39">
    <x:cfRule type="expression" dxfId="48" priority="25">
      <x:formula>G39=1</x:formula>
    </x:cfRule>
  </x:conditionalFormatting>
  <x:conditionalFormatting sqref="G40:X40">
    <x:cfRule type="expression" dxfId="49" priority="26">
      <x:formula>G40=1</x:formula>
    </x:cfRule>
  </x:conditionalFormatting>
  <x:conditionalFormatting sqref="G41:X41">
    <x:cfRule type="expression" dxfId="50" priority="27">
      <x:formula>G41=1</x:formula>
    </x:cfRule>
  </x:conditionalFormatting>
  <x:conditionalFormatting sqref="G42:X42">
    <x:cfRule type="expression" dxfId="51" priority="28">
      <x:formula>G42=1</x:formula>
    </x:cfRule>
  </x:conditionalFormatting>
  <x:conditionalFormatting sqref="G43:X43">
    <x:cfRule type="expression" dxfId="52" priority="29">
      <x:formula>G43=1</x:formula>
    </x:cfRule>
  </x:conditionalFormatting>
  <x:conditionalFormatting sqref="G44:X44">
    <x:cfRule type="expression" dxfId="53" priority="30">
      <x:formula>G44=1</x:formula>
    </x:cfRule>
  </x:conditionalFormatting>
  <x:conditionalFormatting sqref="G45:X45">
    <x:cfRule type="expression" dxfId="54" priority="31">
      <x:formula>G45=1</x:formula>
    </x:cfRule>
  </x:conditionalFormatting>
  <x:conditionalFormatting sqref="G46:X46">
    <x:cfRule type="expression" dxfId="55" priority="32">
      <x:formula>G46=1</x:formula>
    </x:cfRule>
  </x:conditionalFormatting>
  <x:conditionalFormatting sqref="G47:X47">
    <x:cfRule type="expression" dxfId="56" priority="33">
      <x:formula>G47=1</x:formula>
    </x:cfRule>
  </x:conditionalFormatting>
  <x:conditionalFormatting sqref="G48:X48">
    <x:cfRule type="expression" dxfId="57" priority="34">
      <x:formula>G48=1</x:formula>
    </x:cfRule>
  </x:conditionalFormatting>
  <x:conditionalFormatting sqref="G49:X49">
    <x:cfRule type="expression" dxfId="58" priority="35">
      <x:formula>G49=1</x:formula>
    </x:cfRule>
  </x:conditionalFormatting>
  <x:conditionalFormatting sqref="G50:X50">
    <x:cfRule type="expression" dxfId="59" priority="36">
      <x:formula>G50=1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64" hidden="0" customWidth="1"/>
    <x:col min="4" max="4" width="16" hidden="0" customWidth="1"/>
    <x:col min="5" max="5" width="30" hidden="0" customWidth="1"/>
    <x:col min="6" max="6" width="10" hidden="0" customWidth="1"/>
    <x:col min="7" max="7" width="10" hidden="0" customWidth="1"/>
    <x:col min="8" max="8" width="11" hidden="0" customWidth="1"/>
    <x:col min="9" max="9" width="10" hidden="0" customWidth="1"/>
    <x:col min="10" max="10" width="13" hidden="0" customWidth="1"/>
    <x:col min="11" max="11" width="13" hidden="0" customWidth="1"/>
    <x:col min="12" max="12" width="10" hidden="0" customWidth="1"/>
    <x:col min="13" max="13" width="23" hidden="0" customWidth="1"/>
    <x:col min="32" max="32" width="16" hidden="0" customWidth="1"/>
    <x:col min="33" max="33" width="86" hidden="0" customWidth="1"/>
    <x:col min="34" max="34" width="7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>
      <x:c r="A2" s="3" t="str">
        <x:v>Task Ownership, Working-Day Gantt and Resource Cost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>
      <x:c r="A4" s="2" t="str">
        <x:v>Yellow cells are editable. Gantt cells show scheduled person-days. Cost = Gantt days × each resource daily rate. EXT is unestimated external effort.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>
      <x:c r="A5" s="2" t="str">
        <x:v>Start WD / Window WD use the working-day index. Dependencies flag manual replanning needs. Dates are plans, not signoff evidence.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</x:row>
    <x:row r="6" ht="36" customHeight="1">
      <x:c r="A6" s="13" t="str">
        <x:v>ID</x:v>
      </x:c>
      <x:c r="B6" s="13" t="str">
        <x:v>Workstream</x:v>
      </x:c>
      <x:c r="C6" s="13" t="str">
        <x:v>Task / deliverable</x:v>
      </x:c>
      <x:c r="D6" s="13" t="str">
        <x:v>Owner</x:v>
      </x:c>
      <x:c r="E6" s="13" t="str">
        <x:v>Dependencies</x:v>
      </x:c>
      <x:c r="F6" s="13" t="str">
        <x:v>Start WD</x:v>
      </x:c>
      <x:c r="G6" s="13" t="str">
        <x:v>Window WD</x:v>
      </x:c>
      <x:c r="H6" s="13" t="str">
        <x:v>Effort days</x:v>
      </x:c>
      <x:c r="I6" s="13" t="str">
        <x:v>Finish WD</x:v>
      </x:c>
      <x:c r="J6" s="13" t="str">
        <x:v>Start date</x:v>
      </x:c>
      <x:c r="K6" s="13" t="str">
        <x:v>Finish date</x:v>
      </x:c>
      <x:c r="L6" s="13" t="str">
        <x:v>Progress</x:v>
      </x:c>
      <x:c r="M6" s="13" t="str">
        <x:v>Plan check</x:v>
      </x:c>
      <x:c r="N6" s="13" t="str">
        <x:v>W1</x:v>
      </x:c>
      <x:c r="O6" s="13" t="str">
        <x:v>W2</x:v>
      </x:c>
      <x:c r="P6" s="13" t="str">
        <x:v>W3</x:v>
      </x:c>
      <x:c r="Q6" s="13" t="str">
        <x:v>W4</x:v>
      </x:c>
      <x:c r="R6" s="13" t="str">
        <x:v>W5</x:v>
      </x:c>
      <x:c r="S6" s="13" t="str">
        <x:v>W6</x:v>
      </x:c>
      <x:c r="T6" s="13" t="str">
        <x:v>W7</x:v>
      </x:c>
      <x:c r="U6" s="13" t="str">
        <x:v>W8</x:v>
      </x:c>
      <x:c r="V6" s="13" t="str">
        <x:v>W9</x:v>
      </x:c>
      <x:c r="W6" s="13" t="str">
        <x:v>W10</x:v>
      </x:c>
      <x:c r="X6" s="13" t="str">
        <x:v>W11</x:v>
      </x:c>
      <x:c r="Y6" s="13" t="str">
        <x:v>W12</x:v>
      </x:c>
      <x:c r="Z6" s="13" t="str">
        <x:v>W13</x:v>
      </x:c>
      <x:c r="AA6" s="13" t="str">
        <x:v>W14</x:v>
      </x:c>
      <x:c r="AB6" s="13" t="str">
        <x:v>W15</x:v>
      </x:c>
      <x:c r="AC6" s="13" t="str">
        <x:v>W16</x:v>
      </x:c>
      <x:c r="AD6" s="13" t="str">
        <x:v>W17</x:v>
      </x:c>
      <x:c r="AE6" s="13" t="str">
        <x:v>W18</x:v>
      </x:c>
      <x:c r="AF6" s="13" t="str">
        <x:v>Cost (USD)</x:v>
      </x:c>
      <x:c r="AG6" s="13" t="str">
        <x:v>Acceptance / handoff evidence</x:v>
      </x:c>
      <x:c r="AH6" s="13" t="str">
        <x:v>Planning / risk notes</x:v>
      </x:c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38" t="n">
        <x:f>'Delivery Timeline'!$B$4+0</x:f>
        <x:v>46328</x:v>
      </x:c>
      <x:c r="O7" s="38" t="n">
        <x:f>'Delivery Timeline'!$B$4+7</x:f>
        <x:v>46335</x:v>
      </x:c>
      <x:c r="P7" s="38" t="n">
        <x:f>'Delivery Timeline'!$B$4+14</x:f>
        <x:v>46342</x:v>
      </x:c>
      <x:c r="Q7" s="38" t="n">
        <x:f>'Delivery Timeline'!$B$4+21</x:f>
        <x:v>46349</x:v>
      </x:c>
      <x:c r="R7" s="38" t="n">
        <x:f>'Delivery Timeline'!$B$4+28</x:f>
        <x:v>46356</x:v>
      </x:c>
      <x:c r="S7" s="38" t="n">
        <x:f>'Delivery Timeline'!$B$4+35</x:f>
        <x:v>46363</x:v>
      </x:c>
      <x:c r="T7" s="38" t="n">
        <x:f>'Delivery Timeline'!$B$4+42</x:f>
        <x:v>46370</x:v>
      </x:c>
      <x:c r="U7" s="38" t="n">
        <x:f>'Delivery Timeline'!$B$4+49</x:f>
        <x:v>46377</x:v>
      </x:c>
      <x:c r="V7" s="38" t="n">
        <x:f>'Delivery Timeline'!$B$4+56</x:f>
        <x:v>46384</x:v>
      </x:c>
      <x:c r="W7" s="38" t="n">
        <x:f>'Delivery Timeline'!$B$4+63</x:f>
        <x:v>46391</x:v>
      </x:c>
      <x:c r="X7" s="38" t="n">
        <x:f>'Delivery Timeline'!$B$4+70</x:f>
        <x:v>46398</x:v>
      </x:c>
      <x:c r="Y7" s="38" t="n">
        <x:f>'Delivery Timeline'!$B$4+77</x:f>
        <x:v>46405</x:v>
      </x:c>
      <x:c r="Z7" s="38" t="n">
        <x:f>'Delivery Timeline'!$B$4+84</x:f>
        <x:v>46412</x:v>
      </x:c>
      <x:c r="AA7" s="38" t="n">
        <x:f>'Delivery Timeline'!$B$4+91</x:f>
        <x:v>46419</x:v>
      </x:c>
      <x:c r="AB7" s="38" t="n">
        <x:f>'Delivery Timeline'!$B$4+98</x:f>
        <x:v>46426</x:v>
      </x:c>
      <x:c r="AC7" s="38" t="n">
        <x:f>'Delivery Timeline'!$B$4+105</x:f>
        <x:v>46433</x:v>
      </x:c>
      <x:c r="AD7" s="38" t="n">
        <x:f>'Delivery Timeline'!$B$4+112</x:f>
        <x:v>46440</x:v>
      </x:c>
      <x:c r="AE7" s="38" t="n">
        <x:f>'Delivery Timeline'!$B$4+119</x:f>
        <x:v>46447</x:v>
      </x:c>
      <x:c r="AF7" s="2"/>
      <x:c r="AG7" s="2"/>
      <x:c r="AH7" s="2"/>
    </x:row>
    <x:row r="8" ht="45" customHeight="1">
      <x:c r="A8" s="2" t="str">
        <x:v>B01</x:v>
      </x:c>
      <x:c r="B8" s="2" t="str">
        <x:v>API / domain</x:v>
      </x:c>
      <x:c r="C8" s="46" t="str">
        <x:v>GitHub Actions: Java build, unit tests and PR checks</x:v>
      </x:c>
      <x:c r="D8" s="28" t="str">
        <x:v>Dev 1</x:v>
      </x:c>
      <x:c r="E8" s="46" t="str"/>
      <x:c r="F8" s="50" t="n">
        <x:v>1</x:v>
      </x:c>
      <x:c r="G8" s="50" t="n">
        <x:v>5</x:v>
      </x:c>
      <x:c r="H8" s="51" t="n">
        <x:v>2</x:v>
      </x:c>
      <x:c r="I8" s="2" t="n">
        <x:f>IF(OR(F8="",G8=""),"",F8+G8-1)</x:f>
        <x:v>5</x:v>
      </x:c>
      <x:c r="J8" s="5" t="n">
        <x:f>IF(OR(F8="",F8&lt;1,F8&gt;Calendar!$B$9),"",INDEX(Calendar!$A$16:$A$141,MATCH(F8,Calendar!$D$16:$D$141,0)))</x:f>
        <x:v>46328</x:v>
      </x:c>
      <x:c r="K8" s="5" t="n">
        <x:f>IF(OR(I8="",I8&lt;1,I8&gt;Calendar!$B$9),"",INDEX(Calendar!$A$16:$A$141,MATCH(I8,Calendar!$D$16:$D$141,0)))</x:f>
        <x:v>46332</x:v>
      </x:c>
      <x:c r="L8" s="53" t="n">
        <x:v>0</x:v>
      </x:c>
      <x:c r="M8" s="2" t="str">
        <x:f>IF(OR(F8="",G8="",H8=""),"Missing input",IF(OR(F8&lt;1,G8&lt;1,I8&gt;Calendar!$B$9),"Outside calendar",IF(F8&lt;1,"Dependency conflict","Scheduled")))</x:f>
        <x:v>Scheduled</x:v>
      </x:c>
      <x:c r="N8" s="45" t="n">
        <x:f>IF(OR($J8="",$K8=""),"",IF(SUMIFS(Calendar!$C$16:$C$141,Calendar!$A$16:$A$141,"&gt;="&amp;MAX(N$7,$J8),Calendar!$A$16:$A$141,"&lt;="&amp;MIN(N$7+4,$K8))=0,0,IF($H8="","EXT",SUMIFS(Calendar!$C$16:$C$141,Calendar!$A$16:$A$141,"&gt;="&amp;MAX(N$7,$J8),Calendar!$A$16:$A$141,"&lt;="&amp;MIN(N$7+4,$K8))*$H8/$G8)))</x:f>
        <x:v>2</x:v>
      </x:c>
      <x:c r="O8" s="45" t="n">
        <x:f>IF(OR($J8="",$K8=""),"",IF(SUMIFS(Calendar!$C$16:$C$141,Calendar!$A$16:$A$141,"&gt;="&amp;MAX(O$7,$J8),Calendar!$A$16:$A$141,"&lt;="&amp;MIN(O$7+4,$K8))=0,0,IF($H8="","EXT",SUMIFS(Calendar!$C$16:$C$141,Calendar!$A$16:$A$141,"&gt;="&amp;MAX(O$7,$J8),Calendar!$A$16:$A$141,"&lt;="&amp;MIN(O$7+4,$K8))*$H8/$G8)))</x:f>
        <x:v>0</x:v>
      </x:c>
      <x:c r="P8" s="45" t="n">
        <x:f>IF(OR($J8="",$K8=""),"",IF(SUMIFS(Calendar!$C$16:$C$141,Calendar!$A$16:$A$141,"&gt;="&amp;MAX(P$7,$J8),Calendar!$A$16:$A$141,"&lt;="&amp;MIN(P$7+4,$K8))=0,0,IF($H8="","EXT",SUMIFS(Calendar!$C$16:$C$141,Calendar!$A$16:$A$141,"&gt;="&amp;MAX(P$7,$J8),Calendar!$A$16:$A$141,"&lt;="&amp;MIN(P$7+4,$K8))*$H8/$G8)))</x:f>
        <x:v>0</x:v>
      </x:c>
      <x:c r="Q8" s="45" t="n">
        <x:f>IF(OR($J8="",$K8=""),"",IF(SUMIFS(Calendar!$C$16:$C$141,Calendar!$A$16:$A$141,"&gt;="&amp;MAX(Q$7,$J8),Calendar!$A$16:$A$141,"&lt;="&amp;MIN(Q$7+4,$K8))=0,0,IF($H8="","EXT",SUMIFS(Calendar!$C$16:$C$141,Calendar!$A$16:$A$141,"&gt;="&amp;MAX(Q$7,$J8),Calendar!$A$16:$A$141,"&lt;="&amp;MIN(Q$7+4,$K8))*$H8/$G8)))</x:f>
        <x:v>0</x:v>
      </x:c>
      <x:c r="R8" s="45" t="n">
        <x:f>IF(OR($J8="",$K8=""),"",IF(SUMIFS(Calendar!$C$16:$C$141,Calendar!$A$16:$A$141,"&gt;="&amp;MAX(R$7,$J8),Calendar!$A$16:$A$141,"&lt;="&amp;MIN(R$7+4,$K8))=0,0,IF($H8="","EXT",SUMIFS(Calendar!$C$16:$C$141,Calendar!$A$16:$A$141,"&gt;="&amp;MAX(R$7,$J8),Calendar!$A$16:$A$141,"&lt;="&amp;MIN(R$7+4,$K8))*$H8/$G8)))</x:f>
        <x:v>0</x:v>
      </x:c>
      <x:c r="S8" s="45" t="n">
        <x:f>IF(OR($J8="",$K8=""),"",IF(SUMIFS(Calendar!$C$16:$C$141,Calendar!$A$16:$A$141,"&gt;="&amp;MAX(S$7,$J8),Calendar!$A$16:$A$141,"&lt;="&amp;MIN(S$7+4,$K8))=0,0,IF($H8="","EXT",SUMIFS(Calendar!$C$16:$C$141,Calendar!$A$16:$A$141,"&gt;="&amp;MAX(S$7,$J8),Calendar!$A$16:$A$141,"&lt;="&amp;MIN(S$7+4,$K8))*$H8/$G8)))</x:f>
        <x:v>0</x:v>
      </x:c>
      <x:c r="T8" s="45" t="n">
        <x:f>IF(OR($J8="",$K8=""),"",IF(SUMIFS(Calendar!$C$16:$C$141,Calendar!$A$16:$A$141,"&gt;="&amp;MAX(T$7,$J8),Calendar!$A$16:$A$141,"&lt;="&amp;MIN(T$7+4,$K8))=0,0,IF($H8="","EXT",SUMIFS(Calendar!$C$16:$C$141,Calendar!$A$16:$A$141,"&gt;="&amp;MAX(T$7,$J8),Calendar!$A$16:$A$141,"&lt;="&amp;MIN(T$7+4,$K8))*$H8/$G8)))</x:f>
        <x:v>0</x:v>
      </x:c>
      <x:c r="U8" s="45" t="n">
        <x:f>IF(OR($J8="",$K8=""),"",IF(SUMIFS(Calendar!$C$16:$C$141,Calendar!$A$16:$A$141,"&gt;="&amp;MAX(U$7,$J8),Calendar!$A$16:$A$141,"&lt;="&amp;MIN(U$7+4,$K8))=0,0,IF($H8="","EXT",SUMIFS(Calendar!$C$16:$C$141,Calendar!$A$16:$A$141,"&gt;="&amp;MAX(U$7,$J8),Calendar!$A$16:$A$141,"&lt;="&amp;MIN(U$7+4,$K8))*$H8/$G8)))</x:f>
        <x:v>0</x:v>
      </x:c>
      <x:c r="V8" s="45" t="n">
        <x:f>IF(OR($J8="",$K8=""),"",IF(SUMIFS(Calendar!$C$16:$C$141,Calendar!$A$16:$A$141,"&gt;="&amp;MAX(V$7,$J8),Calendar!$A$16:$A$141,"&lt;="&amp;MIN(V$7+4,$K8))=0,0,IF($H8="","EXT",SUMIFS(Calendar!$C$16:$C$141,Calendar!$A$16:$A$141,"&gt;="&amp;MAX(V$7,$J8),Calendar!$A$16:$A$141,"&lt;="&amp;MIN(V$7+4,$K8))*$H8/$G8)))</x:f>
        <x:v>0</x:v>
      </x:c>
      <x:c r="W8" s="45" t="n">
        <x:f>IF(OR($J8="",$K8=""),"",IF(SUMIFS(Calendar!$C$16:$C$141,Calendar!$A$16:$A$141,"&gt;="&amp;MAX(W$7,$J8),Calendar!$A$16:$A$141,"&lt;="&amp;MIN(W$7+4,$K8))=0,0,IF($H8="","EXT",SUMIFS(Calendar!$C$16:$C$141,Calendar!$A$16:$A$141,"&gt;="&amp;MAX(W$7,$J8),Calendar!$A$16:$A$141,"&lt;="&amp;MIN(W$7+4,$K8))*$H8/$G8)))</x:f>
        <x:v>0</x:v>
      </x:c>
      <x:c r="X8" s="45" t="n">
        <x:f>IF(OR($J8="",$K8=""),"",IF(SUMIFS(Calendar!$C$16:$C$141,Calendar!$A$16:$A$141,"&gt;="&amp;MAX(X$7,$J8),Calendar!$A$16:$A$141,"&lt;="&amp;MIN(X$7+4,$K8))=0,0,IF($H8="","EXT",SUMIFS(Calendar!$C$16:$C$141,Calendar!$A$16:$A$141,"&gt;="&amp;MAX(X$7,$J8),Calendar!$A$16:$A$141,"&lt;="&amp;MIN(X$7+4,$K8))*$H8/$G8)))</x:f>
        <x:v>0</x:v>
      </x:c>
      <x:c r="Y8" s="45" t="n">
        <x:f>IF(OR($J8="",$K8=""),"",IF(SUMIFS(Calendar!$C$16:$C$141,Calendar!$A$16:$A$141,"&gt;="&amp;MAX(Y$7,$J8),Calendar!$A$16:$A$141,"&lt;="&amp;MIN(Y$7+4,$K8))=0,0,IF($H8="","EXT",SUMIFS(Calendar!$C$16:$C$141,Calendar!$A$16:$A$141,"&gt;="&amp;MAX(Y$7,$J8),Calendar!$A$16:$A$141,"&lt;="&amp;MIN(Y$7+4,$K8))*$H8/$G8)))</x:f>
        <x:v>0</x:v>
      </x:c>
      <x:c r="Z8" s="45" t="n">
        <x:f>IF(OR($J8="",$K8=""),"",IF(SUMIFS(Calendar!$C$16:$C$141,Calendar!$A$16:$A$141,"&gt;="&amp;MAX(Z$7,$J8),Calendar!$A$16:$A$141,"&lt;="&amp;MIN(Z$7+4,$K8))=0,0,IF($H8="","EXT",SUMIFS(Calendar!$C$16:$C$141,Calendar!$A$16:$A$141,"&gt;="&amp;MAX(Z$7,$J8),Calendar!$A$16:$A$141,"&lt;="&amp;MIN(Z$7+4,$K8))*$H8/$G8)))</x:f>
        <x:v>0</x:v>
      </x:c>
      <x:c r="AA8" s="45" t="n">
        <x:f>IF(OR($J8="",$K8=""),"",IF(SUMIFS(Calendar!$C$16:$C$141,Calendar!$A$16:$A$141,"&gt;="&amp;MAX(AA$7,$J8),Calendar!$A$16:$A$141,"&lt;="&amp;MIN(AA$7+4,$K8))=0,0,IF($H8="","EXT",SUMIFS(Calendar!$C$16:$C$141,Calendar!$A$16:$A$141,"&gt;="&amp;MAX(AA$7,$J8),Calendar!$A$16:$A$141,"&lt;="&amp;MIN(AA$7+4,$K8))*$H8/$G8)))</x:f>
        <x:v>0</x:v>
      </x:c>
      <x:c r="AB8" s="45" t="n">
        <x:f>IF(OR($J8="",$K8=""),"",IF(SUMIFS(Calendar!$C$16:$C$141,Calendar!$A$16:$A$141,"&gt;="&amp;MAX(AB$7,$J8),Calendar!$A$16:$A$141,"&lt;="&amp;MIN(AB$7+4,$K8))=0,0,IF($H8="","EXT",SUMIFS(Calendar!$C$16:$C$141,Calendar!$A$16:$A$141,"&gt;="&amp;MAX(AB$7,$J8),Calendar!$A$16:$A$141,"&lt;="&amp;MIN(AB$7+4,$K8))*$H8/$G8)))</x:f>
        <x:v>0</x:v>
      </x:c>
      <x:c r="AC8" s="45" t="n">
        <x:f>IF(OR($J8="",$K8=""),"",IF(SUMIFS(Calendar!$C$16:$C$141,Calendar!$A$16:$A$141,"&gt;="&amp;MAX(AC$7,$J8),Calendar!$A$16:$A$141,"&lt;="&amp;MIN(AC$7+4,$K8))=0,0,IF($H8="","EXT",SUMIFS(Calendar!$C$16:$C$141,Calendar!$A$16:$A$141,"&gt;="&amp;MAX(AC$7,$J8),Calendar!$A$16:$A$141,"&lt;="&amp;MIN(AC$7+4,$K8))*$H8/$G8)))</x:f>
        <x:v>0</x:v>
      </x:c>
      <x:c r="AD8" s="45" t="n">
        <x:f>IF(OR($J8="",$K8=""),"",IF(SUMIFS(Calendar!$C$16:$C$141,Calendar!$A$16:$A$141,"&gt;="&amp;MAX(AD$7,$J8),Calendar!$A$16:$A$141,"&lt;="&amp;MIN(AD$7+4,$K8))=0,0,IF($H8="","EXT",SUMIFS(Calendar!$C$16:$C$141,Calendar!$A$16:$A$141,"&gt;="&amp;MAX(AD$7,$J8),Calendar!$A$16:$A$141,"&lt;="&amp;MIN(AD$7+4,$K8))*$H8/$G8)))</x:f>
        <x:v>0</x:v>
      </x:c>
      <x:c r="AE8" s="45" t="n">
        <x:f>IF(OR($J8="",$K8=""),"",IF(SUMIFS(Calendar!$C$16:$C$141,Calendar!$A$16:$A$141,"&gt;="&amp;MAX(AE$7,$J8),Calendar!$A$16:$A$141,"&lt;="&amp;MIN(AE$7+4,$K8))=0,0,IF($H8="","EXT",SUMIFS(Calendar!$C$16:$C$141,Calendar!$A$16:$A$141,"&gt;="&amp;MAX(AE$7,$J8),Calendar!$A$16:$A$141,"&lt;="&amp;MIN(AE$7+4,$K8))*$H8/$G8)))</x:f>
        <x:v>0</x:v>
      </x:c>
      <x:c r="AF8" s="8" t="n">
        <x:f>IF(OR(M8&lt;&gt;"Scheduled",INDEX('Team and Gates'!$C$7:$C$13,MATCH($D8,'Team and Gates'!$A$7:$A$13,0))=""),"CHECK",SUM(N8:AE8)*INDEX('Team and Gates'!$C$7:$C$13,MATCH($D8,'Team and Gates'!$A$7:$A$13,0)))</x:f>
        <x:v>720</x:v>
      </x:c>
      <x:c r="AG8" s="46" t="str">
        <x:v>Reviewed preparation artifact, mapped to FSD/AC and handoff checklist.</x:v>
      </x:c>
      <x:c r="AH8" s="46" t="str"/>
    </x:row>
    <x:row r="9" ht="45" customHeight="1">
      <x:c r="A9" s="39" t="str">
        <x:v>B02</x:v>
      </x:c>
      <x:c r="B9" s="39" t="str">
        <x:v>API / domain</x:v>
      </x:c>
      <x:c r="C9" s="47" t="str">
        <x:v>API contracts, Okta/session scaffold and contract-test pipeline</x:v>
      </x:c>
      <x:c r="D9" s="28" t="str">
        <x:v>Dev 1</x:v>
      </x:c>
      <x:c r="E9" s="47" t="str">
        <x:v>B01</x:v>
      </x:c>
      <x:c r="F9" s="50" t="n">
        <x:v>6</x:v>
      </x:c>
      <x:c r="G9" s="50" t="n">
        <x:v>5</x:v>
      </x:c>
      <x:c r="H9" s="51" t="n">
        <x:v>2</x:v>
      </x:c>
      <x:c r="I9" s="39" t="n">
        <x:f>IF(OR(F9="",G9=""),"",F9+G9-1)</x:f>
        <x:v>10</x:v>
      </x:c>
      <x:c r="J9" s="41" t="n">
        <x:f>IF(OR(F9="",F9&lt;1,F9&gt;Calendar!$B$9),"",INDEX(Calendar!$A$16:$A$141,MATCH(F9,Calendar!$D$16:$D$141,0)))</x:f>
        <x:v>46335</x:v>
      </x:c>
      <x:c r="K9" s="41" t="n">
        <x:f>IF(OR(I9="",I9&lt;1,I9&gt;Calendar!$B$9),"",INDEX(Calendar!$A$16:$A$141,MATCH(I9,Calendar!$D$16:$D$141,0)))</x:f>
        <x:v>46339</x:v>
      </x:c>
      <x:c r="L9" s="53" t="n">
        <x:v>0</x:v>
      </x:c>
      <x:c r="M9" s="39" t="str">
        <x:f>IF(OR(F9="",G9="",H9=""),"Missing input",IF(OR(F9&lt;1,G9&lt;1,I9&gt;Calendar!$B$9),"Outside calendar",IF(F9&lt;MAX(INDEX($I$8:$I$157,MATCH("B01",$A$8:$A$157,0))+1),"Dependency conflict","Scheduled")))</x:f>
        <x:v>Scheduled</x:v>
      </x:c>
      <x:c r="N9" s="45" t="n">
        <x:f>IF(OR($J9="",$K9=""),"",IF(SUMIFS(Calendar!$C$16:$C$141,Calendar!$A$16:$A$141,"&gt;="&amp;MAX(N$7,$J9),Calendar!$A$16:$A$141,"&lt;="&amp;MIN(N$7+4,$K9))=0,0,IF($H9="","EXT",SUMIFS(Calendar!$C$16:$C$141,Calendar!$A$16:$A$141,"&gt;="&amp;MAX(N$7,$J9),Calendar!$A$16:$A$141,"&lt;="&amp;MIN(N$7+4,$K9))*$H9/$G9)))</x:f>
        <x:v>0</x:v>
      </x:c>
      <x:c r="O9" s="45" t="n">
        <x:f>IF(OR($J9="",$K9=""),"",IF(SUMIFS(Calendar!$C$16:$C$141,Calendar!$A$16:$A$141,"&gt;="&amp;MAX(O$7,$J9),Calendar!$A$16:$A$141,"&lt;="&amp;MIN(O$7+4,$K9))=0,0,IF($H9="","EXT",SUMIFS(Calendar!$C$16:$C$141,Calendar!$A$16:$A$141,"&gt;="&amp;MAX(O$7,$J9),Calendar!$A$16:$A$141,"&lt;="&amp;MIN(O$7+4,$K9))*$H9/$G9)))</x:f>
        <x:v>2</x:v>
      </x:c>
      <x:c r="P9" s="45" t="n">
        <x:f>IF(OR($J9="",$K9=""),"",IF(SUMIFS(Calendar!$C$16:$C$141,Calendar!$A$16:$A$141,"&gt;="&amp;MAX(P$7,$J9),Calendar!$A$16:$A$141,"&lt;="&amp;MIN(P$7+4,$K9))=0,0,IF($H9="","EXT",SUMIFS(Calendar!$C$16:$C$141,Calendar!$A$16:$A$141,"&gt;="&amp;MAX(P$7,$J9),Calendar!$A$16:$A$141,"&lt;="&amp;MIN(P$7+4,$K9))*$H9/$G9)))</x:f>
        <x:v>0</x:v>
      </x:c>
      <x:c r="Q9" s="45" t="n">
        <x:f>IF(OR($J9="",$K9=""),"",IF(SUMIFS(Calendar!$C$16:$C$141,Calendar!$A$16:$A$141,"&gt;="&amp;MAX(Q$7,$J9),Calendar!$A$16:$A$141,"&lt;="&amp;MIN(Q$7+4,$K9))=0,0,IF($H9="","EXT",SUMIFS(Calendar!$C$16:$C$141,Calendar!$A$16:$A$141,"&gt;="&amp;MAX(Q$7,$J9),Calendar!$A$16:$A$141,"&lt;="&amp;MIN(Q$7+4,$K9))*$H9/$G9)))</x:f>
        <x:v>0</x:v>
      </x:c>
      <x:c r="R9" s="45" t="n">
        <x:f>IF(OR($J9="",$K9=""),"",IF(SUMIFS(Calendar!$C$16:$C$141,Calendar!$A$16:$A$141,"&gt;="&amp;MAX(R$7,$J9),Calendar!$A$16:$A$141,"&lt;="&amp;MIN(R$7+4,$K9))=0,0,IF($H9="","EXT",SUMIFS(Calendar!$C$16:$C$141,Calendar!$A$16:$A$141,"&gt;="&amp;MAX(R$7,$J9),Calendar!$A$16:$A$141,"&lt;="&amp;MIN(R$7+4,$K9))*$H9/$G9)))</x:f>
        <x:v>0</x:v>
      </x:c>
      <x:c r="S9" s="45" t="n">
        <x:f>IF(OR($J9="",$K9=""),"",IF(SUMIFS(Calendar!$C$16:$C$141,Calendar!$A$16:$A$141,"&gt;="&amp;MAX(S$7,$J9),Calendar!$A$16:$A$141,"&lt;="&amp;MIN(S$7+4,$K9))=0,0,IF($H9="","EXT",SUMIFS(Calendar!$C$16:$C$141,Calendar!$A$16:$A$141,"&gt;="&amp;MAX(S$7,$J9),Calendar!$A$16:$A$141,"&lt;="&amp;MIN(S$7+4,$K9))*$H9/$G9)))</x:f>
        <x:v>0</x:v>
      </x:c>
      <x:c r="T9" s="45" t="n">
        <x:f>IF(OR($J9="",$K9=""),"",IF(SUMIFS(Calendar!$C$16:$C$141,Calendar!$A$16:$A$141,"&gt;="&amp;MAX(T$7,$J9),Calendar!$A$16:$A$141,"&lt;="&amp;MIN(T$7+4,$K9))=0,0,IF($H9="","EXT",SUMIFS(Calendar!$C$16:$C$141,Calendar!$A$16:$A$141,"&gt;="&amp;MAX(T$7,$J9),Calendar!$A$16:$A$141,"&lt;="&amp;MIN(T$7+4,$K9))*$H9/$G9)))</x:f>
        <x:v>0</x:v>
      </x:c>
      <x:c r="U9" s="45" t="n">
        <x:f>IF(OR($J9="",$K9=""),"",IF(SUMIFS(Calendar!$C$16:$C$141,Calendar!$A$16:$A$141,"&gt;="&amp;MAX(U$7,$J9),Calendar!$A$16:$A$141,"&lt;="&amp;MIN(U$7+4,$K9))=0,0,IF($H9="","EXT",SUMIFS(Calendar!$C$16:$C$141,Calendar!$A$16:$A$141,"&gt;="&amp;MAX(U$7,$J9),Calendar!$A$16:$A$141,"&lt;="&amp;MIN(U$7+4,$K9))*$H9/$G9)))</x:f>
        <x:v>0</x:v>
      </x:c>
      <x:c r="V9" s="45" t="n">
        <x:f>IF(OR($J9="",$K9=""),"",IF(SUMIFS(Calendar!$C$16:$C$141,Calendar!$A$16:$A$141,"&gt;="&amp;MAX(V$7,$J9),Calendar!$A$16:$A$141,"&lt;="&amp;MIN(V$7+4,$K9))=0,0,IF($H9="","EXT",SUMIFS(Calendar!$C$16:$C$141,Calendar!$A$16:$A$141,"&gt;="&amp;MAX(V$7,$J9),Calendar!$A$16:$A$141,"&lt;="&amp;MIN(V$7+4,$K9))*$H9/$G9)))</x:f>
        <x:v>0</x:v>
      </x:c>
      <x:c r="W9" s="45" t="n">
        <x:f>IF(OR($J9="",$K9=""),"",IF(SUMIFS(Calendar!$C$16:$C$141,Calendar!$A$16:$A$141,"&gt;="&amp;MAX(W$7,$J9),Calendar!$A$16:$A$141,"&lt;="&amp;MIN(W$7+4,$K9))=0,0,IF($H9="","EXT",SUMIFS(Calendar!$C$16:$C$141,Calendar!$A$16:$A$141,"&gt;="&amp;MAX(W$7,$J9),Calendar!$A$16:$A$141,"&lt;="&amp;MIN(W$7+4,$K9))*$H9/$G9)))</x:f>
        <x:v>0</x:v>
      </x:c>
      <x:c r="X9" s="45" t="n">
        <x:f>IF(OR($J9="",$K9=""),"",IF(SUMIFS(Calendar!$C$16:$C$141,Calendar!$A$16:$A$141,"&gt;="&amp;MAX(X$7,$J9),Calendar!$A$16:$A$141,"&lt;="&amp;MIN(X$7+4,$K9))=0,0,IF($H9="","EXT",SUMIFS(Calendar!$C$16:$C$141,Calendar!$A$16:$A$141,"&gt;="&amp;MAX(X$7,$J9),Calendar!$A$16:$A$141,"&lt;="&amp;MIN(X$7+4,$K9))*$H9/$G9)))</x:f>
        <x:v>0</x:v>
      </x:c>
      <x:c r="Y9" s="45" t="n">
        <x:f>IF(OR($J9="",$K9=""),"",IF(SUMIFS(Calendar!$C$16:$C$141,Calendar!$A$16:$A$141,"&gt;="&amp;MAX(Y$7,$J9),Calendar!$A$16:$A$141,"&lt;="&amp;MIN(Y$7+4,$K9))=0,0,IF($H9="","EXT",SUMIFS(Calendar!$C$16:$C$141,Calendar!$A$16:$A$141,"&gt;="&amp;MAX(Y$7,$J9),Calendar!$A$16:$A$141,"&lt;="&amp;MIN(Y$7+4,$K9))*$H9/$G9)))</x:f>
        <x:v>0</x:v>
      </x:c>
      <x:c r="Z9" s="45" t="n">
        <x:f>IF(OR($J9="",$K9=""),"",IF(SUMIFS(Calendar!$C$16:$C$141,Calendar!$A$16:$A$141,"&gt;="&amp;MAX(Z$7,$J9),Calendar!$A$16:$A$141,"&lt;="&amp;MIN(Z$7+4,$K9))=0,0,IF($H9="","EXT",SUMIFS(Calendar!$C$16:$C$141,Calendar!$A$16:$A$141,"&gt;="&amp;MAX(Z$7,$J9),Calendar!$A$16:$A$141,"&lt;="&amp;MIN(Z$7+4,$K9))*$H9/$G9)))</x:f>
        <x:v>0</x:v>
      </x:c>
      <x:c r="AA9" s="45" t="n">
        <x:f>IF(OR($J9="",$K9=""),"",IF(SUMIFS(Calendar!$C$16:$C$141,Calendar!$A$16:$A$141,"&gt;="&amp;MAX(AA$7,$J9),Calendar!$A$16:$A$141,"&lt;="&amp;MIN(AA$7+4,$K9))=0,0,IF($H9="","EXT",SUMIFS(Calendar!$C$16:$C$141,Calendar!$A$16:$A$141,"&gt;="&amp;MAX(AA$7,$J9),Calendar!$A$16:$A$141,"&lt;="&amp;MIN(AA$7+4,$K9))*$H9/$G9)))</x:f>
        <x:v>0</x:v>
      </x:c>
      <x:c r="AB9" s="45" t="n">
        <x:f>IF(OR($J9="",$K9=""),"",IF(SUMIFS(Calendar!$C$16:$C$141,Calendar!$A$16:$A$141,"&gt;="&amp;MAX(AB$7,$J9),Calendar!$A$16:$A$141,"&lt;="&amp;MIN(AB$7+4,$K9))=0,0,IF($H9="","EXT",SUMIFS(Calendar!$C$16:$C$141,Calendar!$A$16:$A$141,"&gt;="&amp;MAX(AB$7,$J9),Calendar!$A$16:$A$141,"&lt;="&amp;MIN(AB$7+4,$K9))*$H9/$G9)))</x:f>
        <x:v>0</x:v>
      </x:c>
      <x:c r="AC9" s="45" t="n">
        <x:f>IF(OR($J9="",$K9=""),"",IF(SUMIFS(Calendar!$C$16:$C$141,Calendar!$A$16:$A$141,"&gt;="&amp;MAX(AC$7,$J9),Calendar!$A$16:$A$141,"&lt;="&amp;MIN(AC$7+4,$K9))=0,0,IF($H9="","EXT",SUMIFS(Calendar!$C$16:$C$141,Calendar!$A$16:$A$141,"&gt;="&amp;MAX(AC$7,$J9),Calendar!$A$16:$A$141,"&lt;="&amp;MIN(AC$7+4,$K9))*$H9/$G9)))</x:f>
        <x:v>0</x:v>
      </x:c>
      <x:c r="AD9" s="45" t="n">
        <x:f>IF(OR($J9="",$K9=""),"",IF(SUMIFS(Calendar!$C$16:$C$141,Calendar!$A$16:$A$141,"&gt;="&amp;MAX(AD$7,$J9),Calendar!$A$16:$A$141,"&lt;="&amp;MIN(AD$7+4,$K9))=0,0,IF($H9="","EXT",SUMIFS(Calendar!$C$16:$C$141,Calendar!$A$16:$A$141,"&gt;="&amp;MAX(AD$7,$J9),Calendar!$A$16:$A$141,"&lt;="&amp;MIN(AD$7+4,$K9))*$H9/$G9)))</x:f>
        <x:v>0</x:v>
      </x:c>
      <x:c r="AE9" s="45" t="n">
        <x:f>IF(OR($J9="",$K9=""),"",IF(SUMIFS(Calendar!$C$16:$C$141,Calendar!$A$16:$A$141,"&gt;="&amp;MAX(AE$7,$J9),Calendar!$A$16:$A$141,"&lt;="&amp;MIN(AE$7+4,$K9))=0,0,IF($H9="","EXT",SUMIFS(Calendar!$C$16:$C$141,Calendar!$A$16:$A$141,"&gt;="&amp;MAX(AE$7,$J9),Calendar!$A$16:$A$141,"&lt;="&amp;MIN(AE$7+4,$K9))*$H9/$G9)))</x:f>
        <x:v>0</x:v>
      </x:c>
      <x:c r="AF9" s="8" t="n">
        <x:f>IF(OR(M9&lt;&gt;"Scheduled",INDEX('Team and Gates'!$C$7:$C$13,MATCH($D9,'Team and Gates'!$A$7:$A$13,0))=""),"CHECK",SUM(N9:AE9)*INDEX('Team and Gates'!$C$7:$C$13,MATCH($D9,'Team and Gates'!$A$7:$A$13,0)))</x:f>
        <x:v>720</x:v>
      </x:c>
      <x:c r="AG9" s="46" t="str">
        <x:v>Reviewed preparation artifact, mapped to FSD/AC and handoff checklist.</x:v>
      </x:c>
      <x:c r="AH9" s="46" t="str"/>
    </x:row>
    <x:row r="10" ht="45" customHeight="1">
      <x:c r="A10" s="2" t="str">
        <x:v>B03</x:v>
      </x:c>
      <x:c r="B10" s="2" t="str">
        <x:v>API / domain</x:v>
      </x:c>
      <x:c r="C10" s="46" t="str">
        <x:v>Backend test deployment, FSD/API review and pipeline qualification</x:v>
      </x:c>
      <x:c r="D10" s="28" t="str">
        <x:v>Dev 1</x:v>
      </x:c>
      <x:c r="E10" s="46" t="str">
        <x:v>B02</x:v>
      </x:c>
      <x:c r="F10" s="50" t="n">
        <x:v>11</x:v>
      </x:c>
      <x:c r="G10" s="50" t="n">
        <x:v>5</x:v>
      </x:c>
      <x:c r="H10" s="51" t="n">
        <x:v>1</x:v>
      </x:c>
      <x:c r="I10" s="2" t="n">
        <x:f>IF(OR(F10="",G10=""),"",F10+G10-1)</x:f>
        <x:v>15</x:v>
      </x:c>
      <x:c r="J10" s="5" t="n">
        <x:f>IF(OR(F10="",F10&lt;1,F10&gt;Calendar!$B$9),"",INDEX(Calendar!$A$16:$A$141,MATCH(F10,Calendar!$D$16:$D$141,0)))</x:f>
        <x:v>46342</x:v>
      </x:c>
      <x:c r="K10" s="5" t="n">
        <x:f>IF(OR(I10="",I10&lt;1,I10&gt;Calendar!$B$9),"",INDEX(Calendar!$A$16:$A$141,MATCH(I10,Calendar!$D$16:$D$141,0)))</x:f>
        <x:v>46346</x:v>
      </x:c>
      <x:c r="L10" s="53" t="n">
        <x:v>0</x:v>
      </x:c>
      <x:c r="M10" s="2" t="str">
        <x:f>IF(OR(F10="",G10="",H10=""),"Missing input",IF(OR(F10&lt;1,G10&lt;1,I10&gt;Calendar!$B$9),"Outside calendar",IF(F10&lt;MAX(INDEX($I$8:$I$157,MATCH("B02",$A$8:$A$157,0))+1),"Dependency conflict","Scheduled")))</x:f>
        <x:v>Scheduled</x:v>
      </x:c>
      <x:c r="N10" s="45" t="n">
        <x:f>IF(OR($J10="",$K10=""),"",IF(SUMIFS(Calendar!$C$16:$C$141,Calendar!$A$16:$A$141,"&gt;="&amp;MAX(N$7,$J10),Calendar!$A$16:$A$141,"&lt;="&amp;MIN(N$7+4,$K10))=0,0,IF($H10="","EXT",SUMIFS(Calendar!$C$16:$C$141,Calendar!$A$16:$A$141,"&gt;="&amp;MAX(N$7,$J10),Calendar!$A$16:$A$141,"&lt;="&amp;MIN(N$7+4,$K10))*$H10/$G10)))</x:f>
        <x:v>0</x:v>
      </x:c>
      <x:c r="O10" s="45" t="n">
        <x:f>IF(OR($J10="",$K10=""),"",IF(SUMIFS(Calendar!$C$16:$C$141,Calendar!$A$16:$A$141,"&gt;="&amp;MAX(O$7,$J10),Calendar!$A$16:$A$141,"&lt;="&amp;MIN(O$7+4,$K10))=0,0,IF($H10="","EXT",SUMIFS(Calendar!$C$16:$C$141,Calendar!$A$16:$A$141,"&gt;="&amp;MAX(O$7,$J10),Calendar!$A$16:$A$141,"&lt;="&amp;MIN(O$7+4,$K10))*$H10/$G10)))</x:f>
        <x:v>0</x:v>
      </x:c>
      <x:c r="P10" s="45" t="n">
        <x:f>IF(OR($J10="",$K10=""),"",IF(SUMIFS(Calendar!$C$16:$C$141,Calendar!$A$16:$A$141,"&gt;="&amp;MAX(P$7,$J10),Calendar!$A$16:$A$141,"&lt;="&amp;MIN(P$7+4,$K10))=0,0,IF($H10="","EXT",SUMIFS(Calendar!$C$16:$C$141,Calendar!$A$16:$A$141,"&gt;="&amp;MAX(P$7,$J10),Calendar!$A$16:$A$141,"&lt;="&amp;MIN(P$7+4,$K10))*$H10/$G10)))</x:f>
        <x:v>1</x:v>
      </x:c>
      <x:c r="Q10" s="45" t="n">
        <x:f>IF(OR($J10="",$K10=""),"",IF(SUMIFS(Calendar!$C$16:$C$141,Calendar!$A$16:$A$141,"&gt;="&amp;MAX(Q$7,$J10),Calendar!$A$16:$A$141,"&lt;="&amp;MIN(Q$7+4,$K10))=0,0,IF($H10="","EXT",SUMIFS(Calendar!$C$16:$C$141,Calendar!$A$16:$A$141,"&gt;="&amp;MAX(Q$7,$J10),Calendar!$A$16:$A$141,"&lt;="&amp;MIN(Q$7+4,$K10))*$H10/$G10)))</x:f>
        <x:v>0</x:v>
      </x:c>
      <x:c r="R10" s="45" t="n">
        <x:f>IF(OR($J10="",$K10=""),"",IF(SUMIFS(Calendar!$C$16:$C$141,Calendar!$A$16:$A$141,"&gt;="&amp;MAX(R$7,$J10),Calendar!$A$16:$A$141,"&lt;="&amp;MIN(R$7+4,$K10))=0,0,IF($H10="","EXT",SUMIFS(Calendar!$C$16:$C$141,Calendar!$A$16:$A$141,"&gt;="&amp;MAX(R$7,$J10),Calendar!$A$16:$A$141,"&lt;="&amp;MIN(R$7+4,$K10))*$H10/$G10)))</x:f>
        <x:v>0</x:v>
      </x:c>
      <x:c r="S10" s="45" t="n">
        <x:f>IF(OR($J10="",$K10=""),"",IF(SUMIFS(Calendar!$C$16:$C$141,Calendar!$A$16:$A$141,"&gt;="&amp;MAX(S$7,$J10),Calendar!$A$16:$A$141,"&lt;="&amp;MIN(S$7+4,$K10))=0,0,IF($H10="","EXT",SUMIFS(Calendar!$C$16:$C$141,Calendar!$A$16:$A$141,"&gt;="&amp;MAX(S$7,$J10),Calendar!$A$16:$A$141,"&lt;="&amp;MIN(S$7+4,$K10))*$H10/$G10)))</x:f>
        <x:v>0</x:v>
      </x:c>
      <x:c r="T10" s="45" t="n">
        <x:f>IF(OR($J10="",$K10=""),"",IF(SUMIFS(Calendar!$C$16:$C$141,Calendar!$A$16:$A$141,"&gt;="&amp;MAX(T$7,$J10),Calendar!$A$16:$A$141,"&lt;="&amp;MIN(T$7+4,$K10))=0,0,IF($H10="","EXT",SUMIFS(Calendar!$C$16:$C$141,Calendar!$A$16:$A$141,"&gt;="&amp;MAX(T$7,$J10),Calendar!$A$16:$A$141,"&lt;="&amp;MIN(T$7+4,$K10))*$H10/$G10)))</x:f>
        <x:v>0</x:v>
      </x:c>
      <x:c r="U10" s="45" t="n">
        <x:f>IF(OR($J10="",$K10=""),"",IF(SUMIFS(Calendar!$C$16:$C$141,Calendar!$A$16:$A$141,"&gt;="&amp;MAX(U$7,$J10),Calendar!$A$16:$A$141,"&lt;="&amp;MIN(U$7+4,$K10))=0,0,IF($H10="","EXT",SUMIFS(Calendar!$C$16:$C$141,Calendar!$A$16:$A$141,"&gt;="&amp;MAX(U$7,$J10),Calendar!$A$16:$A$141,"&lt;="&amp;MIN(U$7+4,$K10))*$H10/$G10)))</x:f>
        <x:v>0</x:v>
      </x:c>
      <x:c r="V10" s="45" t="n">
        <x:f>IF(OR($J10="",$K10=""),"",IF(SUMIFS(Calendar!$C$16:$C$141,Calendar!$A$16:$A$141,"&gt;="&amp;MAX(V$7,$J10),Calendar!$A$16:$A$141,"&lt;="&amp;MIN(V$7+4,$K10))=0,0,IF($H10="","EXT",SUMIFS(Calendar!$C$16:$C$141,Calendar!$A$16:$A$141,"&gt;="&amp;MAX(V$7,$J10),Calendar!$A$16:$A$141,"&lt;="&amp;MIN(V$7+4,$K10))*$H10/$G10)))</x:f>
        <x:v>0</x:v>
      </x:c>
      <x:c r="W10" s="45" t="n">
        <x:f>IF(OR($J10="",$K10=""),"",IF(SUMIFS(Calendar!$C$16:$C$141,Calendar!$A$16:$A$141,"&gt;="&amp;MAX(W$7,$J10),Calendar!$A$16:$A$141,"&lt;="&amp;MIN(W$7+4,$K10))=0,0,IF($H10="","EXT",SUMIFS(Calendar!$C$16:$C$141,Calendar!$A$16:$A$141,"&gt;="&amp;MAX(W$7,$J10),Calendar!$A$16:$A$141,"&lt;="&amp;MIN(W$7+4,$K10))*$H10/$G10)))</x:f>
        <x:v>0</x:v>
      </x:c>
      <x:c r="X10" s="45" t="n">
        <x:f>IF(OR($J10="",$K10=""),"",IF(SUMIFS(Calendar!$C$16:$C$141,Calendar!$A$16:$A$141,"&gt;="&amp;MAX(X$7,$J10),Calendar!$A$16:$A$141,"&lt;="&amp;MIN(X$7+4,$K10))=0,0,IF($H10="","EXT",SUMIFS(Calendar!$C$16:$C$141,Calendar!$A$16:$A$141,"&gt;="&amp;MAX(X$7,$J10),Calendar!$A$16:$A$141,"&lt;="&amp;MIN(X$7+4,$K10))*$H10/$G10)))</x:f>
        <x:v>0</x:v>
      </x:c>
      <x:c r="Y10" s="45" t="n">
        <x:f>IF(OR($J10="",$K10=""),"",IF(SUMIFS(Calendar!$C$16:$C$141,Calendar!$A$16:$A$141,"&gt;="&amp;MAX(Y$7,$J10),Calendar!$A$16:$A$141,"&lt;="&amp;MIN(Y$7+4,$K10))=0,0,IF($H10="","EXT",SUMIFS(Calendar!$C$16:$C$141,Calendar!$A$16:$A$141,"&gt;="&amp;MAX(Y$7,$J10),Calendar!$A$16:$A$141,"&lt;="&amp;MIN(Y$7+4,$K10))*$H10/$G10)))</x:f>
        <x:v>0</x:v>
      </x:c>
      <x:c r="Z10" s="45" t="n">
        <x:f>IF(OR($J10="",$K10=""),"",IF(SUMIFS(Calendar!$C$16:$C$141,Calendar!$A$16:$A$141,"&gt;="&amp;MAX(Z$7,$J10),Calendar!$A$16:$A$141,"&lt;="&amp;MIN(Z$7+4,$K10))=0,0,IF($H10="","EXT",SUMIFS(Calendar!$C$16:$C$141,Calendar!$A$16:$A$141,"&gt;="&amp;MAX(Z$7,$J10),Calendar!$A$16:$A$141,"&lt;="&amp;MIN(Z$7+4,$K10))*$H10/$G10)))</x:f>
        <x:v>0</x:v>
      </x:c>
      <x:c r="AA10" s="45" t="n">
        <x:f>IF(OR($J10="",$K10=""),"",IF(SUMIFS(Calendar!$C$16:$C$141,Calendar!$A$16:$A$141,"&gt;="&amp;MAX(AA$7,$J10),Calendar!$A$16:$A$141,"&lt;="&amp;MIN(AA$7+4,$K10))=0,0,IF($H10="","EXT",SUMIFS(Calendar!$C$16:$C$141,Calendar!$A$16:$A$141,"&gt;="&amp;MAX(AA$7,$J10),Calendar!$A$16:$A$141,"&lt;="&amp;MIN(AA$7+4,$K10))*$H10/$G10)))</x:f>
        <x:v>0</x:v>
      </x:c>
      <x:c r="AB10" s="45" t="n">
        <x:f>IF(OR($J10="",$K10=""),"",IF(SUMIFS(Calendar!$C$16:$C$141,Calendar!$A$16:$A$141,"&gt;="&amp;MAX(AB$7,$J10),Calendar!$A$16:$A$141,"&lt;="&amp;MIN(AB$7+4,$K10))=0,0,IF($H10="","EXT",SUMIFS(Calendar!$C$16:$C$141,Calendar!$A$16:$A$141,"&gt;="&amp;MAX(AB$7,$J10),Calendar!$A$16:$A$141,"&lt;="&amp;MIN(AB$7+4,$K10))*$H10/$G10)))</x:f>
        <x:v>0</x:v>
      </x:c>
      <x:c r="AC10" s="45" t="n">
        <x:f>IF(OR($J10="",$K10=""),"",IF(SUMIFS(Calendar!$C$16:$C$141,Calendar!$A$16:$A$141,"&gt;="&amp;MAX(AC$7,$J10),Calendar!$A$16:$A$141,"&lt;="&amp;MIN(AC$7+4,$K10))=0,0,IF($H10="","EXT",SUMIFS(Calendar!$C$16:$C$141,Calendar!$A$16:$A$141,"&gt;="&amp;MAX(AC$7,$J10),Calendar!$A$16:$A$141,"&lt;="&amp;MIN(AC$7+4,$K10))*$H10/$G10)))</x:f>
        <x:v>0</x:v>
      </x:c>
      <x:c r="AD10" s="45" t="n">
        <x:f>IF(OR($J10="",$K10=""),"",IF(SUMIFS(Calendar!$C$16:$C$141,Calendar!$A$16:$A$141,"&gt;="&amp;MAX(AD$7,$J10),Calendar!$A$16:$A$141,"&lt;="&amp;MIN(AD$7+4,$K10))=0,0,IF($H10="","EXT",SUMIFS(Calendar!$C$16:$C$141,Calendar!$A$16:$A$141,"&gt;="&amp;MAX(AD$7,$J10),Calendar!$A$16:$A$141,"&lt;="&amp;MIN(AD$7+4,$K10))*$H10/$G10)))</x:f>
        <x:v>0</x:v>
      </x:c>
      <x:c r="AE10" s="45" t="n">
        <x:f>IF(OR($J10="",$K10=""),"",IF(SUMIFS(Calendar!$C$16:$C$141,Calendar!$A$16:$A$141,"&gt;="&amp;MAX(AE$7,$J10),Calendar!$A$16:$A$141,"&lt;="&amp;MIN(AE$7+4,$K10))=0,0,IF($H10="","EXT",SUMIFS(Calendar!$C$16:$C$141,Calendar!$A$16:$A$141,"&gt;="&amp;MAX(AE$7,$J10),Calendar!$A$16:$A$141,"&lt;="&amp;MIN(AE$7+4,$K10))*$H10/$G10)))</x:f>
        <x:v>0</x:v>
      </x:c>
      <x:c r="AF10" s="8" t="n">
        <x:f>IF(OR(M10&lt;&gt;"Scheduled",INDEX('Team and Gates'!$C$7:$C$13,MATCH($D10,'Team and Gates'!$A$7:$A$13,0))=""),"CHECK",SUM(N10:AE10)*INDEX('Team and Gates'!$C$7:$C$13,MATCH($D10,'Team and Gates'!$A$7:$A$13,0)))</x:f>
        <x:v>360</x:v>
      </x:c>
      <x:c r="AG10" s="46" t="str">
        <x:v>API contract and PR checks run in GitHub Actions; Dev 1 and Dev 2 share one Spring Boot backend deployment.</x:v>
      </x:c>
      <x:c r="AH10" s="46" t="str"/>
    </x:row>
    <x:row r="11" ht="45" customHeight="1">
      <x:c r="A11" s="39" t="str">
        <x:v>B04</x:v>
      </x:c>
      <x:c r="B11" s="39" t="str">
        <x:v>API / domain</x:v>
      </x:c>
      <x:c r="C11" s="47" t="str">
        <x:v>AI-assisted coding: Case, Open Item and access-control APIs</x:v>
      </x:c>
      <x:c r="D11" s="28" t="str">
        <x:v>Dev 1</x:v>
      </x:c>
      <x:c r="E11" s="47" t="str">
        <x:v>BA03, F03</x:v>
      </x:c>
      <x:c r="F11" s="50" t="n">
        <x:v>11</x:v>
      </x:c>
      <x:c r="G11" s="50" t="n">
        <x:v>5</x:v>
      </x:c>
      <x:c r="H11" s="51" t="n">
        <x:v>3</x:v>
      </x:c>
      <x:c r="I11" s="39" t="n">
        <x:f>IF(OR(F11="",G11=""),"",F11+G11-1)</x:f>
        <x:v>15</x:v>
      </x:c>
      <x:c r="J11" s="41" t="n">
        <x:f>IF(OR(F11="",F11&lt;1,F11&gt;Calendar!$B$9),"",INDEX(Calendar!$A$16:$A$141,MATCH(F11,Calendar!$D$16:$D$141,0)))</x:f>
        <x:v>46342</x:v>
      </x:c>
      <x:c r="K11" s="41" t="n">
        <x:f>IF(OR(I11="",I11&lt;1,I11&gt;Calendar!$B$9),"",INDEX(Calendar!$A$16:$A$141,MATCH(I11,Calendar!$D$16:$D$141,0)))</x:f>
        <x:v>46346</x:v>
      </x:c>
      <x:c r="L11" s="53" t="n">
        <x:v>0</x:v>
      </x:c>
      <x:c r="M11" s="39" t="str">
        <x:f>IF(OR(F11="",G11="",H11=""),"Missing input",IF(OR(F11&lt;1,G11&lt;1,I11&gt;Calendar!$B$9),"Outside calendar",IF(F11&lt;MAX(INDEX($I$8:$I$157,MATCH("BA03",$A$8:$A$157,0))+1,INDEX($I$8:$I$157,MATCH("F03",$A$8:$A$157,0))+1),"Dependency conflict","Scheduled")))</x:f>
        <x:v>Scheduled</x:v>
      </x:c>
      <x:c r="N11" s="45" t="n">
        <x:f>IF(OR($J11="",$K11=""),"",IF(SUMIFS(Calendar!$C$16:$C$141,Calendar!$A$16:$A$141,"&gt;="&amp;MAX(N$7,$J11),Calendar!$A$16:$A$141,"&lt;="&amp;MIN(N$7+4,$K11))=0,0,IF($H11="","EXT",SUMIFS(Calendar!$C$16:$C$141,Calendar!$A$16:$A$141,"&gt;="&amp;MAX(N$7,$J11),Calendar!$A$16:$A$141,"&lt;="&amp;MIN(N$7+4,$K11))*$H11/$G11)))</x:f>
        <x:v>0</x:v>
      </x:c>
      <x:c r="O11" s="45" t="n">
        <x:f>IF(OR($J11="",$K11=""),"",IF(SUMIFS(Calendar!$C$16:$C$141,Calendar!$A$16:$A$141,"&gt;="&amp;MAX(O$7,$J11),Calendar!$A$16:$A$141,"&lt;="&amp;MIN(O$7+4,$K11))=0,0,IF($H11="","EXT",SUMIFS(Calendar!$C$16:$C$141,Calendar!$A$16:$A$141,"&gt;="&amp;MAX(O$7,$J11),Calendar!$A$16:$A$141,"&lt;="&amp;MIN(O$7+4,$K11))*$H11/$G11)))</x:f>
        <x:v>0</x:v>
      </x:c>
      <x:c r="P11" s="45" t="n">
        <x:f>IF(OR($J11="",$K11=""),"",IF(SUMIFS(Calendar!$C$16:$C$141,Calendar!$A$16:$A$141,"&gt;="&amp;MAX(P$7,$J11),Calendar!$A$16:$A$141,"&lt;="&amp;MIN(P$7+4,$K11))=0,0,IF($H11="","EXT",SUMIFS(Calendar!$C$16:$C$141,Calendar!$A$16:$A$141,"&gt;="&amp;MAX(P$7,$J11),Calendar!$A$16:$A$141,"&lt;="&amp;MIN(P$7+4,$K11))*$H11/$G11)))</x:f>
        <x:v>3</x:v>
      </x:c>
      <x:c r="Q11" s="45" t="n">
        <x:f>IF(OR($J11="",$K11=""),"",IF(SUMIFS(Calendar!$C$16:$C$141,Calendar!$A$16:$A$141,"&gt;="&amp;MAX(Q$7,$J11),Calendar!$A$16:$A$141,"&lt;="&amp;MIN(Q$7+4,$K11))=0,0,IF($H11="","EXT",SUMIFS(Calendar!$C$16:$C$141,Calendar!$A$16:$A$141,"&gt;="&amp;MAX(Q$7,$J11),Calendar!$A$16:$A$141,"&lt;="&amp;MIN(Q$7+4,$K11))*$H11/$G11)))</x:f>
        <x:v>0</x:v>
      </x:c>
      <x:c r="R11" s="45" t="n">
        <x:f>IF(OR($J11="",$K11=""),"",IF(SUMIFS(Calendar!$C$16:$C$141,Calendar!$A$16:$A$141,"&gt;="&amp;MAX(R$7,$J11),Calendar!$A$16:$A$141,"&lt;="&amp;MIN(R$7+4,$K11))=0,0,IF($H11="","EXT",SUMIFS(Calendar!$C$16:$C$141,Calendar!$A$16:$A$141,"&gt;="&amp;MAX(R$7,$J11),Calendar!$A$16:$A$141,"&lt;="&amp;MIN(R$7+4,$K11))*$H11/$G11)))</x:f>
        <x:v>0</x:v>
      </x:c>
      <x:c r="S11" s="45" t="n">
        <x:f>IF(OR($J11="",$K11=""),"",IF(SUMIFS(Calendar!$C$16:$C$141,Calendar!$A$16:$A$141,"&gt;="&amp;MAX(S$7,$J11),Calendar!$A$16:$A$141,"&lt;="&amp;MIN(S$7+4,$K11))=0,0,IF($H11="","EXT",SUMIFS(Calendar!$C$16:$C$141,Calendar!$A$16:$A$141,"&gt;="&amp;MAX(S$7,$J11),Calendar!$A$16:$A$141,"&lt;="&amp;MIN(S$7+4,$K11))*$H11/$G11)))</x:f>
        <x:v>0</x:v>
      </x:c>
      <x:c r="T11" s="45" t="n">
        <x:f>IF(OR($J11="",$K11=""),"",IF(SUMIFS(Calendar!$C$16:$C$141,Calendar!$A$16:$A$141,"&gt;="&amp;MAX(T$7,$J11),Calendar!$A$16:$A$141,"&lt;="&amp;MIN(T$7+4,$K11))=0,0,IF($H11="","EXT",SUMIFS(Calendar!$C$16:$C$141,Calendar!$A$16:$A$141,"&gt;="&amp;MAX(T$7,$J11),Calendar!$A$16:$A$141,"&lt;="&amp;MIN(T$7+4,$K11))*$H11/$G11)))</x:f>
        <x:v>0</x:v>
      </x:c>
      <x:c r="U11" s="45" t="n">
        <x:f>IF(OR($J11="",$K11=""),"",IF(SUMIFS(Calendar!$C$16:$C$141,Calendar!$A$16:$A$141,"&gt;="&amp;MAX(U$7,$J11),Calendar!$A$16:$A$141,"&lt;="&amp;MIN(U$7+4,$K11))=0,0,IF($H11="","EXT",SUMIFS(Calendar!$C$16:$C$141,Calendar!$A$16:$A$141,"&gt;="&amp;MAX(U$7,$J11),Calendar!$A$16:$A$141,"&lt;="&amp;MIN(U$7+4,$K11))*$H11/$G11)))</x:f>
        <x:v>0</x:v>
      </x:c>
      <x:c r="V11" s="45" t="n">
        <x:f>IF(OR($J11="",$K11=""),"",IF(SUMIFS(Calendar!$C$16:$C$141,Calendar!$A$16:$A$141,"&gt;="&amp;MAX(V$7,$J11),Calendar!$A$16:$A$141,"&lt;="&amp;MIN(V$7+4,$K11))=0,0,IF($H11="","EXT",SUMIFS(Calendar!$C$16:$C$141,Calendar!$A$16:$A$141,"&gt;="&amp;MAX(V$7,$J11),Calendar!$A$16:$A$141,"&lt;="&amp;MIN(V$7+4,$K11))*$H11/$G11)))</x:f>
        <x:v>0</x:v>
      </x:c>
      <x:c r="W11" s="45" t="n">
        <x:f>IF(OR($J11="",$K11=""),"",IF(SUMIFS(Calendar!$C$16:$C$141,Calendar!$A$16:$A$141,"&gt;="&amp;MAX(W$7,$J11),Calendar!$A$16:$A$141,"&lt;="&amp;MIN(W$7+4,$K11))=0,0,IF($H11="","EXT",SUMIFS(Calendar!$C$16:$C$141,Calendar!$A$16:$A$141,"&gt;="&amp;MAX(W$7,$J11),Calendar!$A$16:$A$141,"&lt;="&amp;MIN(W$7+4,$K11))*$H11/$G11)))</x:f>
        <x:v>0</x:v>
      </x:c>
      <x:c r="X11" s="45" t="n">
        <x:f>IF(OR($J11="",$K11=""),"",IF(SUMIFS(Calendar!$C$16:$C$141,Calendar!$A$16:$A$141,"&gt;="&amp;MAX(X$7,$J11),Calendar!$A$16:$A$141,"&lt;="&amp;MIN(X$7+4,$K11))=0,0,IF($H11="","EXT",SUMIFS(Calendar!$C$16:$C$141,Calendar!$A$16:$A$141,"&gt;="&amp;MAX(X$7,$J11),Calendar!$A$16:$A$141,"&lt;="&amp;MIN(X$7+4,$K11))*$H11/$G11)))</x:f>
        <x:v>0</x:v>
      </x:c>
      <x:c r="Y11" s="45" t="n">
        <x:f>IF(OR($J11="",$K11=""),"",IF(SUMIFS(Calendar!$C$16:$C$141,Calendar!$A$16:$A$141,"&gt;="&amp;MAX(Y$7,$J11),Calendar!$A$16:$A$141,"&lt;="&amp;MIN(Y$7+4,$K11))=0,0,IF($H11="","EXT",SUMIFS(Calendar!$C$16:$C$141,Calendar!$A$16:$A$141,"&gt;="&amp;MAX(Y$7,$J11),Calendar!$A$16:$A$141,"&lt;="&amp;MIN(Y$7+4,$K11))*$H11/$G11)))</x:f>
        <x:v>0</x:v>
      </x:c>
      <x:c r="Z11" s="45" t="n">
        <x:f>IF(OR($J11="",$K11=""),"",IF(SUMIFS(Calendar!$C$16:$C$141,Calendar!$A$16:$A$141,"&gt;="&amp;MAX(Z$7,$J11),Calendar!$A$16:$A$141,"&lt;="&amp;MIN(Z$7+4,$K11))=0,0,IF($H11="","EXT",SUMIFS(Calendar!$C$16:$C$141,Calendar!$A$16:$A$141,"&gt;="&amp;MAX(Z$7,$J11),Calendar!$A$16:$A$141,"&lt;="&amp;MIN(Z$7+4,$K11))*$H11/$G11)))</x:f>
        <x:v>0</x:v>
      </x:c>
      <x:c r="AA11" s="45" t="n">
        <x:f>IF(OR($J11="",$K11=""),"",IF(SUMIFS(Calendar!$C$16:$C$141,Calendar!$A$16:$A$141,"&gt;="&amp;MAX(AA$7,$J11),Calendar!$A$16:$A$141,"&lt;="&amp;MIN(AA$7+4,$K11))=0,0,IF($H11="","EXT",SUMIFS(Calendar!$C$16:$C$141,Calendar!$A$16:$A$141,"&gt;="&amp;MAX(AA$7,$J11),Calendar!$A$16:$A$141,"&lt;="&amp;MIN(AA$7+4,$K11))*$H11/$G11)))</x:f>
        <x:v>0</x:v>
      </x:c>
      <x:c r="AB11" s="45" t="n">
        <x:f>IF(OR($J11="",$K11=""),"",IF(SUMIFS(Calendar!$C$16:$C$141,Calendar!$A$16:$A$141,"&gt;="&amp;MAX(AB$7,$J11),Calendar!$A$16:$A$141,"&lt;="&amp;MIN(AB$7+4,$K11))=0,0,IF($H11="","EXT",SUMIFS(Calendar!$C$16:$C$141,Calendar!$A$16:$A$141,"&gt;="&amp;MAX(AB$7,$J11),Calendar!$A$16:$A$141,"&lt;="&amp;MIN(AB$7+4,$K11))*$H11/$G11)))</x:f>
        <x:v>0</x:v>
      </x:c>
      <x:c r="AC11" s="45" t="n">
        <x:f>IF(OR($J11="",$K11=""),"",IF(SUMIFS(Calendar!$C$16:$C$141,Calendar!$A$16:$A$141,"&gt;="&amp;MAX(AC$7,$J11),Calendar!$A$16:$A$141,"&lt;="&amp;MIN(AC$7+4,$K11))=0,0,IF($H11="","EXT",SUMIFS(Calendar!$C$16:$C$141,Calendar!$A$16:$A$141,"&gt;="&amp;MAX(AC$7,$J11),Calendar!$A$16:$A$141,"&lt;="&amp;MIN(AC$7+4,$K11))*$H11/$G11)))</x:f>
        <x:v>0</x:v>
      </x:c>
      <x:c r="AD11" s="45" t="n">
        <x:f>IF(OR($J11="",$K11=""),"",IF(SUMIFS(Calendar!$C$16:$C$141,Calendar!$A$16:$A$141,"&gt;="&amp;MAX(AD$7,$J11),Calendar!$A$16:$A$141,"&lt;="&amp;MIN(AD$7+4,$K11))=0,0,IF($H11="","EXT",SUMIFS(Calendar!$C$16:$C$141,Calendar!$A$16:$A$141,"&gt;="&amp;MAX(AD$7,$J11),Calendar!$A$16:$A$141,"&lt;="&amp;MIN(AD$7+4,$K11))*$H11/$G11)))</x:f>
        <x:v>0</x:v>
      </x:c>
      <x:c r="AE11" s="45" t="n">
        <x:f>IF(OR($J11="",$K11=""),"",IF(SUMIFS(Calendar!$C$16:$C$141,Calendar!$A$16:$A$141,"&gt;="&amp;MAX(AE$7,$J11),Calendar!$A$16:$A$141,"&lt;="&amp;MIN(AE$7+4,$K11))=0,0,IF($H11="","EXT",SUMIFS(Calendar!$C$16:$C$141,Calendar!$A$16:$A$141,"&gt;="&amp;MAX(AE$7,$J11),Calendar!$A$16:$A$141,"&lt;="&amp;MIN(AE$7+4,$K11))*$H11/$G11)))</x:f>
        <x:v>0</x:v>
      </x:c>
      <x:c r="AF11" s="8" t="n">
        <x:f>IF(OR(M11&lt;&gt;"Scheduled",INDEX('Team and Gates'!$C$7:$C$13,MATCH($D11,'Team and Gates'!$A$7:$A$13,0))=""),"CHECK",SUM(N11:AE11)*INDEX('Team and Gates'!$C$7:$C$13,MATCH($D11,'Team and Gates'!$A$7:$A$13,0)))</x:f>
        <x:v>1080</x:v>
      </x:c>
      <x:c r="AG11" s="46" t="str">
        <x:v>Developer checks and positive/negative acceptance examples pass; review AI-generated code before handoff.</x:v>
      </x:c>
      <x:c r="AH11" s="46" t="str">
        <x:v>Three-week feature implementation window after FSD signoff; use Codex with developer review and continuous tests.</x:v>
      </x:c>
    </x:row>
    <x:row r="12" ht="45" customHeight="1">
      <x:c r="A12" s="2" t="str">
        <x:v>B05</x:v>
      </x:c>
      <x:c r="B12" s="2" t="str">
        <x:v>API / domain</x:v>
      </x:c>
      <x:c r="C12" s="46" t="str">
        <x:v>AI-assisted coding: Triage decisions and customer dashboard APIs</x:v>
      </x:c>
      <x:c r="D12" s="28" t="str">
        <x:v>Dev 1</x:v>
      </x:c>
      <x:c r="E12" s="46" t="str">
        <x:v>B04</x:v>
      </x:c>
      <x:c r="F12" s="50" t="n">
        <x:v>16</x:v>
      </x:c>
      <x:c r="G12" s="50" t="n">
        <x:v>5</x:v>
      </x:c>
      <x:c r="H12" s="51" t="n">
        <x:v>4</x:v>
      </x:c>
      <x:c r="I12" s="2" t="n">
        <x:f>IF(OR(F12="",G12=""),"",F12+G12-1)</x:f>
        <x:v>20</x:v>
      </x:c>
      <x:c r="J12" s="5" t="n">
        <x:f>IF(OR(F12="",F12&lt;1,F12&gt;Calendar!$B$9),"",INDEX(Calendar!$A$16:$A$141,MATCH(F12,Calendar!$D$16:$D$141,0)))</x:f>
        <x:v>46349</x:v>
      </x:c>
      <x:c r="K12" s="5" t="n">
        <x:f>IF(OR(I12="",I12&lt;1,I12&gt;Calendar!$B$9),"",INDEX(Calendar!$A$16:$A$141,MATCH(I12,Calendar!$D$16:$D$141,0)))</x:f>
        <x:v>46353</x:v>
      </x:c>
      <x:c r="L12" s="53" t="n">
        <x:v>0</x:v>
      </x:c>
      <x:c r="M12" s="2" t="str">
        <x:f>IF(OR(F12="",G12="",H12=""),"Missing input",IF(OR(F12&lt;1,G12&lt;1,I12&gt;Calendar!$B$9),"Outside calendar",IF(F12&lt;MAX(INDEX($I$8:$I$157,MATCH("B04",$A$8:$A$157,0))+1),"Dependency conflict","Scheduled")))</x:f>
        <x:v>Scheduled</x:v>
      </x:c>
      <x:c r="N12" s="45" t="n">
        <x:f>IF(OR($J12="",$K12=""),"",IF(SUMIFS(Calendar!$C$16:$C$141,Calendar!$A$16:$A$141,"&gt;="&amp;MAX(N$7,$J12),Calendar!$A$16:$A$141,"&lt;="&amp;MIN(N$7+4,$K12))=0,0,IF($H12="","EXT",SUMIFS(Calendar!$C$16:$C$141,Calendar!$A$16:$A$141,"&gt;="&amp;MAX(N$7,$J12),Calendar!$A$16:$A$141,"&lt;="&amp;MIN(N$7+4,$K12))*$H12/$G12)))</x:f>
        <x:v>0</x:v>
      </x:c>
      <x:c r="O12" s="45" t="n">
        <x:f>IF(OR($J12="",$K12=""),"",IF(SUMIFS(Calendar!$C$16:$C$141,Calendar!$A$16:$A$141,"&gt;="&amp;MAX(O$7,$J12),Calendar!$A$16:$A$141,"&lt;="&amp;MIN(O$7+4,$K12))=0,0,IF($H12="","EXT",SUMIFS(Calendar!$C$16:$C$141,Calendar!$A$16:$A$141,"&gt;="&amp;MAX(O$7,$J12),Calendar!$A$16:$A$141,"&lt;="&amp;MIN(O$7+4,$K12))*$H12/$G12)))</x:f>
        <x:v>0</x:v>
      </x:c>
      <x:c r="P12" s="45" t="n">
        <x:f>IF(OR($J12="",$K12=""),"",IF(SUMIFS(Calendar!$C$16:$C$141,Calendar!$A$16:$A$141,"&gt;="&amp;MAX(P$7,$J12),Calendar!$A$16:$A$141,"&lt;="&amp;MIN(P$7+4,$K12))=0,0,IF($H12="","EXT",SUMIFS(Calendar!$C$16:$C$141,Calendar!$A$16:$A$141,"&gt;="&amp;MAX(P$7,$J12),Calendar!$A$16:$A$141,"&lt;="&amp;MIN(P$7+4,$K12))*$H12/$G12)))</x:f>
        <x:v>0</x:v>
      </x:c>
      <x:c r="Q12" s="45" t="n">
        <x:f>IF(OR($J12="",$K12=""),"",IF(SUMIFS(Calendar!$C$16:$C$141,Calendar!$A$16:$A$141,"&gt;="&amp;MAX(Q$7,$J12),Calendar!$A$16:$A$141,"&lt;="&amp;MIN(Q$7+4,$K12))=0,0,IF($H12="","EXT",SUMIFS(Calendar!$C$16:$C$141,Calendar!$A$16:$A$141,"&gt;="&amp;MAX(Q$7,$J12),Calendar!$A$16:$A$141,"&lt;="&amp;MIN(Q$7+4,$K12))*$H12/$G12)))</x:f>
        <x:v>4</x:v>
      </x:c>
      <x:c r="R12" s="45" t="n">
        <x:f>IF(OR($J12="",$K12=""),"",IF(SUMIFS(Calendar!$C$16:$C$141,Calendar!$A$16:$A$141,"&gt;="&amp;MAX(R$7,$J12),Calendar!$A$16:$A$141,"&lt;="&amp;MIN(R$7+4,$K12))=0,0,IF($H12="","EXT",SUMIFS(Calendar!$C$16:$C$141,Calendar!$A$16:$A$141,"&gt;="&amp;MAX(R$7,$J12),Calendar!$A$16:$A$141,"&lt;="&amp;MIN(R$7+4,$K12))*$H12/$G12)))</x:f>
        <x:v>0</x:v>
      </x:c>
      <x:c r="S12" s="45" t="n">
        <x:f>IF(OR($J12="",$K12=""),"",IF(SUMIFS(Calendar!$C$16:$C$141,Calendar!$A$16:$A$141,"&gt;="&amp;MAX(S$7,$J12),Calendar!$A$16:$A$141,"&lt;="&amp;MIN(S$7+4,$K12))=0,0,IF($H12="","EXT",SUMIFS(Calendar!$C$16:$C$141,Calendar!$A$16:$A$141,"&gt;="&amp;MAX(S$7,$J12),Calendar!$A$16:$A$141,"&lt;="&amp;MIN(S$7+4,$K12))*$H12/$G12)))</x:f>
        <x:v>0</x:v>
      </x:c>
      <x:c r="T12" s="45" t="n">
        <x:f>IF(OR($J12="",$K12=""),"",IF(SUMIFS(Calendar!$C$16:$C$141,Calendar!$A$16:$A$141,"&gt;="&amp;MAX(T$7,$J12),Calendar!$A$16:$A$141,"&lt;="&amp;MIN(T$7+4,$K12))=0,0,IF($H12="","EXT",SUMIFS(Calendar!$C$16:$C$141,Calendar!$A$16:$A$141,"&gt;="&amp;MAX(T$7,$J12),Calendar!$A$16:$A$141,"&lt;="&amp;MIN(T$7+4,$K12))*$H12/$G12)))</x:f>
        <x:v>0</x:v>
      </x:c>
      <x:c r="U12" s="45" t="n">
        <x:f>IF(OR($J12="",$K12=""),"",IF(SUMIFS(Calendar!$C$16:$C$141,Calendar!$A$16:$A$141,"&gt;="&amp;MAX(U$7,$J12),Calendar!$A$16:$A$141,"&lt;="&amp;MIN(U$7+4,$K12))=0,0,IF($H12="","EXT",SUMIFS(Calendar!$C$16:$C$141,Calendar!$A$16:$A$141,"&gt;="&amp;MAX(U$7,$J12),Calendar!$A$16:$A$141,"&lt;="&amp;MIN(U$7+4,$K12))*$H12/$G12)))</x:f>
        <x:v>0</x:v>
      </x:c>
      <x:c r="V12" s="45" t="n">
        <x:f>IF(OR($J12="",$K12=""),"",IF(SUMIFS(Calendar!$C$16:$C$141,Calendar!$A$16:$A$141,"&gt;="&amp;MAX(V$7,$J12),Calendar!$A$16:$A$141,"&lt;="&amp;MIN(V$7+4,$K12))=0,0,IF($H12="","EXT",SUMIFS(Calendar!$C$16:$C$141,Calendar!$A$16:$A$141,"&gt;="&amp;MAX(V$7,$J12),Calendar!$A$16:$A$141,"&lt;="&amp;MIN(V$7+4,$K12))*$H12/$G12)))</x:f>
        <x:v>0</x:v>
      </x:c>
      <x:c r="W12" s="45" t="n">
        <x:f>IF(OR($J12="",$K12=""),"",IF(SUMIFS(Calendar!$C$16:$C$141,Calendar!$A$16:$A$141,"&gt;="&amp;MAX(W$7,$J12),Calendar!$A$16:$A$141,"&lt;="&amp;MIN(W$7+4,$K12))=0,0,IF($H12="","EXT",SUMIFS(Calendar!$C$16:$C$141,Calendar!$A$16:$A$141,"&gt;="&amp;MAX(W$7,$J12),Calendar!$A$16:$A$141,"&lt;="&amp;MIN(W$7+4,$K12))*$H12/$G12)))</x:f>
        <x:v>0</x:v>
      </x:c>
      <x:c r="X12" s="45" t="n">
        <x:f>IF(OR($J12="",$K12=""),"",IF(SUMIFS(Calendar!$C$16:$C$141,Calendar!$A$16:$A$141,"&gt;="&amp;MAX(X$7,$J12),Calendar!$A$16:$A$141,"&lt;="&amp;MIN(X$7+4,$K12))=0,0,IF($H12="","EXT",SUMIFS(Calendar!$C$16:$C$141,Calendar!$A$16:$A$141,"&gt;="&amp;MAX(X$7,$J12),Calendar!$A$16:$A$141,"&lt;="&amp;MIN(X$7+4,$K12))*$H12/$G12)))</x:f>
        <x:v>0</x:v>
      </x:c>
      <x:c r="Y12" s="45" t="n">
        <x:f>IF(OR($J12="",$K12=""),"",IF(SUMIFS(Calendar!$C$16:$C$141,Calendar!$A$16:$A$141,"&gt;="&amp;MAX(Y$7,$J12),Calendar!$A$16:$A$141,"&lt;="&amp;MIN(Y$7+4,$K12))=0,0,IF($H12="","EXT",SUMIFS(Calendar!$C$16:$C$141,Calendar!$A$16:$A$141,"&gt;="&amp;MAX(Y$7,$J12),Calendar!$A$16:$A$141,"&lt;="&amp;MIN(Y$7+4,$K12))*$H12/$G12)))</x:f>
        <x:v>0</x:v>
      </x:c>
      <x:c r="Z12" s="45" t="n">
        <x:f>IF(OR($J12="",$K12=""),"",IF(SUMIFS(Calendar!$C$16:$C$141,Calendar!$A$16:$A$141,"&gt;="&amp;MAX(Z$7,$J12),Calendar!$A$16:$A$141,"&lt;="&amp;MIN(Z$7+4,$K12))=0,0,IF($H12="","EXT",SUMIFS(Calendar!$C$16:$C$141,Calendar!$A$16:$A$141,"&gt;="&amp;MAX(Z$7,$J12),Calendar!$A$16:$A$141,"&lt;="&amp;MIN(Z$7+4,$K12))*$H12/$G12)))</x:f>
        <x:v>0</x:v>
      </x:c>
      <x:c r="AA12" s="45" t="n">
        <x:f>IF(OR($J12="",$K12=""),"",IF(SUMIFS(Calendar!$C$16:$C$141,Calendar!$A$16:$A$141,"&gt;="&amp;MAX(AA$7,$J12),Calendar!$A$16:$A$141,"&lt;="&amp;MIN(AA$7+4,$K12))=0,0,IF($H12="","EXT",SUMIFS(Calendar!$C$16:$C$141,Calendar!$A$16:$A$141,"&gt;="&amp;MAX(AA$7,$J12),Calendar!$A$16:$A$141,"&lt;="&amp;MIN(AA$7+4,$K12))*$H12/$G12)))</x:f>
        <x:v>0</x:v>
      </x:c>
      <x:c r="AB12" s="45" t="n">
        <x:f>IF(OR($J12="",$K12=""),"",IF(SUMIFS(Calendar!$C$16:$C$141,Calendar!$A$16:$A$141,"&gt;="&amp;MAX(AB$7,$J12),Calendar!$A$16:$A$141,"&lt;="&amp;MIN(AB$7+4,$K12))=0,0,IF($H12="","EXT",SUMIFS(Calendar!$C$16:$C$141,Calendar!$A$16:$A$141,"&gt;="&amp;MAX(AB$7,$J12),Calendar!$A$16:$A$141,"&lt;="&amp;MIN(AB$7+4,$K12))*$H12/$G12)))</x:f>
        <x:v>0</x:v>
      </x:c>
      <x:c r="AC12" s="45" t="n">
        <x:f>IF(OR($J12="",$K12=""),"",IF(SUMIFS(Calendar!$C$16:$C$141,Calendar!$A$16:$A$141,"&gt;="&amp;MAX(AC$7,$J12),Calendar!$A$16:$A$141,"&lt;="&amp;MIN(AC$7+4,$K12))=0,0,IF($H12="","EXT",SUMIFS(Calendar!$C$16:$C$141,Calendar!$A$16:$A$141,"&gt;="&amp;MAX(AC$7,$J12),Calendar!$A$16:$A$141,"&lt;="&amp;MIN(AC$7+4,$K12))*$H12/$G12)))</x:f>
        <x:v>0</x:v>
      </x:c>
      <x:c r="AD12" s="45" t="n">
        <x:f>IF(OR($J12="",$K12=""),"",IF(SUMIFS(Calendar!$C$16:$C$141,Calendar!$A$16:$A$141,"&gt;="&amp;MAX(AD$7,$J12),Calendar!$A$16:$A$141,"&lt;="&amp;MIN(AD$7+4,$K12))=0,0,IF($H12="","EXT",SUMIFS(Calendar!$C$16:$C$141,Calendar!$A$16:$A$141,"&gt;="&amp;MAX(AD$7,$J12),Calendar!$A$16:$A$141,"&lt;="&amp;MIN(AD$7+4,$K12))*$H12/$G12)))</x:f>
        <x:v>0</x:v>
      </x:c>
      <x:c r="AE12" s="45" t="n">
        <x:f>IF(OR($J12="",$K12=""),"",IF(SUMIFS(Calendar!$C$16:$C$141,Calendar!$A$16:$A$141,"&gt;="&amp;MAX(AE$7,$J12),Calendar!$A$16:$A$141,"&lt;="&amp;MIN(AE$7+4,$K12))=0,0,IF($H12="","EXT",SUMIFS(Calendar!$C$16:$C$141,Calendar!$A$16:$A$141,"&gt;="&amp;MAX(AE$7,$J12),Calendar!$A$16:$A$141,"&lt;="&amp;MIN(AE$7+4,$K12))*$H12/$G12)))</x:f>
        <x:v>0</x:v>
      </x:c>
      <x:c r="AF12" s="8" t="n">
        <x:f>IF(OR(M12&lt;&gt;"Scheduled",INDEX('Team and Gates'!$C$7:$C$13,MATCH($D12,'Team and Gates'!$A$7:$A$13,0))=""),"CHECK",SUM(N12:AE12)*INDEX('Team and Gates'!$C$7:$C$13,MATCH($D12,'Team and Gates'!$A$7:$A$13,0)))</x:f>
        <x:v>1440</x:v>
      </x:c>
      <x:c r="AG12" s="46" t="str">
        <x:v>Developer checks and positive/negative acceptance examples pass; review AI-generated code before handoff.</x:v>
      </x:c>
      <x:c r="AH12" s="46" t="str">
        <x:v>Three-week feature implementation window after FSD signoff; use Codex with developer review and continuous tests.</x:v>
      </x:c>
    </x:row>
    <x:row r="13" ht="45" customHeight="1">
      <x:c r="A13" s="39" t="str">
        <x:v>B06</x:v>
      </x:c>
      <x:c r="B13" s="39" t="str">
        <x:v>API / domain</x:v>
      </x:c>
      <x:c r="C13" s="47" t="str">
        <x:v>AI-assisted coding: draft approval and Playbook authoring APIs</x:v>
      </x:c>
      <x:c r="D13" s="28" t="str">
        <x:v>Dev 1</x:v>
      </x:c>
      <x:c r="E13" s="47" t="str">
        <x:v>B05</x:v>
      </x:c>
      <x:c r="F13" s="50" t="n">
        <x:v>21</x:v>
      </x:c>
      <x:c r="G13" s="50" t="n">
        <x:v>2</x:v>
      </x:c>
      <x:c r="H13" s="51" t="n">
        <x:v>1.6</x:v>
      </x:c>
      <x:c r="I13" s="39" t="n">
        <x:f>IF(OR(F13="",G13=""),"",F13+G13-1)</x:f>
        <x:v>22</x:v>
      </x:c>
      <x:c r="J13" s="41" t="n">
        <x:f>IF(OR(F13="",F13&lt;1,F13&gt;Calendar!$B$9),"",INDEX(Calendar!$A$16:$A$141,MATCH(F13,Calendar!$D$16:$D$141,0)))</x:f>
        <x:v>46356</x:v>
      </x:c>
      <x:c r="K13" s="41" t="n">
        <x:f>IF(OR(I13="",I13&lt;1,I13&gt;Calendar!$B$9),"",INDEX(Calendar!$A$16:$A$141,MATCH(I13,Calendar!$D$16:$D$141,0)))</x:f>
        <x:v>46357</x:v>
      </x:c>
      <x:c r="L13" s="53" t="n">
        <x:v>0</x:v>
      </x:c>
      <x:c r="M13" s="39" t="str">
        <x:f>IF(OR(F13="",G13="",H13=""),"Missing input",IF(OR(F13&lt;1,G13&lt;1,I13&gt;Calendar!$B$9),"Outside calendar",IF(F13&lt;MAX(INDEX($I$8:$I$157,MATCH("B05",$A$8:$A$157,0))+1),"Dependency conflict","Scheduled")))</x:f>
        <x:v>Scheduled</x:v>
      </x:c>
      <x:c r="N13" s="45" t="n">
        <x:f>IF(OR($J13="",$K13=""),"",IF(SUMIFS(Calendar!$C$16:$C$141,Calendar!$A$16:$A$141,"&gt;="&amp;MAX(N$7,$J13),Calendar!$A$16:$A$141,"&lt;="&amp;MIN(N$7+4,$K13))=0,0,IF($H13="","EXT",SUMIFS(Calendar!$C$16:$C$141,Calendar!$A$16:$A$141,"&gt;="&amp;MAX(N$7,$J13),Calendar!$A$16:$A$141,"&lt;="&amp;MIN(N$7+4,$K13))*$H13/$G13)))</x:f>
        <x:v>0</x:v>
      </x:c>
      <x:c r="O13" s="45" t="n">
        <x:f>IF(OR($J13="",$K13=""),"",IF(SUMIFS(Calendar!$C$16:$C$141,Calendar!$A$16:$A$141,"&gt;="&amp;MAX(O$7,$J13),Calendar!$A$16:$A$141,"&lt;="&amp;MIN(O$7+4,$K13))=0,0,IF($H13="","EXT",SUMIFS(Calendar!$C$16:$C$141,Calendar!$A$16:$A$141,"&gt;="&amp;MAX(O$7,$J13),Calendar!$A$16:$A$141,"&lt;="&amp;MIN(O$7+4,$K13))*$H13/$G13)))</x:f>
        <x:v>0</x:v>
      </x:c>
      <x:c r="P13" s="45" t="n">
        <x:f>IF(OR($J13="",$K13=""),"",IF(SUMIFS(Calendar!$C$16:$C$141,Calendar!$A$16:$A$141,"&gt;="&amp;MAX(P$7,$J13),Calendar!$A$16:$A$141,"&lt;="&amp;MIN(P$7+4,$K13))=0,0,IF($H13="","EXT",SUMIFS(Calendar!$C$16:$C$141,Calendar!$A$16:$A$141,"&gt;="&amp;MAX(P$7,$J13),Calendar!$A$16:$A$141,"&lt;="&amp;MIN(P$7+4,$K13))*$H13/$G13)))</x:f>
        <x:v>0</x:v>
      </x:c>
      <x:c r="Q13" s="45" t="n">
        <x:f>IF(OR($J13="",$K13=""),"",IF(SUMIFS(Calendar!$C$16:$C$141,Calendar!$A$16:$A$141,"&gt;="&amp;MAX(Q$7,$J13),Calendar!$A$16:$A$141,"&lt;="&amp;MIN(Q$7+4,$K13))=0,0,IF($H13="","EXT",SUMIFS(Calendar!$C$16:$C$141,Calendar!$A$16:$A$141,"&gt;="&amp;MAX(Q$7,$J13),Calendar!$A$16:$A$141,"&lt;="&amp;MIN(Q$7+4,$K13))*$H13/$G13)))</x:f>
        <x:v>0</x:v>
      </x:c>
      <x:c r="R13" s="45" t="n">
        <x:f>IF(OR($J13="",$K13=""),"",IF(SUMIFS(Calendar!$C$16:$C$141,Calendar!$A$16:$A$141,"&gt;="&amp;MAX(R$7,$J13),Calendar!$A$16:$A$141,"&lt;="&amp;MIN(R$7+4,$K13))=0,0,IF($H13="","EXT",SUMIFS(Calendar!$C$16:$C$141,Calendar!$A$16:$A$141,"&gt;="&amp;MAX(R$7,$J13),Calendar!$A$16:$A$141,"&lt;="&amp;MIN(R$7+4,$K13))*$H13/$G13)))</x:f>
        <x:v>1.6</x:v>
      </x:c>
      <x:c r="S13" s="45" t="n">
        <x:f>IF(OR($J13="",$K13=""),"",IF(SUMIFS(Calendar!$C$16:$C$141,Calendar!$A$16:$A$141,"&gt;="&amp;MAX(S$7,$J13),Calendar!$A$16:$A$141,"&lt;="&amp;MIN(S$7+4,$K13))=0,0,IF($H13="","EXT",SUMIFS(Calendar!$C$16:$C$141,Calendar!$A$16:$A$141,"&gt;="&amp;MAX(S$7,$J13),Calendar!$A$16:$A$141,"&lt;="&amp;MIN(S$7+4,$K13))*$H13/$G13)))</x:f>
        <x:v>0</x:v>
      </x:c>
      <x:c r="T13" s="45" t="n">
        <x:f>IF(OR($J13="",$K13=""),"",IF(SUMIFS(Calendar!$C$16:$C$141,Calendar!$A$16:$A$141,"&gt;="&amp;MAX(T$7,$J13),Calendar!$A$16:$A$141,"&lt;="&amp;MIN(T$7+4,$K13))=0,0,IF($H13="","EXT",SUMIFS(Calendar!$C$16:$C$141,Calendar!$A$16:$A$141,"&gt;="&amp;MAX(T$7,$J13),Calendar!$A$16:$A$141,"&lt;="&amp;MIN(T$7+4,$K13))*$H13/$G13)))</x:f>
        <x:v>0</x:v>
      </x:c>
      <x:c r="U13" s="45" t="n">
        <x:f>IF(OR($J13="",$K13=""),"",IF(SUMIFS(Calendar!$C$16:$C$141,Calendar!$A$16:$A$141,"&gt;="&amp;MAX(U$7,$J13),Calendar!$A$16:$A$141,"&lt;="&amp;MIN(U$7+4,$K13))=0,0,IF($H13="","EXT",SUMIFS(Calendar!$C$16:$C$141,Calendar!$A$16:$A$141,"&gt;="&amp;MAX(U$7,$J13),Calendar!$A$16:$A$141,"&lt;="&amp;MIN(U$7+4,$K13))*$H13/$G13)))</x:f>
        <x:v>0</x:v>
      </x:c>
      <x:c r="V13" s="45" t="n">
        <x:f>IF(OR($J13="",$K13=""),"",IF(SUMIFS(Calendar!$C$16:$C$141,Calendar!$A$16:$A$141,"&gt;="&amp;MAX(V$7,$J13),Calendar!$A$16:$A$141,"&lt;="&amp;MIN(V$7+4,$K13))=0,0,IF($H13="","EXT",SUMIFS(Calendar!$C$16:$C$141,Calendar!$A$16:$A$141,"&gt;="&amp;MAX(V$7,$J13),Calendar!$A$16:$A$141,"&lt;="&amp;MIN(V$7+4,$K13))*$H13/$G13)))</x:f>
        <x:v>0</x:v>
      </x:c>
      <x:c r="W13" s="45" t="n">
        <x:f>IF(OR($J13="",$K13=""),"",IF(SUMIFS(Calendar!$C$16:$C$141,Calendar!$A$16:$A$141,"&gt;="&amp;MAX(W$7,$J13),Calendar!$A$16:$A$141,"&lt;="&amp;MIN(W$7+4,$K13))=0,0,IF($H13="","EXT",SUMIFS(Calendar!$C$16:$C$141,Calendar!$A$16:$A$141,"&gt;="&amp;MAX(W$7,$J13),Calendar!$A$16:$A$141,"&lt;="&amp;MIN(W$7+4,$K13))*$H13/$G13)))</x:f>
        <x:v>0</x:v>
      </x:c>
      <x:c r="X13" s="45" t="n">
        <x:f>IF(OR($J13="",$K13=""),"",IF(SUMIFS(Calendar!$C$16:$C$141,Calendar!$A$16:$A$141,"&gt;="&amp;MAX(X$7,$J13),Calendar!$A$16:$A$141,"&lt;="&amp;MIN(X$7+4,$K13))=0,0,IF($H13="","EXT",SUMIFS(Calendar!$C$16:$C$141,Calendar!$A$16:$A$141,"&gt;="&amp;MAX(X$7,$J13),Calendar!$A$16:$A$141,"&lt;="&amp;MIN(X$7+4,$K13))*$H13/$G13)))</x:f>
        <x:v>0</x:v>
      </x:c>
      <x:c r="Y13" s="45" t="n">
        <x:f>IF(OR($J13="",$K13=""),"",IF(SUMIFS(Calendar!$C$16:$C$141,Calendar!$A$16:$A$141,"&gt;="&amp;MAX(Y$7,$J13),Calendar!$A$16:$A$141,"&lt;="&amp;MIN(Y$7+4,$K13))=0,0,IF($H13="","EXT",SUMIFS(Calendar!$C$16:$C$141,Calendar!$A$16:$A$141,"&gt;="&amp;MAX(Y$7,$J13),Calendar!$A$16:$A$141,"&lt;="&amp;MIN(Y$7+4,$K13))*$H13/$G13)))</x:f>
        <x:v>0</x:v>
      </x:c>
      <x:c r="Z13" s="45" t="n">
        <x:f>IF(OR($J13="",$K13=""),"",IF(SUMIFS(Calendar!$C$16:$C$141,Calendar!$A$16:$A$141,"&gt;="&amp;MAX(Z$7,$J13),Calendar!$A$16:$A$141,"&lt;="&amp;MIN(Z$7+4,$K13))=0,0,IF($H13="","EXT",SUMIFS(Calendar!$C$16:$C$141,Calendar!$A$16:$A$141,"&gt;="&amp;MAX(Z$7,$J13),Calendar!$A$16:$A$141,"&lt;="&amp;MIN(Z$7+4,$K13))*$H13/$G13)))</x:f>
        <x:v>0</x:v>
      </x:c>
      <x:c r="AA13" s="45" t="n">
        <x:f>IF(OR($J13="",$K13=""),"",IF(SUMIFS(Calendar!$C$16:$C$141,Calendar!$A$16:$A$141,"&gt;="&amp;MAX(AA$7,$J13),Calendar!$A$16:$A$141,"&lt;="&amp;MIN(AA$7+4,$K13))=0,0,IF($H13="","EXT",SUMIFS(Calendar!$C$16:$C$141,Calendar!$A$16:$A$141,"&gt;="&amp;MAX(AA$7,$J13),Calendar!$A$16:$A$141,"&lt;="&amp;MIN(AA$7+4,$K13))*$H13/$G13)))</x:f>
        <x:v>0</x:v>
      </x:c>
      <x:c r="AB13" s="45" t="n">
        <x:f>IF(OR($J13="",$K13=""),"",IF(SUMIFS(Calendar!$C$16:$C$141,Calendar!$A$16:$A$141,"&gt;="&amp;MAX(AB$7,$J13),Calendar!$A$16:$A$141,"&lt;="&amp;MIN(AB$7+4,$K13))=0,0,IF($H13="","EXT",SUMIFS(Calendar!$C$16:$C$141,Calendar!$A$16:$A$141,"&gt;="&amp;MAX(AB$7,$J13),Calendar!$A$16:$A$141,"&lt;="&amp;MIN(AB$7+4,$K13))*$H13/$G13)))</x:f>
        <x:v>0</x:v>
      </x:c>
      <x:c r="AC13" s="45" t="n">
        <x:f>IF(OR($J13="",$K13=""),"",IF(SUMIFS(Calendar!$C$16:$C$141,Calendar!$A$16:$A$141,"&gt;="&amp;MAX(AC$7,$J13),Calendar!$A$16:$A$141,"&lt;="&amp;MIN(AC$7+4,$K13))=0,0,IF($H13="","EXT",SUMIFS(Calendar!$C$16:$C$141,Calendar!$A$16:$A$141,"&gt;="&amp;MAX(AC$7,$J13),Calendar!$A$16:$A$141,"&lt;="&amp;MIN(AC$7+4,$K13))*$H13/$G13)))</x:f>
        <x:v>0</x:v>
      </x:c>
      <x:c r="AD13" s="45" t="n">
        <x:f>IF(OR($J13="",$K13=""),"",IF(SUMIFS(Calendar!$C$16:$C$141,Calendar!$A$16:$A$141,"&gt;="&amp;MAX(AD$7,$J13),Calendar!$A$16:$A$141,"&lt;="&amp;MIN(AD$7+4,$K13))=0,0,IF($H13="","EXT",SUMIFS(Calendar!$C$16:$C$141,Calendar!$A$16:$A$141,"&gt;="&amp;MAX(AD$7,$J13),Calendar!$A$16:$A$141,"&lt;="&amp;MIN(AD$7+4,$K13))*$H13/$G13)))</x:f>
        <x:v>0</x:v>
      </x:c>
      <x:c r="AE13" s="45" t="n">
        <x:f>IF(OR($J13="",$K13=""),"",IF(SUMIFS(Calendar!$C$16:$C$141,Calendar!$A$16:$A$141,"&gt;="&amp;MAX(AE$7,$J13),Calendar!$A$16:$A$141,"&lt;="&amp;MIN(AE$7+4,$K13))=0,0,IF($H13="","EXT",SUMIFS(Calendar!$C$16:$C$141,Calendar!$A$16:$A$141,"&gt;="&amp;MAX(AE$7,$J13),Calendar!$A$16:$A$141,"&lt;="&amp;MIN(AE$7+4,$K13))*$H13/$G13)))</x:f>
        <x:v>0</x:v>
      </x:c>
      <x:c r="AF13" s="8" t="n">
        <x:f>IF(OR(M13&lt;&gt;"Scheduled",INDEX('Team and Gates'!$C$7:$C$13,MATCH($D13,'Team and Gates'!$A$7:$A$13,0))=""),"CHECK",SUM(N13:AE13)*INDEX('Team and Gates'!$C$7:$C$13,MATCH($D13,'Team and Gates'!$A$7:$A$13,0)))</x:f>
        <x:v>576</x:v>
      </x:c>
      <x:c r="AG13" s="46" t="str">
        <x:v>Developer checks and positive/negative acceptance examples pass; review AI-generated code before handoff.</x:v>
      </x:c>
      <x:c r="AH13" s="46" t="str">
        <x:v>Three-week feature implementation window after FSD signoff; use Codex with developer review and continuous tests.</x:v>
      </x:c>
    </x:row>
    <x:row r="14" ht="45" customHeight="1">
      <x:c r="A14" s="2" t="str">
        <x:v>B07</x:v>
      </x:c>
      <x:c r="B14" s="2" t="str">
        <x:v>API / domain</x:v>
      </x:c>
      <x:c r="C14" s="46" t="str">
        <x:v>Complete API/Portal integration and developer acceptance checks</x:v>
      </x:c>
      <x:c r="D14" s="28" t="str">
        <x:v>Dev 1</x:v>
      </x:c>
      <x:c r="E14" s="46" t="str">
        <x:v>B06</x:v>
      </x:c>
      <x:c r="F14" s="50" t="n">
        <x:v>23</x:v>
      </x:c>
      <x:c r="G14" s="50" t="n">
        <x:v>3</x:v>
      </x:c>
      <x:c r="H14" s="51" t="n">
        <x:v>2.4</x:v>
      </x:c>
      <x:c r="I14" s="2" t="n">
        <x:f>IF(OR(F14="",G14=""),"",F14+G14-1)</x:f>
        <x:v>25</x:v>
      </x:c>
      <x:c r="J14" s="5" t="n">
        <x:f>IF(OR(F14="",F14&lt;1,F14&gt;Calendar!$B$9),"",INDEX(Calendar!$A$16:$A$141,MATCH(F14,Calendar!$D$16:$D$141,0)))</x:f>
        <x:v>46358</x:v>
      </x:c>
      <x:c r="K14" s="5" t="n">
        <x:f>IF(OR(I14="",I14&lt;1,I14&gt;Calendar!$B$9),"",INDEX(Calendar!$A$16:$A$141,MATCH(I14,Calendar!$D$16:$D$141,0)))</x:f>
        <x:v>46360</x:v>
      </x:c>
      <x:c r="L14" s="53" t="n">
        <x:v>0</x:v>
      </x:c>
      <x:c r="M14" s="2" t="str">
        <x:f>IF(OR(F14="",G14="",H14=""),"Missing input",IF(OR(F14&lt;1,G14&lt;1,I14&gt;Calendar!$B$9),"Outside calendar",IF(F14&lt;MAX(INDEX($I$8:$I$157,MATCH("B06",$A$8:$A$157,0))+1),"Dependency conflict","Scheduled")))</x:f>
        <x:v>Scheduled</x:v>
      </x:c>
      <x:c r="N14" s="45" t="n">
        <x:f>IF(OR($J14="",$K14=""),"",IF(SUMIFS(Calendar!$C$16:$C$141,Calendar!$A$16:$A$141,"&gt;="&amp;MAX(N$7,$J14),Calendar!$A$16:$A$141,"&lt;="&amp;MIN(N$7+4,$K14))=0,0,IF($H14="","EXT",SUMIFS(Calendar!$C$16:$C$141,Calendar!$A$16:$A$141,"&gt;="&amp;MAX(N$7,$J14),Calendar!$A$16:$A$141,"&lt;="&amp;MIN(N$7+4,$K14))*$H14/$G14)))</x:f>
        <x:v>0</x:v>
      </x:c>
      <x:c r="O14" s="45" t="n">
        <x:f>IF(OR($J14="",$K14=""),"",IF(SUMIFS(Calendar!$C$16:$C$141,Calendar!$A$16:$A$141,"&gt;="&amp;MAX(O$7,$J14),Calendar!$A$16:$A$141,"&lt;="&amp;MIN(O$7+4,$K14))=0,0,IF($H14="","EXT",SUMIFS(Calendar!$C$16:$C$141,Calendar!$A$16:$A$141,"&gt;="&amp;MAX(O$7,$J14),Calendar!$A$16:$A$141,"&lt;="&amp;MIN(O$7+4,$K14))*$H14/$G14)))</x:f>
        <x:v>0</x:v>
      </x:c>
      <x:c r="P14" s="45" t="n">
        <x:f>IF(OR($J14="",$K14=""),"",IF(SUMIFS(Calendar!$C$16:$C$141,Calendar!$A$16:$A$141,"&gt;="&amp;MAX(P$7,$J14),Calendar!$A$16:$A$141,"&lt;="&amp;MIN(P$7+4,$K14))=0,0,IF($H14="","EXT",SUMIFS(Calendar!$C$16:$C$141,Calendar!$A$16:$A$141,"&gt;="&amp;MAX(P$7,$J14),Calendar!$A$16:$A$141,"&lt;="&amp;MIN(P$7+4,$K14))*$H14/$G14)))</x:f>
        <x:v>0</x:v>
      </x:c>
      <x:c r="Q14" s="45" t="n">
        <x:f>IF(OR($J14="",$K14=""),"",IF(SUMIFS(Calendar!$C$16:$C$141,Calendar!$A$16:$A$141,"&gt;="&amp;MAX(Q$7,$J14),Calendar!$A$16:$A$141,"&lt;="&amp;MIN(Q$7+4,$K14))=0,0,IF($H14="","EXT",SUMIFS(Calendar!$C$16:$C$141,Calendar!$A$16:$A$141,"&gt;="&amp;MAX(Q$7,$J14),Calendar!$A$16:$A$141,"&lt;="&amp;MIN(Q$7+4,$K14))*$H14/$G14)))</x:f>
        <x:v>0</x:v>
      </x:c>
      <x:c r="R14" s="45" t="n">
        <x:f>IF(OR($J14="",$K14=""),"",IF(SUMIFS(Calendar!$C$16:$C$141,Calendar!$A$16:$A$141,"&gt;="&amp;MAX(R$7,$J14),Calendar!$A$16:$A$141,"&lt;="&amp;MIN(R$7+4,$K14))=0,0,IF($H14="","EXT",SUMIFS(Calendar!$C$16:$C$141,Calendar!$A$16:$A$141,"&gt;="&amp;MAX(R$7,$J14),Calendar!$A$16:$A$141,"&lt;="&amp;MIN(R$7+4,$K14))*$H14/$G14)))</x:f>
        <x:v>2.4</x:v>
      </x:c>
      <x:c r="S14" s="45" t="n">
        <x:f>IF(OR($J14="",$K14=""),"",IF(SUMIFS(Calendar!$C$16:$C$141,Calendar!$A$16:$A$141,"&gt;="&amp;MAX(S$7,$J14),Calendar!$A$16:$A$141,"&lt;="&amp;MIN(S$7+4,$K14))=0,0,IF($H14="","EXT",SUMIFS(Calendar!$C$16:$C$141,Calendar!$A$16:$A$141,"&gt;="&amp;MAX(S$7,$J14),Calendar!$A$16:$A$141,"&lt;="&amp;MIN(S$7+4,$K14))*$H14/$G14)))</x:f>
        <x:v>0</x:v>
      </x:c>
      <x:c r="T14" s="45" t="n">
        <x:f>IF(OR($J14="",$K14=""),"",IF(SUMIFS(Calendar!$C$16:$C$141,Calendar!$A$16:$A$141,"&gt;="&amp;MAX(T$7,$J14),Calendar!$A$16:$A$141,"&lt;="&amp;MIN(T$7+4,$K14))=0,0,IF($H14="","EXT",SUMIFS(Calendar!$C$16:$C$141,Calendar!$A$16:$A$141,"&gt;="&amp;MAX(T$7,$J14),Calendar!$A$16:$A$141,"&lt;="&amp;MIN(T$7+4,$K14))*$H14/$G14)))</x:f>
        <x:v>0</x:v>
      </x:c>
      <x:c r="U14" s="45" t="n">
        <x:f>IF(OR($J14="",$K14=""),"",IF(SUMIFS(Calendar!$C$16:$C$141,Calendar!$A$16:$A$141,"&gt;="&amp;MAX(U$7,$J14),Calendar!$A$16:$A$141,"&lt;="&amp;MIN(U$7+4,$K14))=0,0,IF($H14="","EXT",SUMIFS(Calendar!$C$16:$C$141,Calendar!$A$16:$A$141,"&gt;="&amp;MAX(U$7,$J14),Calendar!$A$16:$A$141,"&lt;="&amp;MIN(U$7+4,$K14))*$H14/$G14)))</x:f>
        <x:v>0</x:v>
      </x:c>
      <x:c r="V14" s="45" t="n">
        <x:f>IF(OR($J14="",$K14=""),"",IF(SUMIFS(Calendar!$C$16:$C$141,Calendar!$A$16:$A$141,"&gt;="&amp;MAX(V$7,$J14),Calendar!$A$16:$A$141,"&lt;="&amp;MIN(V$7+4,$K14))=0,0,IF($H14="","EXT",SUMIFS(Calendar!$C$16:$C$141,Calendar!$A$16:$A$141,"&gt;="&amp;MAX(V$7,$J14),Calendar!$A$16:$A$141,"&lt;="&amp;MIN(V$7+4,$K14))*$H14/$G14)))</x:f>
        <x:v>0</x:v>
      </x:c>
      <x:c r="W14" s="45" t="n">
        <x:f>IF(OR($J14="",$K14=""),"",IF(SUMIFS(Calendar!$C$16:$C$141,Calendar!$A$16:$A$141,"&gt;="&amp;MAX(W$7,$J14),Calendar!$A$16:$A$141,"&lt;="&amp;MIN(W$7+4,$K14))=0,0,IF($H14="","EXT",SUMIFS(Calendar!$C$16:$C$141,Calendar!$A$16:$A$141,"&gt;="&amp;MAX(W$7,$J14),Calendar!$A$16:$A$141,"&lt;="&amp;MIN(W$7+4,$K14))*$H14/$G14)))</x:f>
        <x:v>0</x:v>
      </x:c>
      <x:c r="X14" s="45" t="n">
        <x:f>IF(OR($J14="",$K14=""),"",IF(SUMIFS(Calendar!$C$16:$C$141,Calendar!$A$16:$A$141,"&gt;="&amp;MAX(X$7,$J14),Calendar!$A$16:$A$141,"&lt;="&amp;MIN(X$7+4,$K14))=0,0,IF($H14="","EXT",SUMIFS(Calendar!$C$16:$C$141,Calendar!$A$16:$A$141,"&gt;="&amp;MAX(X$7,$J14),Calendar!$A$16:$A$141,"&lt;="&amp;MIN(X$7+4,$K14))*$H14/$G14)))</x:f>
        <x:v>0</x:v>
      </x:c>
      <x:c r="Y14" s="45" t="n">
        <x:f>IF(OR($J14="",$K14=""),"",IF(SUMIFS(Calendar!$C$16:$C$141,Calendar!$A$16:$A$141,"&gt;="&amp;MAX(Y$7,$J14),Calendar!$A$16:$A$141,"&lt;="&amp;MIN(Y$7+4,$K14))=0,0,IF($H14="","EXT",SUMIFS(Calendar!$C$16:$C$141,Calendar!$A$16:$A$141,"&gt;="&amp;MAX(Y$7,$J14),Calendar!$A$16:$A$141,"&lt;="&amp;MIN(Y$7+4,$K14))*$H14/$G14)))</x:f>
        <x:v>0</x:v>
      </x:c>
      <x:c r="Z14" s="45" t="n">
        <x:f>IF(OR($J14="",$K14=""),"",IF(SUMIFS(Calendar!$C$16:$C$141,Calendar!$A$16:$A$141,"&gt;="&amp;MAX(Z$7,$J14),Calendar!$A$16:$A$141,"&lt;="&amp;MIN(Z$7+4,$K14))=0,0,IF($H14="","EXT",SUMIFS(Calendar!$C$16:$C$141,Calendar!$A$16:$A$141,"&gt;="&amp;MAX(Z$7,$J14),Calendar!$A$16:$A$141,"&lt;="&amp;MIN(Z$7+4,$K14))*$H14/$G14)))</x:f>
        <x:v>0</x:v>
      </x:c>
      <x:c r="AA14" s="45" t="n">
        <x:f>IF(OR($J14="",$K14=""),"",IF(SUMIFS(Calendar!$C$16:$C$141,Calendar!$A$16:$A$141,"&gt;="&amp;MAX(AA$7,$J14),Calendar!$A$16:$A$141,"&lt;="&amp;MIN(AA$7+4,$K14))=0,0,IF($H14="","EXT",SUMIFS(Calendar!$C$16:$C$141,Calendar!$A$16:$A$141,"&gt;="&amp;MAX(AA$7,$J14),Calendar!$A$16:$A$141,"&lt;="&amp;MIN(AA$7+4,$K14))*$H14/$G14)))</x:f>
        <x:v>0</x:v>
      </x:c>
      <x:c r="AB14" s="45" t="n">
        <x:f>IF(OR($J14="",$K14=""),"",IF(SUMIFS(Calendar!$C$16:$C$141,Calendar!$A$16:$A$141,"&gt;="&amp;MAX(AB$7,$J14),Calendar!$A$16:$A$141,"&lt;="&amp;MIN(AB$7+4,$K14))=0,0,IF($H14="","EXT",SUMIFS(Calendar!$C$16:$C$141,Calendar!$A$16:$A$141,"&gt;="&amp;MAX(AB$7,$J14),Calendar!$A$16:$A$141,"&lt;="&amp;MIN(AB$7+4,$K14))*$H14/$G14)))</x:f>
        <x:v>0</x:v>
      </x:c>
      <x:c r="AC14" s="45" t="n">
        <x:f>IF(OR($J14="",$K14=""),"",IF(SUMIFS(Calendar!$C$16:$C$141,Calendar!$A$16:$A$141,"&gt;="&amp;MAX(AC$7,$J14),Calendar!$A$16:$A$141,"&lt;="&amp;MIN(AC$7+4,$K14))=0,0,IF($H14="","EXT",SUMIFS(Calendar!$C$16:$C$141,Calendar!$A$16:$A$141,"&gt;="&amp;MAX(AC$7,$J14),Calendar!$A$16:$A$141,"&lt;="&amp;MIN(AC$7+4,$K14))*$H14/$G14)))</x:f>
        <x:v>0</x:v>
      </x:c>
      <x:c r="AD14" s="45" t="n">
        <x:f>IF(OR($J14="",$K14=""),"",IF(SUMIFS(Calendar!$C$16:$C$141,Calendar!$A$16:$A$141,"&gt;="&amp;MAX(AD$7,$J14),Calendar!$A$16:$A$141,"&lt;="&amp;MIN(AD$7+4,$K14))=0,0,IF($H14="","EXT",SUMIFS(Calendar!$C$16:$C$141,Calendar!$A$16:$A$141,"&gt;="&amp;MAX(AD$7,$J14),Calendar!$A$16:$A$141,"&lt;="&amp;MIN(AD$7+4,$K14))*$H14/$G14)))</x:f>
        <x:v>0</x:v>
      </x:c>
      <x:c r="AE14" s="45" t="n">
        <x:f>IF(OR($J14="",$K14=""),"",IF(SUMIFS(Calendar!$C$16:$C$141,Calendar!$A$16:$A$141,"&gt;="&amp;MAX(AE$7,$J14),Calendar!$A$16:$A$141,"&lt;="&amp;MIN(AE$7+4,$K14))=0,0,IF($H14="","EXT",SUMIFS(Calendar!$C$16:$C$141,Calendar!$A$16:$A$141,"&gt;="&amp;MAX(AE$7,$J14),Calendar!$A$16:$A$141,"&lt;="&amp;MIN(AE$7+4,$K14))*$H14/$G14)))</x:f>
        <x:v>0</x:v>
      </x:c>
      <x:c r="AF14" s="8" t="n">
        <x:f>IF(OR(M14&lt;&gt;"Scheduled",INDEX('Team and Gates'!$C$7:$C$13,MATCH($D14,'Team and Gates'!$A$7:$A$13,0))=""),"CHECK",SUM(N14:AE14)*INDEX('Team and Gates'!$C$7:$C$13,MATCH($D14,'Team and Gates'!$A$7:$A$13,0)))</x:f>
        <x:v>864</x:v>
      </x:c>
      <x:c r="AG14" s="46" t="str">
        <x:v>Developer checks and positive/negative acceptance examples pass; review AI-generated code before handoff.</x:v>
      </x:c>
      <x:c r="AH14" s="46" t="str">
        <x:v>Three-week feature implementation window after FSD signoff; use Codex with developer review and continuous tests.</x:v>
      </x:c>
    </x:row>
    <x:row r="15" ht="45" customHeight="1">
      <x:c r="A15" s="39" t="str">
        <x:v>B08</x:v>
      </x:c>
      <x:c r="B15" s="39" t="str">
        <x:v>API / domain</x:v>
      </x:c>
      <x:c r="C15" s="47" t="str">
        <x:v>SIT fixes: intent/Triage behavior and authorized source context</x:v>
      </x:c>
      <x:c r="D15" s="28" t="str">
        <x:v>Dev 1</x:v>
      </x:c>
      <x:c r="E15" s="47" t="str">
        <x:v>B07</x:v>
      </x:c>
      <x:c r="F15" s="50" t="n">
        <x:v>26</x:v>
      </x:c>
      <x:c r="G15" s="50" t="n">
        <x:v>5</x:v>
      </x:c>
      <x:c r="H15" s="51" t="n">
        <x:v>4</x:v>
      </x:c>
      <x:c r="I15" s="39" t="n">
        <x:f>IF(OR(F15="",G15=""),"",F15+G15-1)</x:f>
        <x:v>30</x:v>
      </x:c>
      <x:c r="J15" s="41" t="n">
        <x:f>IF(OR(F15="",F15&lt;1,F15&gt;Calendar!$B$9),"",INDEX(Calendar!$A$16:$A$141,MATCH(F15,Calendar!$D$16:$D$141,0)))</x:f>
        <x:v>46363</x:v>
      </x:c>
      <x:c r="K15" s="41" t="n">
        <x:f>IF(OR(I15="",I15&lt;1,I15&gt;Calendar!$B$9),"",INDEX(Calendar!$A$16:$A$141,MATCH(I15,Calendar!$D$16:$D$141,0)))</x:f>
        <x:v>46367</x:v>
      </x:c>
      <x:c r="L15" s="53" t="n">
        <x:v>0</x:v>
      </x:c>
      <x:c r="M15" s="39" t="str">
        <x:f>IF(OR(F15="",G15="",H15=""),"Missing input",IF(OR(F15&lt;1,G15&lt;1,I15&gt;Calendar!$B$9),"Outside calendar",IF(F15&lt;MAX(INDEX($I$8:$I$157,MATCH("B07",$A$8:$A$157,0))+1),"Dependency conflict","Scheduled")))</x:f>
        <x:v>Scheduled</x:v>
      </x:c>
      <x:c r="N15" s="45" t="n">
        <x:f>IF(OR($J15="",$K15=""),"",IF(SUMIFS(Calendar!$C$16:$C$141,Calendar!$A$16:$A$141,"&gt;="&amp;MAX(N$7,$J15),Calendar!$A$16:$A$141,"&lt;="&amp;MIN(N$7+4,$K15))=0,0,IF($H15="","EXT",SUMIFS(Calendar!$C$16:$C$141,Calendar!$A$16:$A$141,"&gt;="&amp;MAX(N$7,$J15),Calendar!$A$16:$A$141,"&lt;="&amp;MIN(N$7+4,$K15))*$H15/$G15)))</x:f>
        <x:v>0</x:v>
      </x:c>
      <x:c r="O15" s="45" t="n">
        <x:f>IF(OR($J15="",$K15=""),"",IF(SUMIFS(Calendar!$C$16:$C$141,Calendar!$A$16:$A$141,"&gt;="&amp;MAX(O$7,$J15),Calendar!$A$16:$A$141,"&lt;="&amp;MIN(O$7+4,$K15))=0,0,IF($H15="","EXT",SUMIFS(Calendar!$C$16:$C$141,Calendar!$A$16:$A$141,"&gt;="&amp;MAX(O$7,$J15),Calendar!$A$16:$A$141,"&lt;="&amp;MIN(O$7+4,$K15))*$H15/$G15)))</x:f>
        <x:v>0</x:v>
      </x:c>
      <x:c r="P15" s="45" t="n">
        <x:f>IF(OR($J15="",$K15=""),"",IF(SUMIFS(Calendar!$C$16:$C$141,Calendar!$A$16:$A$141,"&gt;="&amp;MAX(P$7,$J15),Calendar!$A$16:$A$141,"&lt;="&amp;MIN(P$7+4,$K15))=0,0,IF($H15="","EXT",SUMIFS(Calendar!$C$16:$C$141,Calendar!$A$16:$A$141,"&gt;="&amp;MAX(P$7,$J15),Calendar!$A$16:$A$141,"&lt;="&amp;MIN(P$7+4,$K15))*$H15/$G15)))</x:f>
        <x:v>0</x:v>
      </x:c>
      <x:c r="Q15" s="45" t="n">
        <x:f>IF(OR($J15="",$K15=""),"",IF(SUMIFS(Calendar!$C$16:$C$141,Calendar!$A$16:$A$141,"&gt;="&amp;MAX(Q$7,$J15),Calendar!$A$16:$A$141,"&lt;="&amp;MIN(Q$7+4,$K15))=0,0,IF($H15="","EXT",SUMIFS(Calendar!$C$16:$C$141,Calendar!$A$16:$A$141,"&gt;="&amp;MAX(Q$7,$J15),Calendar!$A$16:$A$141,"&lt;="&amp;MIN(Q$7+4,$K15))*$H15/$G15)))</x:f>
        <x:v>0</x:v>
      </x:c>
      <x:c r="R15" s="45" t="n">
        <x:f>IF(OR($J15="",$K15=""),"",IF(SUMIFS(Calendar!$C$16:$C$141,Calendar!$A$16:$A$141,"&gt;="&amp;MAX(R$7,$J15),Calendar!$A$16:$A$141,"&lt;="&amp;MIN(R$7+4,$K15))=0,0,IF($H15="","EXT",SUMIFS(Calendar!$C$16:$C$141,Calendar!$A$16:$A$141,"&gt;="&amp;MAX(R$7,$J15),Calendar!$A$16:$A$141,"&lt;="&amp;MIN(R$7+4,$K15))*$H15/$G15)))</x:f>
        <x:v>0</x:v>
      </x:c>
      <x:c r="S15" s="45" t="n">
        <x:f>IF(OR($J15="",$K15=""),"",IF(SUMIFS(Calendar!$C$16:$C$141,Calendar!$A$16:$A$141,"&gt;="&amp;MAX(S$7,$J15),Calendar!$A$16:$A$141,"&lt;="&amp;MIN(S$7+4,$K15))=0,0,IF($H15="","EXT",SUMIFS(Calendar!$C$16:$C$141,Calendar!$A$16:$A$141,"&gt;="&amp;MAX(S$7,$J15),Calendar!$A$16:$A$141,"&lt;="&amp;MIN(S$7+4,$K15))*$H15/$G15)))</x:f>
        <x:v>4</x:v>
      </x:c>
      <x:c r="T15" s="45" t="n">
        <x:f>IF(OR($J15="",$K15=""),"",IF(SUMIFS(Calendar!$C$16:$C$141,Calendar!$A$16:$A$141,"&gt;="&amp;MAX(T$7,$J15),Calendar!$A$16:$A$141,"&lt;="&amp;MIN(T$7+4,$K15))=0,0,IF($H15="","EXT",SUMIFS(Calendar!$C$16:$C$141,Calendar!$A$16:$A$141,"&gt;="&amp;MAX(T$7,$J15),Calendar!$A$16:$A$141,"&lt;="&amp;MIN(T$7+4,$K15))*$H15/$G15)))</x:f>
        <x:v>0</x:v>
      </x:c>
      <x:c r="U15" s="45" t="n">
        <x:f>IF(OR($J15="",$K15=""),"",IF(SUMIFS(Calendar!$C$16:$C$141,Calendar!$A$16:$A$141,"&gt;="&amp;MAX(U$7,$J15),Calendar!$A$16:$A$141,"&lt;="&amp;MIN(U$7+4,$K15))=0,0,IF($H15="","EXT",SUMIFS(Calendar!$C$16:$C$141,Calendar!$A$16:$A$141,"&gt;="&amp;MAX(U$7,$J15),Calendar!$A$16:$A$141,"&lt;="&amp;MIN(U$7+4,$K15))*$H15/$G15)))</x:f>
        <x:v>0</x:v>
      </x:c>
      <x:c r="V15" s="45" t="n">
        <x:f>IF(OR($J15="",$K15=""),"",IF(SUMIFS(Calendar!$C$16:$C$141,Calendar!$A$16:$A$141,"&gt;="&amp;MAX(V$7,$J15),Calendar!$A$16:$A$141,"&lt;="&amp;MIN(V$7+4,$K15))=0,0,IF($H15="","EXT",SUMIFS(Calendar!$C$16:$C$141,Calendar!$A$16:$A$141,"&gt;="&amp;MAX(V$7,$J15),Calendar!$A$16:$A$141,"&lt;="&amp;MIN(V$7+4,$K15))*$H15/$G15)))</x:f>
        <x:v>0</x:v>
      </x:c>
      <x:c r="W15" s="45" t="n">
        <x:f>IF(OR($J15="",$K15=""),"",IF(SUMIFS(Calendar!$C$16:$C$141,Calendar!$A$16:$A$141,"&gt;="&amp;MAX(W$7,$J15),Calendar!$A$16:$A$141,"&lt;="&amp;MIN(W$7+4,$K15))=0,0,IF($H15="","EXT",SUMIFS(Calendar!$C$16:$C$141,Calendar!$A$16:$A$141,"&gt;="&amp;MAX(W$7,$J15),Calendar!$A$16:$A$141,"&lt;="&amp;MIN(W$7+4,$K15))*$H15/$G15)))</x:f>
        <x:v>0</x:v>
      </x:c>
      <x:c r="X15" s="45" t="n">
        <x:f>IF(OR($J15="",$K15=""),"",IF(SUMIFS(Calendar!$C$16:$C$141,Calendar!$A$16:$A$141,"&gt;="&amp;MAX(X$7,$J15),Calendar!$A$16:$A$141,"&lt;="&amp;MIN(X$7+4,$K15))=0,0,IF($H15="","EXT",SUMIFS(Calendar!$C$16:$C$141,Calendar!$A$16:$A$141,"&gt;="&amp;MAX(X$7,$J15),Calendar!$A$16:$A$141,"&lt;="&amp;MIN(X$7+4,$K15))*$H15/$G15)))</x:f>
        <x:v>0</x:v>
      </x:c>
      <x:c r="Y15" s="45" t="n">
        <x:f>IF(OR($J15="",$K15=""),"",IF(SUMIFS(Calendar!$C$16:$C$141,Calendar!$A$16:$A$141,"&gt;="&amp;MAX(Y$7,$J15),Calendar!$A$16:$A$141,"&lt;="&amp;MIN(Y$7+4,$K15))=0,0,IF($H15="","EXT",SUMIFS(Calendar!$C$16:$C$141,Calendar!$A$16:$A$141,"&gt;="&amp;MAX(Y$7,$J15),Calendar!$A$16:$A$141,"&lt;="&amp;MIN(Y$7+4,$K15))*$H15/$G15)))</x:f>
        <x:v>0</x:v>
      </x:c>
      <x:c r="Z15" s="45" t="n">
        <x:f>IF(OR($J15="",$K15=""),"",IF(SUMIFS(Calendar!$C$16:$C$141,Calendar!$A$16:$A$141,"&gt;="&amp;MAX(Z$7,$J15),Calendar!$A$16:$A$141,"&lt;="&amp;MIN(Z$7+4,$K15))=0,0,IF($H15="","EXT",SUMIFS(Calendar!$C$16:$C$141,Calendar!$A$16:$A$141,"&gt;="&amp;MAX(Z$7,$J15),Calendar!$A$16:$A$141,"&lt;="&amp;MIN(Z$7+4,$K15))*$H15/$G15)))</x:f>
        <x:v>0</x:v>
      </x:c>
      <x:c r="AA15" s="45" t="n">
        <x:f>IF(OR($J15="",$K15=""),"",IF(SUMIFS(Calendar!$C$16:$C$141,Calendar!$A$16:$A$141,"&gt;="&amp;MAX(AA$7,$J15),Calendar!$A$16:$A$141,"&lt;="&amp;MIN(AA$7+4,$K15))=0,0,IF($H15="","EXT",SUMIFS(Calendar!$C$16:$C$141,Calendar!$A$16:$A$141,"&gt;="&amp;MAX(AA$7,$J15),Calendar!$A$16:$A$141,"&lt;="&amp;MIN(AA$7+4,$K15))*$H15/$G15)))</x:f>
        <x:v>0</x:v>
      </x:c>
      <x:c r="AB15" s="45" t="n">
        <x:f>IF(OR($J15="",$K15=""),"",IF(SUMIFS(Calendar!$C$16:$C$141,Calendar!$A$16:$A$141,"&gt;="&amp;MAX(AB$7,$J15),Calendar!$A$16:$A$141,"&lt;="&amp;MIN(AB$7+4,$K15))=0,0,IF($H15="","EXT",SUMIFS(Calendar!$C$16:$C$141,Calendar!$A$16:$A$141,"&gt;="&amp;MAX(AB$7,$J15),Calendar!$A$16:$A$141,"&lt;="&amp;MIN(AB$7+4,$K15))*$H15/$G15)))</x:f>
        <x:v>0</x:v>
      </x:c>
      <x:c r="AC15" s="45" t="n">
        <x:f>IF(OR($J15="",$K15=""),"",IF(SUMIFS(Calendar!$C$16:$C$141,Calendar!$A$16:$A$141,"&gt;="&amp;MAX(AC$7,$J15),Calendar!$A$16:$A$141,"&lt;="&amp;MIN(AC$7+4,$K15))=0,0,IF($H15="","EXT",SUMIFS(Calendar!$C$16:$C$141,Calendar!$A$16:$A$141,"&gt;="&amp;MAX(AC$7,$J15),Calendar!$A$16:$A$141,"&lt;="&amp;MIN(AC$7+4,$K15))*$H15/$G15)))</x:f>
        <x:v>0</x:v>
      </x:c>
      <x:c r="AD15" s="45" t="n">
        <x:f>IF(OR($J15="",$K15=""),"",IF(SUMIFS(Calendar!$C$16:$C$141,Calendar!$A$16:$A$141,"&gt;="&amp;MAX(AD$7,$J15),Calendar!$A$16:$A$141,"&lt;="&amp;MIN(AD$7+4,$K15))=0,0,IF($H15="","EXT",SUMIFS(Calendar!$C$16:$C$141,Calendar!$A$16:$A$141,"&gt;="&amp;MAX(AD$7,$J15),Calendar!$A$16:$A$141,"&lt;="&amp;MIN(AD$7+4,$K15))*$H15/$G15)))</x:f>
        <x:v>0</x:v>
      </x:c>
      <x:c r="AE15" s="45" t="n">
        <x:f>IF(OR($J15="",$K15=""),"",IF(SUMIFS(Calendar!$C$16:$C$141,Calendar!$A$16:$A$141,"&gt;="&amp;MAX(AE$7,$J15),Calendar!$A$16:$A$141,"&lt;="&amp;MIN(AE$7+4,$K15))=0,0,IF($H15="","EXT",SUMIFS(Calendar!$C$16:$C$141,Calendar!$A$16:$A$141,"&gt;="&amp;MAX(AE$7,$J15),Calendar!$A$16:$A$141,"&lt;="&amp;MIN(AE$7+4,$K15))*$H15/$G15)))</x:f>
        <x:v>0</x:v>
      </x:c>
      <x:c r="AF15" s="8" t="n">
        <x:f>IF(OR(M15&lt;&gt;"Scheduled",INDEX('Team and Gates'!$C$7:$C$13,MATCH($D15,'Team and Gates'!$A$7:$A$13,0))=""),"CHECK",SUM(N15:AE15)*INDEX('Team and Gates'!$C$7:$C$13,MATCH($D15,'Team and Gates'!$A$7:$A$13,0)))</x:f>
        <x:v>1440</x:v>
      </x:c>
      <x:c r="AG15" s="46" t="str">
        <x:v>Reproducible SIT evidence, defect disposition and affected-path retesting are recorded.</x:v>
      </x:c>
      <x:c r="AH15" s="46" t="str">
        <x:v>Protect extended SIT, tuning and post-holiday UAT time. If quality gates slip, reduce scope or replan; do not assume more AI coding fixes quality.</x:v>
      </x:c>
    </x:row>
    <x:row r="16" ht="45" customHeight="1">
      <x:c r="A16" s="2" t="str">
        <x:v>B09</x:v>
      </x:c>
      <x:c r="B16" s="2" t="str">
        <x:v>API / domain</x:v>
      </x:c>
      <x:c r="C16" s="46" t="str">
        <x:v>SIT fixes: draft editing, approval binding and business rules</x:v>
      </x:c>
      <x:c r="D16" s="28" t="str">
        <x:v>Dev 1</x:v>
      </x:c>
      <x:c r="E16" s="46" t="str">
        <x:v>B08</x:v>
      </x:c>
      <x:c r="F16" s="50" t="n">
        <x:v>31</x:v>
      </x:c>
      <x:c r="G16" s="50" t="n">
        <x:v>5</x:v>
      </x:c>
      <x:c r="H16" s="51" t="n">
        <x:v>4</x:v>
      </x:c>
      <x:c r="I16" s="2" t="n">
        <x:f>IF(OR(F16="",G16=""),"",F16+G16-1)</x:f>
        <x:v>35</x:v>
      </x:c>
      <x:c r="J16" s="5" t="n">
        <x:f>IF(OR(F16="",F16&lt;1,F16&gt;Calendar!$B$9),"",INDEX(Calendar!$A$16:$A$141,MATCH(F16,Calendar!$D$16:$D$141,0)))</x:f>
        <x:v>46370</x:v>
      </x:c>
      <x:c r="K16" s="5" t="n">
        <x:f>IF(OR(I16="",I16&lt;1,I16&gt;Calendar!$B$9),"",INDEX(Calendar!$A$16:$A$141,MATCH(I16,Calendar!$D$16:$D$141,0)))</x:f>
        <x:v>46374</x:v>
      </x:c>
      <x:c r="L16" s="53" t="n">
        <x:v>0</x:v>
      </x:c>
      <x:c r="M16" s="2" t="str">
        <x:f>IF(OR(F16="",G16="",H16=""),"Missing input",IF(OR(F16&lt;1,G16&lt;1,I16&gt;Calendar!$B$9),"Outside calendar",IF(F16&lt;MAX(INDEX($I$8:$I$157,MATCH("B08",$A$8:$A$157,0))+1),"Dependency conflict","Scheduled")))</x:f>
        <x:v>Scheduled</x:v>
      </x:c>
      <x:c r="N16" s="45" t="n">
        <x:f>IF(OR($J16="",$K16=""),"",IF(SUMIFS(Calendar!$C$16:$C$141,Calendar!$A$16:$A$141,"&gt;="&amp;MAX(N$7,$J16),Calendar!$A$16:$A$141,"&lt;="&amp;MIN(N$7+4,$K16))=0,0,IF($H16="","EXT",SUMIFS(Calendar!$C$16:$C$141,Calendar!$A$16:$A$141,"&gt;="&amp;MAX(N$7,$J16),Calendar!$A$16:$A$141,"&lt;="&amp;MIN(N$7+4,$K16))*$H16/$G16)))</x:f>
        <x:v>0</x:v>
      </x:c>
      <x:c r="O16" s="45" t="n">
        <x:f>IF(OR($J16="",$K16=""),"",IF(SUMIFS(Calendar!$C$16:$C$141,Calendar!$A$16:$A$141,"&gt;="&amp;MAX(O$7,$J16),Calendar!$A$16:$A$141,"&lt;="&amp;MIN(O$7+4,$K16))=0,0,IF($H16="","EXT",SUMIFS(Calendar!$C$16:$C$141,Calendar!$A$16:$A$141,"&gt;="&amp;MAX(O$7,$J16),Calendar!$A$16:$A$141,"&lt;="&amp;MIN(O$7+4,$K16))*$H16/$G16)))</x:f>
        <x:v>0</x:v>
      </x:c>
      <x:c r="P16" s="45" t="n">
        <x:f>IF(OR($J16="",$K16=""),"",IF(SUMIFS(Calendar!$C$16:$C$141,Calendar!$A$16:$A$141,"&gt;="&amp;MAX(P$7,$J16),Calendar!$A$16:$A$141,"&lt;="&amp;MIN(P$7+4,$K16))=0,0,IF($H16="","EXT",SUMIFS(Calendar!$C$16:$C$141,Calendar!$A$16:$A$141,"&gt;="&amp;MAX(P$7,$J16),Calendar!$A$16:$A$141,"&lt;="&amp;MIN(P$7+4,$K16))*$H16/$G16)))</x:f>
        <x:v>0</x:v>
      </x:c>
      <x:c r="Q16" s="45" t="n">
        <x:f>IF(OR($J16="",$K16=""),"",IF(SUMIFS(Calendar!$C$16:$C$141,Calendar!$A$16:$A$141,"&gt;="&amp;MAX(Q$7,$J16),Calendar!$A$16:$A$141,"&lt;="&amp;MIN(Q$7+4,$K16))=0,0,IF($H16="","EXT",SUMIFS(Calendar!$C$16:$C$141,Calendar!$A$16:$A$141,"&gt;="&amp;MAX(Q$7,$J16),Calendar!$A$16:$A$141,"&lt;="&amp;MIN(Q$7+4,$K16))*$H16/$G16)))</x:f>
        <x:v>0</x:v>
      </x:c>
      <x:c r="R16" s="45" t="n">
        <x:f>IF(OR($J16="",$K16=""),"",IF(SUMIFS(Calendar!$C$16:$C$141,Calendar!$A$16:$A$141,"&gt;="&amp;MAX(R$7,$J16),Calendar!$A$16:$A$141,"&lt;="&amp;MIN(R$7+4,$K16))=0,0,IF($H16="","EXT",SUMIFS(Calendar!$C$16:$C$141,Calendar!$A$16:$A$141,"&gt;="&amp;MAX(R$7,$J16),Calendar!$A$16:$A$141,"&lt;="&amp;MIN(R$7+4,$K16))*$H16/$G16)))</x:f>
        <x:v>0</x:v>
      </x:c>
      <x:c r="S16" s="45" t="n">
        <x:f>IF(OR($J16="",$K16=""),"",IF(SUMIFS(Calendar!$C$16:$C$141,Calendar!$A$16:$A$141,"&gt;="&amp;MAX(S$7,$J16),Calendar!$A$16:$A$141,"&lt;="&amp;MIN(S$7+4,$K16))=0,0,IF($H16="","EXT",SUMIFS(Calendar!$C$16:$C$141,Calendar!$A$16:$A$141,"&gt;="&amp;MAX(S$7,$J16),Calendar!$A$16:$A$141,"&lt;="&amp;MIN(S$7+4,$K16))*$H16/$G16)))</x:f>
        <x:v>0</x:v>
      </x:c>
      <x:c r="T16" s="45" t="n">
        <x:f>IF(OR($J16="",$K16=""),"",IF(SUMIFS(Calendar!$C$16:$C$141,Calendar!$A$16:$A$141,"&gt;="&amp;MAX(T$7,$J16),Calendar!$A$16:$A$141,"&lt;="&amp;MIN(T$7+4,$K16))=0,0,IF($H16="","EXT",SUMIFS(Calendar!$C$16:$C$141,Calendar!$A$16:$A$141,"&gt;="&amp;MAX(T$7,$J16),Calendar!$A$16:$A$141,"&lt;="&amp;MIN(T$7+4,$K16))*$H16/$G16)))</x:f>
        <x:v>4</x:v>
      </x:c>
      <x:c r="U16" s="45" t="n">
        <x:f>IF(OR($J16="",$K16=""),"",IF(SUMIFS(Calendar!$C$16:$C$141,Calendar!$A$16:$A$141,"&gt;="&amp;MAX(U$7,$J16),Calendar!$A$16:$A$141,"&lt;="&amp;MIN(U$7+4,$K16))=0,0,IF($H16="","EXT",SUMIFS(Calendar!$C$16:$C$141,Calendar!$A$16:$A$141,"&gt;="&amp;MAX(U$7,$J16),Calendar!$A$16:$A$141,"&lt;="&amp;MIN(U$7+4,$K16))*$H16/$G16)))</x:f>
        <x:v>0</x:v>
      </x:c>
      <x:c r="V16" s="45" t="n">
        <x:f>IF(OR($J16="",$K16=""),"",IF(SUMIFS(Calendar!$C$16:$C$141,Calendar!$A$16:$A$141,"&gt;="&amp;MAX(V$7,$J16),Calendar!$A$16:$A$141,"&lt;="&amp;MIN(V$7+4,$K16))=0,0,IF($H16="","EXT",SUMIFS(Calendar!$C$16:$C$141,Calendar!$A$16:$A$141,"&gt;="&amp;MAX(V$7,$J16),Calendar!$A$16:$A$141,"&lt;="&amp;MIN(V$7+4,$K16))*$H16/$G16)))</x:f>
        <x:v>0</x:v>
      </x:c>
      <x:c r="W16" s="45" t="n">
        <x:f>IF(OR($J16="",$K16=""),"",IF(SUMIFS(Calendar!$C$16:$C$141,Calendar!$A$16:$A$141,"&gt;="&amp;MAX(W$7,$J16),Calendar!$A$16:$A$141,"&lt;="&amp;MIN(W$7+4,$K16))=0,0,IF($H16="","EXT",SUMIFS(Calendar!$C$16:$C$141,Calendar!$A$16:$A$141,"&gt;="&amp;MAX(W$7,$J16),Calendar!$A$16:$A$141,"&lt;="&amp;MIN(W$7+4,$K16))*$H16/$G16)))</x:f>
        <x:v>0</x:v>
      </x:c>
      <x:c r="X16" s="45" t="n">
        <x:f>IF(OR($J16="",$K16=""),"",IF(SUMIFS(Calendar!$C$16:$C$141,Calendar!$A$16:$A$141,"&gt;="&amp;MAX(X$7,$J16),Calendar!$A$16:$A$141,"&lt;="&amp;MIN(X$7+4,$K16))=0,0,IF($H16="","EXT",SUMIFS(Calendar!$C$16:$C$141,Calendar!$A$16:$A$141,"&gt;="&amp;MAX(X$7,$J16),Calendar!$A$16:$A$141,"&lt;="&amp;MIN(X$7+4,$K16))*$H16/$G16)))</x:f>
        <x:v>0</x:v>
      </x:c>
      <x:c r="Y16" s="45" t="n">
        <x:f>IF(OR($J16="",$K16=""),"",IF(SUMIFS(Calendar!$C$16:$C$141,Calendar!$A$16:$A$141,"&gt;="&amp;MAX(Y$7,$J16),Calendar!$A$16:$A$141,"&lt;="&amp;MIN(Y$7+4,$K16))=0,0,IF($H16="","EXT",SUMIFS(Calendar!$C$16:$C$141,Calendar!$A$16:$A$141,"&gt;="&amp;MAX(Y$7,$J16),Calendar!$A$16:$A$141,"&lt;="&amp;MIN(Y$7+4,$K16))*$H16/$G16)))</x:f>
        <x:v>0</x:v>
      </x:c>
      <x:c r="Z16" s="45" t="n">
        <x:f>IF(OR($J16="",$K16=""),"",IF(SUMIFS(Calendar!$C$16:$C$141,Calendar!$A$16:$A$141,"&gt;="&amp;MAX(Z$7,$J16),Calendar!$A$16:$A$141,"&lt;="&amp;MIN(Z$7+4,$K16))=0,0,IF($H16="","EXT",SUMIFS(Calendar!$C$16:$C$141,Calendar!$A$16:$A$141,"&gt;="&amp;MAX(Z$7,$J16),Calendar!$A$16:$A$141,"&lt;="&amp;MIN(Z$7+4,$K16))*$H16/$G16)))</x:f>
        <x:v>0</x:v>
      </x:c>
      <x:c r="AA16" s="45" t="n">
        <x:f>IF(OR($J16="",$K16=""),"",IF(SUMIFS(Calendar!$C$16:$C$141,Calendar!$A$16:$A$141,"&gt;="&amp;MAX(AA$7,$J16),Calendar!$A$16:$A$141,"&lt;="&amp;MIN(AA$7+4,$K16))=0,0,IF($H16="","EXT",SUMIFS(Calendar!$C$16:$C$141,Calendar!$A$16:$A$141,"&gt;="&amp;MAX(AA$7,$J16),Calendar!$A$16:$A$141,"&lt;="&amp;MIN(AA$7+4,$K16))*$H16/$G16)))</x:f>
        <x:v>0</x:v>
      </x:c>
      <x:c r="AB16" s="45" t="n">
        <x:f>IF(OR($J16="",$K16=""),"",IF(SUMIFS(Calendar!$C$16:$C$141,Calendar!$A$16:$A$141,"&gt;="&amp;MAX(AB$7,$J16),Calendar!$A$16:$A$141,"&lt;="&amp;MIN(AB$7+4,$K16))=0,0,IF($H16="","EXT",SUMIFS(Calendar!$C$16:$C$141,Calendar!$A$16:$A$141,"&gt;="&amp;MAX(AB$7,$J16),Calendar!$A$16:$A$141,"&lt;="&amp;MIN(AB$7+4,$K16))*$H16/$G16)))</x:f>
        <x:v>0</x:v>
      </x:c>
      <x:c r="AC16" s="45" t="n">
        <x:f>IF(OR($J16="",$K16=""),"",IF(SUMIFS(Calendar!$C$16:$C$141,Calendar!$A$16:$A$141,"&gt;="&amp;MAX(AC$7,$J16),Calendar!$A$16:$A$141,"&lt;="&amp;MIN(AC$7+4,$K16))=0,0,IF($H16="","EXT",SUMIFS(Calendar!$C$16:$C$141,Calendar!$A$16:$A$141,"&gt;="&amp;MAX(AC$7,$J16),Calendar!$A$16:$A$141,"&lt;="&amp;MIN(AC$7+4,$K16))*$H16/$G16)))</x:f>
        <x:v>0</x:v>
      </x:c>
      <x:c r="AD16" s="45" t="n">
        <x:f>IF(OR($J16="",$K16=""),"",IF(SUMIFS(Calendar!$C$16:$C$141,Calendar!$A$16:$A$141,"&gt;="&amp;MAX(AD$7,$J16),Calendar!$A$16:$A$141,"&lt;="&amp;MIN(AD$7+4,$K16))=0,0,IF($H16="","EXT",SUMIFS(Calendar!$C$16:$C$141,Calendar!$A$16:$A$141,"&gt;="&amp;MAX(AD$7,$J16),Calendar!$A$16:$A$141,"&lt;="&amp;MIN(AD$7+4,$K16))*$H16/$G16)))</x:f>
        <x:v>0</x:v>
      </x:c>
      <x:c r="AE16" s="45" t="n">
        <x:f>IF(OR($J16="",$K16=""),"",IF(SUMIFS(Calendar!$C$16:$C$141,Calendar!$A$16:$A$141,"&gt;="&amp;MAX(AE$7,$J16),Calendar!$A$16:$A$141,"&lt;="&amp;MIN(AE$7+4,$K16))=0,0,IF($H16="","EXT",SUMIFS(Calendar!$C$16:$C$141,Calendar!$A$16:$A$141,"&gt;="&amp;MAX(AE$7,$J16),Calendar!$A$16:$A$141,"&lt;="&amp;MIN(AE$7+4,$K16))*$H16/$G16)))</x:f>
        <x:v>0</x:v>
      </x:c>
      <x:c r="AF16" s="8" t="n">
        <x:f>IF(OR(M16&lt;&gt;"Scheduled",INDEX('Team and Gates'!$C$7:$C$13,MATCH($D16,'Team and Gates'!$A$7:$A$13,0))=""),"CHECK",SUM(N16:AE16)*INDEX('Team and Gates'!$C$7:$C$13,MATCH($D16,'Team and Gates'!$A$7:$A$13,0)))</x:f>
        <x:v>1440</x:v>
      </x:c>
      <x:c r="AG16" s="46" t="str">
        <x:v>Reproducible SIT evidence, defect disposition and affected-path retesting are recorded.</x:v>
      </x:c>
      <x:c r="AH16" s="46" t="str">
        <x:v>Protect extended SIT, tuning and post-holiday UAT time. If quality gates slip, reduce scope or replan; do not assume more AI coding fixes quality.</x:v>
      </x:c>
    </x:row>
    <x:row r="17" ht="45" customHeight="1">
      <x:c r="A17" s="39" t="str">
        <x:v>B10</x:v>
      </x:c>
      <x:c r="B17" s="39" t="str">
        <x:v>API / domain</x:v>
      </x:c>
      <x:c r="C17" s="47" t="str">
        <x:v>SIT fixes: Playbook publication, replay and stale-edit checks</x:v>
      </x:c>
      <x:c r="D17" s="28" t="str">
        <x:v>Dev 1</x:v>
      </x:c>
      <x:c r="E17" s="47" t="str">
        <x:v>B09</x:v>
      </x:c>
      <x:c r="F17" s="50" t="n">
        <x:v>36</x:v>
      </x:c>
      <x:c r="G17" s="50" t="n">
        <x:v>5</x:v>
      </x:c>
      <x:c r="H17" s="51" t="n">
        <x:v>4</x:v>
      </x:c>
      <x:c r="I17" s="39" t="n">
        <x:f>IF(OR(F17="",G17=""),"",F17+G17-1)</x:f>
        <x:v>40</x:v>
      </x:c>
      <x:c r="J17" s="41" t="n">
        <x:f>IF(OR(F17="",F17&lt;1,F17&gt;Calendar!$B$9),"",INDEX(Calendar!$A$16:$A$141,MATCH(F17,Calendar!$D$16:$D$141,0)))</x:f>
        <x:v>46377</x:v>
      </x:c>
      <x:c r="K17" s="41" t="n">
        <x:f>IF(OR(I17="",I17&lt;1,I17&gt;Calendar!$B$9),"",INDEX(Calendar!$A$16:$A$141,MATCH(I17,Calendar!$D$16:$D$141,0)))</x:f>
        <x:v>46381</x:v>
      </x:c>
      <x:c r="L17" s="53" t="n">
        <x:v>0</x:v>
      </x:c>
      <x:c r="M17" s="39" t="str">
        <x:f>IF(OR(F17="",G17="",H17=""),"Missing input",IF(OR(F17&lt;1,G17&lt;1,I17&gt;Calendar!$B$9),"Outside calendar",IF(F17&lt;MAX(INDEX($I$8:$I$157,MATCH("B09",$A$8:$A$157,0))+1),"Dependency conflict","Scheduled")))</x:f>
        <x:v>Scheduled</x:v>
      </x:c>
      <x:c r="N17" s="45" t="n">
        <x:f>IF(OR($J17="",$K17=""),"",IF(SUMIFS(Calendar!$C$16:$C$141,Calendar!$A$16:$A$141,"&gt;="&amp;MAX(N$7,$J17),Calendar!$A$16:$A$141,"&lt;="&amp;MIN(N$7+4,$K17))=0,0,IF($H17="","EXT",SUMIFS(Calendar!$C$16:$C$141,Calendar!$A$16:$A$141,"&gt;="&amp;MAX(N$7,$J17),Calendar!$A$16:$A$141,"&lt;="&amp;MIN(N$7+4,$K17))*$H17/$G17)))</x:f>
        <x:v>0</x:v>
      </x:c>
      <x:c r="O17" s="45" t="n">
        <x:f>IF(OR($J17="",$K17=""),"",IF(SUMIFS(Calendar!$C$16:$C$141,Calendar!$A$16:$A$141,"&gt;="&amp;MAX(O$7,$J17),Calendar!$A$16:$A$141,"&lt;="&amp;MIN(O$7+4,$K17))=0,0,IF($H17="","EXT",SUMIFS(Calendar!$C$16:$C$141,Calendar!$A$16:$A$141,"&gt;="&amp;MAX(O$7,$J17),Calendar!$A$16:$A$141,"&lt;="&amp;MIN(O$7+4,$K17))*$H17/$G17)))</x:f>
        <x:v>0</x:v>
      </x:c>
      <x:c r="P17" s="45" t="n">
        <x:f>IF(OR($J17="",$K17=""),"",IF(SUMIFS(Calendar!$C$16:$C$141,Calendar!$A$16:$A$141,"&gt;="&amp;MAX(P$7,$J17),Calendar!$A$16:$A$141,"&lt;="&amp;MIN(P$7+4,$K17))=0,0,IF($H17="","EXT",SUMIFS(Calendar!$C$16:$C$141,Calendar!$A$16:$A$141,"&gt;="&amp;MAX(P$7,$J17),Calendar!$A$16:$A$141,"&lt;="&amp;MIN(P$7+4,$K17))*$H17/$G17)))</x:f>
        <x:v>0</x:v>
      </x:c>
      <x:c r="Q17" s="45" t="n">
        <x:f>IF(OR($J17="",$K17=""),"",IF(SUMIFS(Calendar!$C$16:$C$141,Calendar!$A$16:$A$141,"&gt;="&amp;MAX(Q$7,$J17),Calendar!$A$16:$A$141,"&lt;="&amp;MIN(Q$7+4,$K17))=0,0,IF($H17="","EXT",SUMIFS(Calendar!$C$16:$C$141,Calendar!$A$16:$A$141,"&gt;="&amp;MAX(Q$7,$J17),Calendar!$A$16:$A$141,"&lt;="&amp;MIN(Q$7+4,$K17))*$H17/$G17)))</x:f>
        <x:v>0</x:v>
      </x:c>
      <x:c r="R17" s="45" t="n">
        <x:f>IF(OR($J17="",$K17=""),"",IF(SUMIFS(Calendar!$C$16:$C$141,Calendar!$A$16:$A$141,"&gt;="&amp;MAX(R$7,$J17),Calendar!$A$16:$A$141,"&lt;="&amp;MIN(R$7+4,$K17))=0,0,IF($H17="","EXT",SUMIFS(Calendar!$C$16:$C$141,Calendar!$A$16:$A$141,"&gt;="&amp;MAX(R$7,$J17),Calendar!$A$16:$A$141,"&lt;="&amp;MIN(R$7+4,$K17))*$H17/$G17)))</x:f>
        <x:v>0</x:v>
      </x:c>
      <x:c r="S17" s="45" t="n">
        <x:f>IF(OR($J17="",$K17=""),"",IF(SUMIFS(Calendar!$C$16:$C$141,Calendar!$A$16:$A$141,"&gt;="&amp;MAX(S$7,$J17),Calendar!$A$16:$A$141,"&lt;="&amp;MIN(S$7+4,$K17))=0,0,IF($H17="","EXT",SUMIFS(Calendar!$C$16:$C$141,Calendar!$A$16:$A$141,"&gt;="&amp;MAX(S$7,$J17),Calendar!$A$16:$A$141,"&lt;="&amp;MIN(S$7+4,$K17))*$H17/$G17)))</x:f>
        <x:v>0</x:v>
      </x:c>
      <x:c r="T17" s="45" t="n">
        <x:f>IF(OR($J17="",$K17=""),"",IF(SUMIFS(Calendar!$C$16:$C$141,Calendar!$A$16:$A$141,"&gt;="&amp;MAX(T$7,$J17),Calendar!$A$16:$A$141,"&lt;="&amp;MIN(T$7+4,$K17))=0,0,IF($H17="","EXT",SUMIFS(Calendar!$C$16:$C$141,Calendar!$A$16:$A$141,"&gt;="&amp;MAX(T$7,$J17),Calendar!$A$16:$A$141,"&lt;="&amp;MIN(T$7+4,$K17))*$H17/$G17)))</x:f>
        <x:v>0</x:v>
      </x:c>
      <x:c r="U17" s="45" t="n">
        <x:f>IF(OR($J17="",$K17=""),"",IF(SUMIFS(Calendar!$C$16:$C$141,Calendar!$A$16:$A$141,"&gt;="&amp;MAX(U$7,$J17),Calendar!$A$16:$A$141,"&lt;="&amp;MIN(U$7+4,$K17))=0,0,IF($H17="","EXT",SUMIFS(Calendar!$C$16:$C$141,Calendar!$A$16:$A$141,"&gt;="&amp;MAX(U$7,$J17),Calendar!$A$16:$A$141,"&lt;="&amp;MIN(U$7+4,$K17))*$H17/$G17)))</x:f>
        <x:v>4</x:v>
      </x:c>
      <x:c r="V17" s="45" t="n">
        <x:f>IF(OR($J17="",$K17=""),"",IF(SUMIFS(Calendar!$C$16:$C$141,Calendar!$A$16:$A$141,"&gt;="&amp;MAX(V$7,$J17),Calendar!$A$16:$A$141,"&lt;="&amp;MIN(V$7+4,$K17))=0,0,IF($H17="","EXT",SUMIFS(Calendar!$C$16:$C$141,Calendar!$A$16:$A$141,"&gt;="&amp;MAX(V$7,$J17),Calendar!$A$16:$A$141,"&lt;="&amp;MIN(V$7+4,$K17))*$H17/$G17)))</x:f>
        <x:v>0</x:v>
      </x:c>
      <x:c r="W17" s="45" t="n">
        <x:f>IF(OR($J17="",$K17=""),"",IF(SUMIFS(Calendar!$C$16:$C$141,Calendar!$A$16:$A$141,"&gt;="&amp;MAX(W$7,$J17),Calendar!$A$16:$A$141,"&lt;="&amp;MIN(W$7+4,$K17))=0,0,IF($H17="","EXT",SUMIFS(Calendar!$C$16:$C$141,Calendar!$A$16:$A$141,"&gt;="&amp;MAX(W$7,$J17),Calendar!$A$16:$A$141,"&lt;="&amp;MIN(W$7+4,$K17))*$H17/$G17)))</x:f>
        <x:v>0</x:v>
      </x:c>
      <x:c r="X17" s="45" t="n">
        <x:f>IF(OR($J17="",$K17=""),"",IF(SUMIFS(Calendar!$C$16:$C$141,Calendar!$A$16:$A$141,"&gt;="&amp;MAX(X$7,$J17),Calendar!$A$16:$A$141,"&lt;="&amp;MIN(X$7+4,$K17))=0,0,IF($H17="","EXT",SUMIFS(Calendar!$C$16:$C$141,Calendar!$A$16:$A$141,"&gt;="&amp;MAX(X$7,$J17),Calendar!$A$16:$A$141,"&lt;="&amp;MIN(X$7+4,$K17))*$H17/$G17)))</x:f>
        <x:v>0</x:v>
      </x:c>
      <x:c r="Y17" s="45" t="n">
        <x:f>IF(OR($J17="",$K17=""),"",IF(SUMIFS(Calendar!$C$16:$C$141,Calendar!$A$16:$A$141,"&gt;="&amp;MAX(Y$7,$J17),Calendar!$A$16:$A$141,"&lt;="&amp;MIN(Y$7+4,$K17))=0,0,IF($H17="","EXT",SUMIFS(Calendar!$C$16:$C$141,Calendar!$A$16:$A$141,"&gt;="&amp;MAX(Y$7,$J17),Calendar!$A$16:$A$141,"&lt;="&amp;MIN(Y$7+4,$K17))*$H17/$G17)))</x:f>
        <x:v>0</x:v>
      </x:c>
      <x:c r="Z17" s="45" t="n">
        <x:f>IF(OR($J17="",$K17=""),"",IF(SUMIFS(Calendar!$C$16:$C$141,Calendar!$A$16:$A$141,"&gt;="&amp;MAX(Z$7,$J17),Calendar!$A$16:$A$141,"&lt;="&amp;MIN(Z$7+4,$K17))=0,0,IF($H17="","EXT",SUMIFS(Calendar!$C$16:$C$141,Calendar!$A$16:$A$141,"&gt;="&amp;MAX(Z$7,$J17),Calendar!$A$16:$A$141,"&lt;="&amp;MIN(Z$7+4,$K17))*$H17/$G17)))</x:f>
        <x:v>0</x:v>
      </x:c>
      <x:c r="AA17" s="45" t="n">
        <x:f>IF(OR($J17="",$K17=""),"",IF(SUMIFS(Calendar!$C$16:$C$141,Calendar!$A$16:$A$141,"&gt;="&amp;MAX(AA$7,$J17),Calendar!$A$16:$A$141,"&lt;="&amp;MIN(AA$7+4,$K17))=0,0,IF($H17="","EXT",SUMIFS(Calendar!$C$16:$C$141,Calendar!$A$16:$A$141,"&gt;="&amp;MAX(AA$7,$J17),Calendar!$A$16:$A$141,"&lt;="&amp;MIN(AA$7+4,$K17))*$H17/$G17)))</x:f>
        <x:v>0</x:v>
      </x:c>
      <x:c r="AB17" s="45" t="n">
        <x:f>IF(OR($J17="",$K17=""),"",IF(SUMIFS(Calendar!$C$16:$C$141,Calendar!$A$16:$A$141,"&gt;="&amp;MAX(AB$7,$J17),Calendar!$A$16:$A$141,"&lt;="&amp;MIN(AB$7+4,$K17))=0,0,IF($H17="","EXT",SUMIFS(Calendar!$C$16:$C$141,Calendar!$A$16:$A$141,"&gt;="&amp;MAX(AB$7,$J17),Calendar!$A$16:$A$141,"&lt;="&amp;MIN(AB$7+4,$K17))*$H17/$G17)))</x:f>
        <x:v>0</x:v>
      </x:c>
      <x:c r="AC17" s="45" t="n">
        <x:f>IF(OR($J17="",$K17=""),"",IF(SUMIFS(Calendar!$C$16:$C$141,Calendar!$A$16:$A$141,"&gt;="&amp;MAX(AC$7,$J17),Calendar!$A$16:$A$141,"&lt;="&amp;MIN(AC$7+4,$K17))=0,0,IF($H17="","EXT",SUMIFS(Calendar!$C$16:$C$141,Calendar!$A$16:$A$141,"&gt;="&amp;MAX(AC$7,$J17),Calendar!$A$16:$A$141,"&lt;="&amp;MIN(AC$7+4,$K17))*$H17/$G17)))</x:f>
        <x:v>0</x:v>
      </x:c>
      <x:c r="AD17" s="45" t="n">
        <x:f>IF(OR($J17="",$K17=""),"",IF(SUMIFS(Calendar!$C$16:$C$141,Calendar!$A$16:$A$141,"&gt;="&amp;MAX(AD$7,$J17),Calendar!$A$16:$A$141,"&lt;="&amp;MIN(AD$7+4,$K17))=0,0,IF($H17="","EXT",SUMIFS(Calendar!$C$16:$C$141,Calendar!$A$16:$A$141,"&gt;="&amp;MAX(AD$7,$J17),Calendar!$A$16:$A$141,"&lt;="&amp;MIN(AD$7+4,$K17))*$H17/$G17)))</x:f>
        <x:v>0</x:v>
      </x:c>
      <x:c r="AE17" s="45" t="n">
        <x:f>IF(OR($J17="",$K17=""),"",IF(SUMIFS(Calendar!$C$16:$C$141,Calendar!$A$16:$A$141,"&gt;="&amp;MAX(AE$7,$J17),Calendar!$A$16:$A$141,"&lt;="&amp;MIN(AE$7+4,$K17))=0,0,IF($H17="","EXT",SUMIFS(Calendar!$C$16:$C$141,Calendar!$A$16:$A$141,"&gt;="&amp;MAX(AE$7,$J17),Calendar!$A$16:$A$141,"&lt;="&amp;MIN(AE$7+4,$K17))*$H17/$G17)))</x:f>
        <x:v>0</x:v>
      </x:c>
      <x:c r="AF17" s="8" t="n">
        <x:f>IF(OR(M17&lt;&gt;"Scheduled",INDEX('Team and Gates'!$C$7:$C$13,MATCH($D17,'Team and Gates'!$A$7:$A$13,0))=""),"CHECK",SUM(N17:AE17)*INDEX('Team and Gates'!$C$7:$C$13,MATCH($D17,'Team and Gates'!$A$7:$A$13,0)))</x:f>
        <x:v>1440</x:v>
      </x:c>
      <x:c r="AG17" s="46" t="str">
        <x:v>Reproducible SIT evidence, defect disposition and affected-path retesting are recorded.</x:v>
      </x:c>
      <x:c r="AH17" s="46" t="str">
        <x:v>Protect extended SIT, tuning and post-holiday UAT time. If quality gates slip, reduce scope or replan; do not assume more AI coding fixes quality.</x:v>
      </x:c>
    </x:row>
    <x:row r="18" ht="45" customHeight="1">
      <x:c r="A18" s="2" t="str">
        <x:v>B11</x:v>
      </x:c>
      <x:c r="B18" s="2" t="str">
        <x:v>API / domain</x:v>
      </x:c>
      <x:c r="C18" s="46" t="str">
        <x:v>SIT API regression fixes and QA feedback triage</x:v>
      </x:c>
      <x:c r="D18" s="28" t="str">
        <x:v>Dev 1</x:v>
      </x:c>
      <x:c r="E18" s="46" t="str">
        <x:v>B10</x:v>
      </x:c>
      <x:c r="F18" s="50" t="n">
        <x:v>41</x:v>
      </x:c>
      <x:c r="G18" s="50" t="n">
        <x:v>5</x:v>
      </x:c>
      <x:c r="H18" s="51" t="n">
        <x:v>4</x:v>
      </x:c>
      <x:c r="I18" s="2" t="n">
        <x:f>IF(OR(F18="",G18=""),"",F18+G18-1)</x:f>
        <x:v>45</x:v>
      </x:c>
      <x:c r="J18" s="5" t="n">
        <x:f>IF(OR(F18="",F18&lt;1,F18&gt;Calendar!$B$9),"",INDEX(Calendar!$A$16:$A$141,MATCH(F18,Calendar!$D$16:$D$141,0)))</x:f>
        <x:v>46384</x:v>
      </x:c>
      <x:c r="K18" s="5" t="n">
        <x:f>IF(OR(I18="",I18&lt;1,I18&gt;Calendar!$B$9),"",INDEX(Calendar!$A$16:$A$141,MATCH(I18,Calendar!$D$16:$D$141,0)))</x:f>
        <x:v>46388</x:v>
      </x:c>
      <x:c r="L18" s="53" t="n">
        <x:v>0</x:v>
      </x:c>
      <x:c r="M18" s="2" t="str">
        <x:f>IF(OR(F18="",G18="",H18=""),"Missing input",IF(OR(F18&lt;1,G18&lt;1,I18&gt;Calendar!$B$9),"Outside calendar",IF(F18&lt;MAX(INDEX($I$8:$I$157,MATCH("B10",$A$8:$A$157,0))+1),"Dependency conflict","Scheduled")))</x:f>
        <x:v>Scheduled</x:v>
      </x:c>
      <x:c r="N18" s="45" t="n">
        <x:f>IF(OR($J18="",$K18=""),"",IF(SUMIFS(Calendar!$C$16:$C$141,Calendar!$A$16:$A$141,"&gt;="&amp;MAX(N$7,$J18),Calendar!$A$16:$A$141,"&lt;="&amp;MIN(N$7+4,$K18))=0,0,IF($H18="","EXT",SUMIFS(Calendar!$C$16:$C$141,Calendar!$A$16:$A$141,"&gt;="&amp;MAX(N$7,$J18),Calendar!$A$16:$A$141,"&lt;="&amp;MIN(N$7+4,$K18))*$H18/$G18)))</x:f>
        <x:v>0</x:v>
      </x:c>
      <x:c r="O18" s="45" t="n">
        <x:f>IF(OR($J18="",$K18=""),"",IF(SUMIFS(Calendar!$C$16:$C$141,Calendar!$A$16:$A$141,"&gt;="&amp;MAX(O$7,$J18),Calendar!$A$16:$A$141,"&lt;="&amp;MIN(O$7+4,$K18))=0,0,IF($H18="","EXT",SUMIFS(Calendar!$C$16:$C$141,Calendar!$A$16:$A$141,"&gt;="&amp;MAX(O$7,$J18),Calendar!$A$16:$A$141,"&lt;="&amp;MIN(O$7+4,$K18))*$H18/$G18)))</x:f>
        <x:v>0</x:v>
      </x:c>
      <x:c r="P18" s="45" t="n">
        <x:f>IF(OR($J18="",$K18=""),"",IF(SUMIFS(Calendar!$C$16:$C$141,Calendar!$A$16:$A$141,"&gt;="&amp;MAX(P$7,$J18),Calendar!$A$16:$A$141,"&lt;="&amp;MIN(P$7+4,$K18))=0,0,IF($H18="","EXT",SUMIFS(Calendar!$C$16:$C$141,Calendar!$A$16:$A$141,"&gt;="&amp;MAX(P$7,$J18),Calendar!$A$16:$A$141,"&lt;="&amp;MIN(P$7+4,$K18))*$H18/$G18)))</x:f>
        <x:v>0</x:v>
      </x:c>
      <x:c r="Q18" s="45" t="n">
        <x:f>IF(OR($J18="",$K18=""),"",IF(SUMIFS(Calendar!$C$16:$C$141,Calendar!$A$16:$A$141,"&gt;="&amp;MAX(Q$7,$J18),Calendar!$A$16:$A$141,"&lt;="&amp;MIN(Q$7+4,$K18))=0,0,IF($H18="","EXT",SUMIFS(Calendar!$C$16:$C$141,Calendar!$A$16:$A$141,"&gt;="&amp;MAX(Q$7,$J18),Calendar!$A$16:$A$141,"&lt;="&amp;MIN(Q$7+4,$K18))*$H18/$G18)))</x:f>
        <x:v>0</x:v>
      </x:c>
      <x:c r="R18" s="45" t="n">
        <x:f>IF(OR($J18="",$K18=""),"",IF(SUMIFS(Calendar!$C$16:$C$141,Calendar!$A$16:$A$141,"&gt;="&amp;MAX(R$7,$J18),Calendar!$A$16:$A$141,"&lt;="&amp;MIN(R$7+4,$K18))=0,0,IF($H18="","EXT",SUMIFS(Calendar!$C$16:$C$141,Calendar!$A$16:$A$141,"&gt;="&amp;MAX(R$7,$J18),Calendar!$A$16:$A$141,"&lt;="&amp;MIN(R$7+4,$K18))*$H18/$G18)))</x:f>
        <x:v>0</x:v>
      </x:c>
      <x:c r="S18" s="45" t="n">
        <x:f>IF(OR($J18="",$K18=""),"",IF(SUMIFS(Calendar!$C$16:$C$141,Calendar!$A$16:$A$141,"&gt;="&amp;MAX(S$7,$J18),Calendar!$A$16:$A$141,"&lt;="&amp;MIN(S$7+4,$K18))=0,0,IF($H18="","EXT",SUMIFS(Calendar!$C$16:$C$141,Calendar!$A$16:$A$141,"&gt;="&amp;MAX(S$7,$J18),Calendar!$A$16:$A$141,"&lt;="&amp;MIN(S$7+4,$K18))*$H18/$G18)))</x:f>
        <x:v>0</x:v>
      </x:c>
      <x:c r="T18" s="45" t="n">
        <x:f>IF(OR($J18="",$K18=""),"",IF(SUMIFS(Calendar!$C$16:$C$141,Calendar!$A$16:$A$141,"&gt;="&amp;MAX(T$7,$J18),Calendar!$A$16:$A$141,"&lt;="&amp;MIN(T$7+4,$K18))=0,0,IF($H18="","EXT",SUMIFS(Calendar!$C$16:$C$141,Calendar!$A$16:$A$141,"&gt;="&amp;MAX(T$7,$J18),Calendar!$A$16:$A$141,"&lt;="&amp;MIN(T$7+4,$K18))*$H18/$G18)))</x:f>
        <x:v>0</x:v>
      </x:c>
      <x:c r="U18" s="45" t="n">
        <x:f>IF(OR($J18="",$K18=""),"",IF(SUMIFS(Calendar!$C$16:$C$141,Calendar!$A$16:$A$141,"&gt;="&amp;MAX(U$7,$J18),Calendar!$A$16:$A$141,"&lt;="&amp;MIN(U$7+4,$K18))=0,0,IF($H18="","EXT",SUMIFS(Calendar!$C$16:$C$141,Calendar!$A$16:$A$141,"&gt;="&amp;MAX(U$7,$J18),Calendar!$A$16:$A$141,"&lt;="&amp;MIN(U$7+4,$K18))*$H18/$G18)))</x:f>
        <x:v>0</x:v>
      </x:c>
      <x:c r="V18" s="45" t="n">
        <x:f>IF(OR($J18="",$K18=""),"",IF(SUMIFS(Calendar!$C$16:$C$141,Calendar!$A$16:$A$141,"&gt;="&amp;MAX(V$7,$J18),Calendar!$A$16:$A$141,"&lt;="&amp;MIN(V$7+4,$K18))=0,0,IF($H18="","EXT",SUMIFS(Calendar!$C$16:$C$141,Calendar!$A$16:$A$141,"&gt;="&amp;MAX(V$7,$J18),Calendar!$A$16:$A$141,"&lt;="&amp;MIN(V$7+4,$K18))*$H18/$G18)))</x:f>
        <x:v>4</x:v>
      </x:c>
      <x:c r="W18" s="45" t="n">
        <x:f>IF(OR($J18="",$K18=""),"",IF(SUMIFS(Calendar!$C$16:$C$141,Calendar!$A$16:$A$141,"&gt;="&amp;MAX(W$7,$J18),Calendar!$A$16:$A$141,"&lt;="&amp;MIN(W$7+4,$K18))=0,0,IF($H18="","EXT",SUMIFS(Calendar!$C$16:$C$141,Calendar!$A$16:$A$141,"&gt;="&amp;MAX(W$7,$J18),Calendar!$A$16:$A$141,"&lt;="&amp;MIN(W$7+4,$K18))*$H18/$G18)))</x:f>
        <x:v>0</x:v>
      </x:c>
      <x:c r="X18" s="45" t="n">
        <x:f>IF(OR($J18="",$K18=""),"",IF(SUMIFS(Calendar!$C$16:$C$141,Calendar!$A$16:$A$141,"&gt;="&amp;MAX(X$7,$J18),Calendar!$A$16:$A$141,"&lt;="&amp;MIN(X$7+4,$K18))=0,0,IF($H18="","EXT",SUMIFS(Calendar!$C$16:$C$141,Calendar!$A$16:$A$141,"&gt;="&amp;MAX(X$7,$J18),Calendar!$A$16:$A$141,"&lt;="&amp;MIN(X$7+4,$K18))*$H18/$G18)))</x:f>
        <x:v>0</x:v>
      </x:c>
      <x:c r="Y18" s="45" t="n">
        <x:f>IF(OR($J18="",$K18=""),"",IF(SUMIFS(Calendar!$C$16:$C$141,Calendar!$A$16:$A$141,"&gt;="&amp;MAX(Y$7,$J18),Calendar!$A$16:$A$141,"&lt;="&amp;MIN(Y$7+4,$K18))=0,0,IF($H18="","EXT",SUMIFS(Calendar!$C$16:$C$141,Calendar!$A$16:$A$141,"&gt;="&amp;MAX(Y$7,$J18),Calendar!$A$16:$A$141,"&lt;="&amp;MIN(Y$7+4,$K18))*$H18/$G18)))</x:f>
        <x:v>0</x:v>
      </x:c>
      <x:c r="Z18" s="45" t="n">
        <x:f>IF(OR($J18="",$K18=""),"",IF(SUMIFS(Calendar!$C$16:$C$141,Calendar!$A$16:$A$141,"&gt;="&amp;MAX(Z$7,$J18),Calendar!$A$16:$A$141,"&lt;="&amp;MIN(Z$7+4,$K18))=0,0,IF($H18="","EXT",SUMIFS(Calendar!$C$16:$C$141,Calendar!$A$16:$A$141,"&gt;="&amp;MAX(Z$7,$J18),Calendar!$A$16:$A$141,"&lt;="&amp;MIN(Z$7+4,$K18))*$H18/$G18)))</x:f>
        <x:v>0</x:v>
      </x:c>
      <x:c r="AA18" s="45" t="n">
        <x:f>IF(OR($J18="",$K18=""),"",IF(SUMIFS(Calendar!$C$16:$C$141,Calendar!$A$16:$A$141,"&gt;="&amp;MAX(AA$7,$J18),Calendar!$A$16:$A$141,"&lt;="&amp;MIN(AA$7+4,$K18))=0,0,IF($H18="","EXT",SUMIFS(Calendar!$C$16:$C$141,Calendar!$A$16:$A$141,"&gt;="&amp;MAX(AA$7,$J18),Calendar!$A$16:$A$141,"&lt;="&amp;MIN(AA$7+4,$K18))*$H18/$G18)))</x:f>
        <x:v>0</x:v>
      </x:c>
      <x:c r="AB18" s="45" t="n">
        <x:f>IF(OR($J18="",$K18=""),"",IF(SUMIFS(Calendar!$C$16:$C$141,Calendar!$A$16:$A$141,"&gt;="&amp;MAX(AB$7,$J18),Calendar!$A$16:$A$141,"&lt;="&amp;MIN(AB$7+4,$K18))=0,0,IF($H18="","EXT",SUMIFS(Calendar!$C$16:$C$141,Calendar!$A$16:$A$141,"&gt;="&amp;MAX(AB$7,$J18),Calendar!$A$16:$A$141,"&lt;="&amp;MIN(AB$7+4,$K18))*$H18/$G18)))</x:f>
        <x:v>0</x:v>
      </x:c>
      <x:c r="AC18" s="45" t="n">
        <x:f>IF(OR($J18="",$K18=""),"",IF(SUMIFS(Calendar!$C$16:$C$141,Calendar!$A$16:$A$141,"&gt;="&amp;MAX(AC$7,$J18),Calendar!$A$16:$A$141,"&lt;="&amp;MIN(AC$7+4,$K18))=0,0,IF($H18="","EXT",SUMIFS(Calendar!$C$16:$C$141,Calendar!$A$16:$A$141,"&gt;="&amp;MAX(AC$7,$J18),Calendar!$A$16:$A$141,"&lt;="&amp;MIN(AC$7+4,$K18))*$H18/$G18)))</x:f>
        <x:v>0</x:v>
      </x:c>
      <x:c r="AD18" s="45" t="n">
        <x:f>IF(OR($J18="",$K18=""),"",IF(SUMIFS(Calendar!$C$16:$C$141,Calendar!$A$16:$A$141,"&gt;="&amp;MAX(AD$7,$J18),Calendar!$A$16:$A$141,"&lt;="&amp;MIN(AD$7+4,$K18))=0,0,IF($H18="","EXT",SUMIFS(Calendar!$C$16:$C$141,Calendar!$A$16:$A$141,"&gt;="&amp;MAX(AD$7,$J18),Calendar!$A$16:$A$141,"&lt;="&amp;MIN(AD$7+4,$K18))*$H18/$G18)))</x:f>
        <x:v>0</x:v>
      </x:c>
      <x:c r="AE18" s="45" t="n">
        <x:f>IF(OR($J18="",$K18=""),"",IF(SUMIFS(Calendar!$C$16:$C$141,Calendar!$A$16:$A$141,"&gt;="&amp;MAX(AE$7,$J18),Calendar!$A$16:$A$141,"&lt;="&amp;MIN(AE$7+4,$K18))=0,0,IF($H18="","EXT",SUMIFS(Calendar!$C$16:$C$141,Calendar!$A$16:$A$141,"&gt;="&amp;MAX(AE$7,$J18),Calendar!$A$16:$A$141,"&lt;="&amp;MIN(AE$7+4,$K18))*$H18/$G18)))</x:f>
        <x:v>0</x:v>
      </x:c>
      <x:c r="AF18" s="8" t="n">
        <x:f>IF(OR(M18&lt;&gt;"Scheduled",INDEX('Team and Gates'!$C$7:$C$13,MATCH($D18,'Team and Gates'!$A$7:$A$13,0))=""),"CHECK",SUM(N18:AE18)*INDEX('Team and Gates'!$C$7:$C$13,MATCH($D18,'Team and Gates'!$A$7:$A$13,0)))</x:f>
        <x:v>1440</x:v>
      </x:c>
      <x:c r="AG18" s="46" t="str">
        <x:v>Reproducible SIT evidence, defect disposition and affected-path retesting are recorded.</x:v>
      </x:c>
      <x:c r="AH18" s="46" t="str">
        <x:v>Protect extended SIT, tuning and post-holiday UAT time. If quality gates slip, reduce scope or replan; do not assume more AI coding fixes quality.</x:v>
      </x:c>
    </x:row>
    <x:row r="19" ht="45" customHeight="1">
      <x:c r="A19" s="39" t="str">
        <x:v>B-FB10</x:v>
      </x:c>
      <x:c r="B19" s="39" t="str">
        <x:v>API / domain</x:v>
      </x:c>
      <x:c r="C19" s="47" t="str">
        <x:v>Cross-scenario API fixes and full-journey regression</x:v>
      </x:c>
      <x:c r="D19" s="28" t="str">
        <x:v>Dev 1</x:v>
      </x:c>
      <x:c r="E19" s="47" t="str">
        <x:v>B11</x:v>
      </x:c>
      <x:c r="F19" s="50" t="n">
        <x:v>46</x:v>
      </x:c>
      <x:c r="G19" s="50" t="n">
        <x:v>5</x:v>
      </x:c>
      <x:c r="H19" s="51" t="n">
        <x:v>3</x:v>
      </x:c>
      <x:c r="I19" s="39" t="n">
        <x:f>IF(OR(F19="",G19=""),"",F19+G19-1)</x:f>
        <x:v>50</x:v>
      </x:c>
      <x:c r="J19" s="41" t="n">
        <x:f>IF(OR(F19="",F19&lt;1,F19&gt;Calendar!$B$9),"",INDEX(Calendar!$A$16:$A$141,MATCH(F19,Calendar!$D$16:$D$141,0)))</x:f>
        <x:v>46391</x:v>
      </x:c>
      <x:c r="K19" s="41" t="n">
        <x:f>IF(OR(I19="",I19&lt;1,I19&gt;Calendar!$B$9),"",INDEX(Calendar!$A$16:$A$141,MATCH(I19,Calendar!$D$16:$D$141,0)))</x:f>
        <x:v>46395</x:v>
      </x:c>
      <x:c r="L19" s="53" t="n">
        <x:v>0</x:v>
      </x:c>
      <x:c r="M19" s="39" t="str">
        <x:f>IF(OR(F19="",G19="",H19=""),"Missing input",IF(OR(F19&lt;1,G19&lt;1,I19&gt;Calendar!$B$9),"Outside calendar",IF(F19&lt;MAX(INDEX($I$8:$I$157,MATCH("B11",$A$8:$A$157,0))+1),"Dependency conflict","Scheduled")))</x:f>
        <x:v>Scheduled</x:v>
      </x:c>
      <x:c r="N19" s="45" t="n">
        <x:f>IF(OR($J19="",$K19=""),"",IF(SUMIFS(Calendar!$C$16:$C$141,Calendar!$A$16:$A$141,"&gt;="&amp;MAX(N$7,$J19),Calendar!$A$16:$A$141,"&lt;="&amp;MIN(N$7+4,$K19))=0,0,IF($H19="","EXT",SUMIFS(Calendar!$C$16:$C$141,Calendar!$A$16:$A$141,"&gt;="&amp;MAX(N$7,$J19),Calendar!$A$16:$A$141,"&lt;="&amp;MIN(N$7+4,$K19))*$H19/$G19)))</x:f>
        <x:v>0</x:v>
      </x:c>
      <x:c r="O19" s="45" t="n">
        <x:f>IF(OR($J19="",$K19=""),"",IF(SUMIFS(Calendar!$C$16:$C$141,Calendar!$A$16:$A$141,"&gt;="&amp;MAX(O$7,$J19),Calendar!$A$16:$A$141,"&lt;="&amp;MIN(O$7+4,$K19))=0,0,IF($H19="","EXT",SUMIFS(Calendar!$C$16:$C$141,Calendar!$A$16:$A$141,"&gt;="&amp;MAX(O$7,$J19),Calendar!$A$16:$A$141,"&lt;="&amp;MIN(O$7+4,$K19))*$H19/$G19)))</x:f>
        <x:v>0</x:v>
      </x:c>
      <x:c r="P19" s="45" t="n">
        <x:f>IF(OR($J19="",$K19=""),"",IF(SUMIFS(Calendar!$C$16:$C$141,Calendar!$A$16:$A$141,"&gt;="&amp;MAX(P$7,$J19),Calendar!$A$16:$A$141,"&lt;="&amp;MIN(P$7+4,$K19))=0,0,IF($H19="","EXT",SUMIFS(Calendar!$C$16:$C$141,Calendar!$A$16:$A$141,"&gt;="&amp;MAX(P$7,$J19),Calendar!$A$16:$A$141,"&lt;="&amp;MIN(P$7+4,$K19))*$H19/$G19)))</x:f>
        <x:v>0</x:v>
      </x:c>
      <x:c r="Q19" s="45" t="n">
        <x:f>IF(OR($J19="",$K19=""),"",IF(SUMIFS(Calendar!$C$16:$C$141,Calendar!$A$16:$A$141,"&gt;="&amp;MAX(Q$7,$J19),Calendar!$A$16:$A$141,"&lt;="&amp;MIN(Q$7+4,$K19))=0,0,IF($H19="","EXT",SUMIFS(Calendar!$C$16:$C$141,Calendar!$A$16:$A$141,"&gt;="&amp;MAX(Q$7,$J19),Calendar!$A$16:$A$141,"&lt;="&amp;MIN(Q$7+4,$K19))*$H19/$G19)))</x:f>
        <x:v>0</x:v>
      </x:c>
      <x:c r="R19" s="45" t="n">
        <x:f>IF(OR($J19="",$K19=""),"",IF(SUMIFS(Calendar!$C$16:$C$141,Calendar!$A$16:$A$141,"&gt;="&amp;MAX(R$7,$J19),Calendar!$A$16:$A$141,"&lt;="&amp;MIN(R$7+4,$K19))=0,0,IF($H19="","EXT",SUMIFS(Calendar!$C$16:$C$141,Calendar!$A$16:$A$141,"&gt;="&amp;MAX(R$7,$J19),Calendar!$A$16:$A$141,"&lt;="&amp;MIN(R$7+4,$K19))*$H19/$G19)))</x:f>
        <x:v>0</x:v>
      </x:c>
      <x:c r="S19" s="45" t="n">
        <x:f>IF(OR($J19="",$K19=""),"",IF(SUMIFS(Calendar!$C$16:$C$141,Calendar!$A$16:$A$141,"&gt;="&amp;MAX(S$7,$J19),Calendar!$A$16:$A$141,"&lt;="&amp;MIN(S$7+4,$K19))=0,0,IF($H19="","EXT",SUMIFS(Calendar!$C$16:$C$141,Calendar!$A$16:$A$141,"&gt;="&amp;MAX(S$7,$J19),Calendar!$A$16:$A$141,"&lt;="&amp;MIN(S$7+4,$K19))*$H19/$G19)))</x:f>
        <x:v>0</x:v>
      </x:c>
      <x:c r="T19" s="45" t="n">
        <x:f>IF(OR($J19="",$K19=""),"",IF(SUMIFS(Calendar!$C$16:$C$141,Calendar!$A$16:$A$141,"&gt;="&amp;MAX(T$7,$J19),Calendar!$A$16:$A$141,"&lt;="&amp;MIN(T$7+4,$K19))=0,0,IF($H19="","EXT",SUMIFS(Calendar!$C$16:$C$141,Calendar!$A$16:$A$141,"&gt;="&amp;MAX(T$7,$J19),Calendar!$A$16:$A$141,"&lt;="&amp;MIN(T$7+4,$K19))*$H19/$G19)))</x:f>
        <x:v>0</x:v>
      </x:c>
      <x:c r="U19" s="45" t="n">
        <x:f>IF(OR($J19="",$K19=""),"",IF(SUMIFS(Calendar!$C$16:$C$141,Calendar!$A$16:$A$141,"&gt;="&amp;MAX(U$7,$J19),Calendar!$A$16:$A$141,"&lt;="&amp;MIN(U$7+4,$K19))=0,0,IF($H19="","EXT",SUMIFS(Calendar!$C$16:$C$141,Calendar!$A$16:$A$141,"&gt;="&amp;MAX(U$7,$J19),Calendar!$A$16:$A$141,"&lt;="&amp;MIN(U$7+4,$K19))*$H19/$G19)))</x:f>
        <x:v>0</x:v>
      </x:c>
      <x:c r="V19" s="45" t="n">
        <x:f>IF(OR($J19="",$K19=""),"",IF(SUMIFS(Calendar!$C$16:$C$141,Calendar!$A$16:$A$141,"&gt;="&amp;MAX(V$7,$J19),Calendar!$A$16:$A$141,"&lt;="&amp;MIN(V$7+4,$K19))=0,0,IF($H19="","EXT",SUMIFS(Calendar!$C$16:$C$141,Calendar!$A$16:$A$141,"&gt;="&amp;MAX(V$7,$J19),Calendar!$A$16:$A$141,"&lt;="&amp;MIN(V$7+4,$K19))*$H19/$G19)))</x:f>
        <x:v>0</x:v>
      </x:c>
      <x:c r="W19" s="45" t="n">
        <x:f>IF(OR($J19="",$K19=""),"",IF(SUMIFS(Calendar!$C$16:$C$141,Calendar!$A$16:$A$141,"&gt;="&amp;MAX(W$7,$J19),Calendar!$A$16:$A$141,"&lt;="&amp;MIN(W$7+4,$K19))=0,0,IF($H19="","EXT",SUMIFS(Calendar!$C$16:$C$141,Calendar!$A$16:$A$141,"&gt;="&amp;MAX(W$7,$J19),Calendar!$A$16:$A$141,"&lt;="&amp;MIN(W$7+4,$K19))*$H19/$G19)))</x:f>
        <x:v>3</x:v>
      </x:c>
      <x:c r="X19" s="45" t="n">
        <x:f>IF(OR($J19="",$K19=""),"",IF(SUMIFS(Calendar!$C$16:$C$141,Calendar!$A$16:$A$141,"&gt;="&amp;MAX(X$7,$J19),Calendar!$A$16:$A$141,"&lt;="&amp;MIN(X$7+4,$K19))=0,0,IF($H19="","EXT",SUMIFS(Calendar!$C$16:$C$141,Calendar!$A$16:$A$141,"&gt;="&amp;MAX(X$7,$J19),Calendar!$A$16:$A$141,"&lt;="&amp;MIN(X$7+4,$K19))*$H19/$G19)))</x:f>
        <x:v>0</x:v>
      </x:c>
      <x:c r="Y19" s="45" t="n">
        <x:f>IF(OR($J19="",$K19=""),"",IF(SUMIFS(Calendar!$C$16:$C$141,Calendar!$A$16:$A$141,"&gt;="&amp;MAX(Y$7,$J19),Calendar!$A$16:$A$141,"&lt;="&amp;MIN(Y$7+4,$K19))=0,0,IF($H19="","EXT",SUMIFS(Calendar!$C$16:$C$141,Calendar!$A$16:$A$141,"&gt;="&amp;MAX(Y$7,$J19),Calendar!$A$16:$A$141,"&lt;="&amp;MIN(Y$7+4,$K19))*$H19/$G19)))</x:f>
        <x:v>0</x:v>
      </x:c>
      <x:c r="Z19" s="45" t="n">
        <x:f>IF(OR($J19="",$K19=""),"",IF(SUMIFS(Calendar!$C$16:$C$141,Calendar!$A$16:$A$141,"&gt;="&amp;MAX(Z$7,$J19),Calendar!$A$16:$A$141,"&lt;="&amp;MIN(Z$7+4,$K19))=0,0,IF($H19="","EXT",SUMIFS(Calendar!$C$16:$C$141,Calendar!$A$16:$A$141,"&gt;="&amp;MAX(Z$7,$J19),Calendar!$A$16:$A$141,"&lt;="&amp;MIN(Z$7+4,$K19))*$H19/$G19)))</x:f>
        <x:v>0</x:v>
      </x:c>
      <x:c r="AA19" s="45" t="n">
        <x:f>IF(OR($J19="",$K19=""),"",IF(SUMIFS(Calendar!$C$16:$C$141,Calendar!$A$16:$A$141,"&gt;="&amp;MAX(AA$7,$J19),Calendar!$A$16:$A$141,"&lt;="&amp;MIN(AA$7+4,$K19))=0,0,IF($H19="","EXT",SUMIFS(Calendar!$C$16:$C$141,Calendar!$A$16:$A$141,"&gt;="&amp;MAX(AA$7,$J19),Calendar!$A$16:$A$141,"&lt;="&amp;MIN(AA$7+4,$K19))*$H19/$G19)))</x:f>
        <x:v>0</x:v>
      </x:c>
      <x:c r="AB19" s="45" t="n">
        <x:f>IF(OR($J19="",$K19=""),"",IF(SUMIFS(Calendar!$C$16:$C$141,Calendar!$A$16:$A$141,"&gt;="&amp;MAX(AB$7,$J19),Calendar!$A$16:$A$141,"&lt;="&amp;MIN(AB$7+4,$K19))=0,0,IF($H19="","EXT",SUMIFS(Calendar!$C$16:$C$141,Calendar!$A$16:$A$141,"&gt;="&amp;MAX(AB$7,$J19),Calendar!$A$16:$A$141,"&lt;="&amp;MIN(AB$7+4,$K19))*$H19/$G19)))</x:f>
        <x:v>0</x:v>
      </x:c>
      <x:c r="AC19" s="45" t="n">
        <x:f>IF(OR($J19="",$K19=""),"",IF(SUMIFS(Calendar!$C$16:$C$141,Calendar!$A$16:$A$141,"&gt;="&amp;MAX(AC$7,$J19),Calendar!$A$16:$A$141,"&lt;="&amp;MIN(AC$7+4,$K19))=0,0,IF($H19="","EXT",SUMIFS(Calendar!$C$16:$C$141,Calendar!$A$16:$A$141,"&gt;="&amp;MAX(AC$7,$J19),Calendar!$A$16:$A$141,"&lt;="&amp;MIN(AC$7+4,$K19))*$H19/$G19)))</x:f>
        <x:v>0</x:v>
      </x:c>
      <x:c r="AD19" s="45" t="n">
        <x:f>IF(OR($J19="",$K19=""),"",IF(SUMIFS(Calendar!$C$16:$C$141,Calendar!$A$16:$A$141,"&gt;="&amp;MAX(AD$7,$J19),Calendar!$A$16:$A$141,"&lt;="&amp;MIN(AD$7+4,$K19))=0,0,IF($H19="","EXT",SUMIFS(Calendar!$C$16:$C$141,Calendar!$A$16:$A$141,"&gt;="&amp;MAX(AD$7,$J19),Calendar!$A$16:$A$141,"&lt;="&amp;MIN(AD$7+4,$K19))*$H19/$G19)))</x:f>
        <x:v>0</x:v>
      </x:c>
      <x:c r="AE19" s="45" t="n">
        <x:f>IF(OR($J19="",$K19=""),"",IF(SUMIFS(Calendar!$C$16:$C$141,Calendar!$A$16:$A$141,"&gt;="&amp;MAX(AE$7,$J19),Calendar!$A$16:$A$141,"&lt;="&amp;MIN(AE$7+4,$K19))=0,0,IF($H19="","EXT",SUMIFS(Calendar!$C$16:$C$141,Calendar!$A$16:$A$141,"&gt;="&amp;MAX(AE$7,$J19),Calendar!$A$16:$A$141,"&lt;="&amp;MIN(AE$7+4,$K19))*$H19/$G19)))</x:f>
        <x:v>0</x:v>
      </x:c>
      <x:c r="AF19" s="8" t="n">
        <x:f>IF(OR(M19&lt;&gt;"Scheduled",INDEX('Team and Gates'!$C$7:$C$13,MATCH($D19,'Team and Gates'!$A$7:$A$13,0))=""),"CHECK",SUM(N19:AE19)*INDEX('Team and Gates'!$C$7:$C$13,MATCH($D19,'Team and Gates'!$A$7:$A$13,0)))</x:f>
        <x:v>1080</x:v>
      </x:c>
      <x:c r="AG19" s="46" t="str">
        <x:v>Record versioned technical/business results, QA feedback, DS/developer fixes and affected-path retests. Business validation remains independent of DS tuning.</x:v>
      </x:c>
      <x:c r="AH19" s="46" t="str">
        <x:v>Two additional weeks of tuning, independent QA and stabilization recovered from shorter preparation/coding.</x:v>
      </x:c>
    </x:row>
    <x:row r="20" ht="45" customHeight="1">
      <x:c r="A20" s="2" t="str">
        <x:v>B-FB11</x:v>
      </x:c>
      <x:c r="B20" s="2" t="str">
        <x:v>API / domain</x:v>
      </x:c>
      <x:c r="C20" s="46" t="str">
        <x:v>Default-Case edge cases, permissions and API stabilization</x:v>
      </x:c>
      <x:c r="D20" s="28" t="str">
        <x:v>Dev 1</x:v>
      </x:c>
      <x:c r="E20" s="46" t="str">
        <x:v>B-FB10</x:v>
      </x:c>
      <x:c r="F20" s="50" t="n">
        <x:v>51</x:v>
      </x:c>
      <x:c r="G20" s="50" t="n">
        <x:v>5</x:v>
      </x:c>
      <x:c r="H20" s="51" t="n">
        <x:v>3</x:v>
      </x:c>
      <x:c r="I20" s="2" t="n">
        <x:f>IF(OR(F20="",G20=""),"",F20+G20-1)</x:f>
        <x:v>55</x:v>
      </x:c>
      <x:c r="J20" s="5" t="n">
        <x:f>IF(OR(F20="",F20&lt;1,F20&gt;Calendar!$B$9),"",INDEX(Calendar!$A$16:$A$141,MATCH(F20,Calendar!$D$16:$D$141,0)))</x:f>
        <x:v>46398</x:v>
      </x:c>
      <x:c r="K20" s="5" t="n">
        <x:f>IF(OR(I20="",I20&lt;1,I20&gt;Calendar!$B$9),"",INDEX(Calendar!$A$16:$A$141,MATCH(I20,Calendar!$D$16:$D$141,0)))</x:f>
        <x:v>46402</x:v>
      </x:c>
      <x:c r="L20" s="53" t="n">
        <x:v>0</x:v>
      </x:c>
      <x:c r="M20" s="2" t="str">
        <x:f>IF(OR(F20="",G20="",H20=""),"Missing input",IF(OR(F20&lt;1,G20&lt;1,I20&gt;Calendar!$B$9),"Outside calendar",IF(F20&lt;MAX(INDEX($I$8:$I$157,MATCH("B-FB10",$A$8:$A$157,0))+1),"Dependency conflict","Scheduled")))</x:f>
        <x:v>Scheduled</x:v>
      </x:c>
      <x:c r="N20" s="45" t="n">
        <x:f>IF(OR($J20="",$K20=""),"",IF(SUMIFS(Calendar!$C$16:$C$141,Calendar!$A$16:$A$141,"&gt;="&amp;MAX(N$7,$J20),Calendar!$A$16:$A$141,"&lt;="&amp;MIN(N$7+4,$K20))=0,0,IF($H20="","EXT",SUMIFS(Calendar!$C$16:$C$141,Calendar!$A$16:$A$141,"&gt;="&amp;MAX(N$7,$J20),Calendar!$A$16:$A$141,"&lt;="&amp;MIN(N$7+4,$K20))*$H20/$G20)))</x:f>
        <x:v>0</x:v>
      </x:c>
      <x:c r="O20" s="45" t="n">
        <x:f>IF(OR($J20="",$K20=""),"",IF(SUMIFS(Calendar!$C$16:$C$141,Calendar!$A$16:$A$141,"&gt;="&amp;MAX(O$7,$J20),Calendar!$A$16:$A$141,"&lt;="&amp;MIN(O$7+4,$K20))=0,0,IF($H20="","EXT",SUMIFS(Calendar!$C$16:$C$141,Calendar!$A$16:$A$141,"&gt;="&amp;MAX(O$7,$J20),Calendar!$A$16:$A$141,"&lt;="&amp;MIN(O$7+4,$K20))*$H20/$G20)))</x:f>
        <x:v>0</x:v>
      </x:c>
      <x:c r="P20" s="45" t="n">
        <x:f>IF(OR($J20="",$K20=""),"",IF(SUMIFS(Calendar!$C$16:$C$141,Calendar!$A$16:$A$141,"&gt;="&amp;MAX(P$7,$J20),Calendar!$A$16:$A$141,"&lt;="&amp;MIN(P$7+4,$K20))=0,0,IF($H20="","EXT",SUMIFS(Calendar!$C$16:$C$141,Calendar!$A$16:$A$141,"&gt;="&amp;MAX(P$7,$J20),Calendar!$A$16:$A$141,"&lt;="&amp;MIN(P$7+4,$K20))*$H20/$G20)))</x:f>
        <x:v>0</x:v>
      </x:c>
      <x:c r="Q20" s="45" t="n">
        <x:f>IF(OR($J20="",$K20=""),"",IF(SUMIFS(Calendar!$C$16:$C$141,Calendar!$A$16:$A$141,"&gt;="&amp;MAX(Q$7,$J20),Calendar!$A$16:$A$141,"&lt;="&amp;MIN(Q$7+4,$K20))=0,0,IF($H20="","EXT",SUMIFS(Calendar!$C$16:$C$141,Calendar!$A$16:$A$141,"&gt;="&amp;MAX(Q$7,$J20),Calendar!$A$16:$A$141,"&lt;="&amp;MIN(Q$7+4,$K20))*$H20/$G20)))</x:f>
        <x:v>0</x:v>
      </x:c>
      <x:c r="R20" s="45" t="n">
        <x:f>IF(OR($J20="",$K20=""),"",IF(SUMIFS(Calendar!$C$16:$C$141,Calendar!$A$16:$A$141,"&gt;="&amp;MAX(R$7,$J20),Calendar!$A$16:$A$141,"&lt;="&amp;MIN(R$7+4,$K20))=0,0,IF($H20="","EXT",SUMIFS(Calendar!$C$16:$C$141,Calendar!$A$16:$A$141,"&gt;="&amp;MAX(R$7,$J20),Calendar!$A$16:$A$141,"&lt;="&amp;MIN(R$7+4,$K20))*$H20/$G20)))</x:f>
        <x:v>0</x:v>
      </x:c>
      <x:c r="S20" s="45" t="n">
        <x:f>IF(OR($J20="",$K20=""),"",IF(SUMIFS(Calendar!$C$16:$C$141,Calendar!$A$16:$A$141,"&gt;="&amp;MAX(S$7,$J20),Calendar!$A$16:$A$141,"&lt;="&amp;MIN(S$7+4,$K20))=0,0,IF($H20="","EXT",SUMIFS(Calendar!$C$16:$C$141,Calendar!$A$16:$A$141,"&gt;="&amp;MAX(S$7,$J20),Calendar!$A$16:$A$141,"&lt;="&amp;MIN(S$7+4,$K20))*$H20/$G20)))</x:f>
        <x:v>0</x:v>
      </x:c>
      <x:c r="T20" s="45" t="n">
        <x:f>IF(OR($J20="",$K20=""),"",IF(SUMIFS(Calendar!$C$16:$C$141,Calendar!$A$16:$A$141,"&gt;="&amp;MAX(T$7,$J20),Calendar!$A$16:$A$141,"&lt;="&amp;MIN(T$7+4,$K20))=0,0,IF($H20="","EXT",SUMIFS(Calendar!$C$16:$C$141,Calendar!$A$16:$A$141,"&gt;="&amp;MAX(T$7,$J20),Calendar!$A$16:$A$141,"&lt;="&amp;MIN(T$7+4,$K20))*$H20/$G20)))</x:f>
        <x:v>0</x:v>
      </x:c>
      <x:c r="U20" s="45" t="n">
        <x:f>IF(OR($J20="",$K20=""),"",IF(SUMIFS(Calendar!$C$16:$C$141,Calendar!$A$16:$A$141,"&gt;="&amp;MAX(U$7,$J20),Calendar!$A$16:$A$141,"&lt;="&amp;MIN(U$7+4,$K20))=0,0,IF($H20="","EXT",SUMIFS(Calendar!$C$16:$C$141,Calendar!$A$16:$A$141,"&gt;="&amp;MAX(U$7,$J20),Calendar!$A$16:$A$141,"&lt;="&amp;MIN(U$7+4,$K20))*$H20/$G20)))</x:f>
        <x:v>0</x:v>
      </x:c>
      <x:c r="V20" s="45" t="n">
        <x:f>IF(OR($J20="",$K20=""),"",IF(SUMIFS(Calendar!$C$16:$C$141,Calendar!$A$16:$A$141,"&gt;="&amp;MAX(V$7,$J20),Calendar!$A$16:$A$141,"&lt;="&amp;MIN(V$7+4,$K20))=0,0,IF($H20="","EXT",SUMIFS(Calendar!$C$16:$C$141,Calendar!$A$16:$A$141,"&gt;="&amp;MAX(V$7,$J20),Calendar!$A$16:$A$141,"&lt;="&amp;MIN(V$7+4,$K20))*$H20/$G20)))</x:f>
        <x:v>0</x:v>
      </x:c>
      <x:c r="W20" s="45" t="n">
        <x:f>IF(OR($J20="",$K20=""),"",IF(SUMIFS(Calendar!$C$16:$C$141,Calendar!$A$16:$A$141,"&gt;="&amp;MAX(W$7,$J20),Calendar!$A$16:$A$141,"&lt;="&amp;MIN(W$7+4,$K20))=0,0,IF($H20="","EXT",SUMIFS(Calendar!$C$16:$C$141,Calendar!$A$16:$A$141,"&gt;="&amp;MAX(W$7,$J20),Calendar!$A$16:$A$141,"&lt;="&amp;MIN(W$7+4,$K20))*$H20/$G20)))</x:f>
        <x:v>0</x:v>
      </x:c>
      <x:c r="X20" s="45" t="n">
        <x:f>IF(OR($J20="",$K20=""),"",IF(SUMIFS(Calendar!$C$16:$C$141,Calendar!$A$16:$A$141,"&gt;="&amp;MAX(X$7,$J20),Calendar!$A$16:$A$141,"&lt;="&amp;MIN(X$7+4,$K20))=0,0,IF($H20="","EXT",SUMIFS(Calendar!$C$16:$C$141,Calendar!$A$16:$A$141,"&gt;="&amp;MAX(X$7,$J20),Calendar!$A$16:$A$141,"&lt;="&amp;MIN(X$7+4,$K20))*$H20/$G20)))</x:f>
        <x:v>3</x:v>
      </x:c>
      <x:c r="Y20" s="45" t="n">
        <x:f>IF(OR($J20="",$K20=""),"",IF(SUMIFS(Calendar!$C$16:$C$141,Calendar!$A$16:$A$141,"&gt;="&amp;MAX(Y$7,$J20),Calendar!$A$16:$A$141,"&lt;="&amp;MIN(Y$7+4,$K20))=0,0,IF($H20="","EXT",SUMIFS(Calendar!$C$16:$C$141,Calendar!$A$16:$A$141,"&gt;="&amp;MAX(Y$7,$J20),Calendar!$A$16:$A$141,"&lt;="&amp;MIN(Y$7+4,$K20))*$H20/$G20)))</x:f>
        <x:v>0</x:v>
      </x:c>
      <x:c r="Z20" s="45" t="n">
        <x:f>IF(OR($J20="",$K20=""),"",IF(SUMIFS(Calendar!$C$16:$C$141,Calendar!$A$16:$A$141,"&gt;="&amp;MAX(Z$7,$J20),Calendar!$A$16:$A$141,"&lt;="&amp;MIN(Z$7+4,$K20))=0,0,IF($H20="","EXT",SUMIFS(Calendar!$C$16:$C$141,Calendar!$A$16:$A$141,"&gt;="&amp;MAX(Z$7,$J20),Calendar!$A$16:$A$141,"&lt;="&amp;MIN(Z$7+4,$K20))*$H20/$G20)))</x:f>
        <x:v>0</x:v>
      </x:c>
      <x:c r="AA20" s="45" t="n">
        <x:f>IF(OR($J20="",$K20=""),"",IF(SUMIFS(Calendar!$C$16:$C$141,Calendar!$A$16:$A$141,"&gt;="&amp;MAX(AA$7,$J20),Calendar!$A$16:$A$141,"&lt;="&amp;MIN(AA$7+4,$K20))=0,0,IF($H20="","EXT",SUMIFS(Calendar!$C$16:$C$141,Calendar!$A$16:$A$141,"&gt;="&amp;MAX(AA$7,$J20),Calendar!$A$16:$A$141,"&lt;="&amp;MIN(AA$7+4,$K20))*$H20/$G20)))</x:f>
        <x:v>0</x:v>
      </x:c>
      <x:c r="AB20" s="45" t="n">
        <x:f>IF(OR($J20="",$K20=""),"",IF(SUMIFS(Calendar!$C$16:$C$141,Calendar!$A$16:$A$141,"&gt;="&amp;MAX(AB$7,$J20),Calendar!$A$16:$A$141,"&lt;="&amp;MIN(AB$7+4,$K20))=0,0,IF($H20="","EXT",SUMIFS(Calendar!$C$16:$C$141,Calendar!$A$16:$A$141,"&gt;="&amp;MAX(AB$7,$J20),Calendar!$A$16:$A$141,"&lt;="&amp;MIN(AB$7+4,$K20))*$H20/$G20)))</x:f>
        <x:v>0</x:v>
      </x:c>
      <x:c r="AC20" s="45" t="n">
        <x:f>IF(OR($J20="",$K20=""),"",IF(SUMIFS(Calendar!$C$16:$C$141,Calendar!$A$16:$A$141,"&gt;="&amp;MAX(AC$7,$J20),Calendar!$A$16:$A$141,"&lt;="&amp;MIN(AC$7+4,$K20))=0,0,IF($H20="","EXT",SUMIFS(Calendar!$C$16:$C$141,Calendar!$A$16:$A$141,"&gt;="&amp;MAX(AC$7,$J20),Calendar!$A$16:$A$141,"&lt;="&amp;MIN(AC$7+4,$K20))*$H20/$G20)))</x:f>
        <x:v>0</x:v>
      </x:c>
      <x:c r="AD20" s="45" t="n">
        <x:f>IF(OR($J20="",$K20=""),"",IF(SUMIFS(Calendar!$C$16:$C$141,Calendar!$A$16:$A$141,"&gt;="&amp;MAX(AD$7,$J20),Calendar!$A$16:$A$141,"&lt;="&amp;MIN(AD$7+4,$K20))=0,0,IF($H20="","EXT",SUMIFS(Calendar!$C$16:$C$141,Calendar!$A$16:$A$141,"&gt;="&amp;MAX(AD$7,$J20),Calendar!$A$16:$A$141,"&lt;="&amp;MIN(AD$7+4,$K20))*$H20/$G20)))</x:f>
        <x:v>0</x:v>
      </x:c>
      <x:c r="AE20" s="45" t="n">
        <x:f>IF(OR($J20="",$K20=""),"",IF(SUMIFS(Calendar!$C$16:$C$141,Calendar!$A$16:$A$141,"&gt;="&amp;MAX(AE$7,$J20),Calendar!$A$16:$A$141,"&lt;="&amp;MIN(AE$7+4,$K20))=0,0,IF($H20="","EXT",SUMIFS(Calendar!$C$16:$C$141,Calendar!$A$16:$A$141,"&gt;="&amp;MAX(AE$7,$J20),Calendar!$A$16:$A$141,"&lt;="&amp;MIN(AE$7+4,$K20))*$H20/$G20)))</x:f>
        <x:v>0</x:v>
      </x:c>
      <x:c r="AF20" s="8" t="n">
        <x:f>IF(OR(M20&lt;&gt;"Scheduled",INDEX('Team and Gates'!$C$7:$C$13,MATCH($D20,'Team and Gates'!$A$7:$A$13,0))=""),"CHECK",SUM(N20:AE20)*INDEX('Team and Gates'!$C$7:$C$13,MATCH($D20,'Team and Gates'!$A$7:$A$13,0)))</x:f>
        <x:v>1080</x:v>
      </x:c>
      <x:c r="AG20" s="46" t="str">
        <x:v>Record versioned technical/business results, QA feedback, DS/developer fixes and affected-path retests. Business validation remains independent of DS tuning.</x:v>
      </x:c>
      <x:c r="AH20" s="46" t="str">
        <x:v>Two additional weeks of tuning, independent QA and stabilization recovered from shorter preparation/coding.</x:v>
      </x:c>
    </x:row>
    <x:row r="21" ht="45" customHeight="1">
      <x:c r="A21" s="39" t="str">
        <x:v>B12</x:v>
      </x:c>
      <x:c r="B21" s="39" t="str">
        <x:v>API / domain</x:v>
      </x:c>
      <x:c r="C21" s="47" t="str">
        <x:v>Extended SIT tuning defects and API/business-rule fixes</x:v>
      </x:c>
      <x:c r="D21" s="28" t="str">
        <x:v>Dev 1</x:v>
      </x:c>
      <x:c r="E21" s="47" t="str">
        <x:v>B11, B-FB11</x:v>
      </x:c>
      <x:c r="F21" s="50" t="n">
        <x:v>56</x:v>
      </x:c>
      <x:c r="G21" s="50" t="n">
        <x:v>5</x:v>
      </x:c>
      <x:c r="H21" s="51" t="n">
        <x:v>3</x:v>
      </x:c>
      <x:c r="I21" s="39" t="n">
        <x:f>IF(OR(F21="",G21=""),"",F21+G21-1)</x:f>
        <x:v>60</x:v>
      </x:c>
      <x:c r="J21" s="41" t="n">
        <x:f>IF(OR(F21="",F21&lt;1,F21&gt;Calendar!$B$9),"",INDEX(Calendar!$A$16:$A$141,MATCH(F21,Calendar!$D$16:$D$141,0)))</x:f>
        <x:v>46405</x:v>
      </x:c>
      <x:c r="K21" s="41" t="n">
        <x:f>IF(OR(I21="",I21&lt;1,I21&gt;Calendar!$B$9),"",INDEX(Calendar!$A$16:$A$141,MATCH(I21,Calendar!$D$16:$D$141,0)))</x:f>
        <x:v>46409</x:v>
      </x:c>
      <x:c r="L21" s="53" t="n">
        <x:v>0</x:v>
      </x:c>
      <x:c r="M21" s="39" t="str">
        <x:f>IF(OR(F21="",G21="",H21=""),"Missing input",IF(OR(F21&lt;1,G21&lt;1,I21&gt;Calendar!$B$9),"Outside calendar",IF(F21&lt;MAX(INDEX($I$8:$I$157,MATCH("B11",$A$8:$A$157,0))+1,INDEX($I$8:$I$157,MATCH("B-FB11",$A$8:$A$157,0))+1),"Dependency conflict","Scheduled")))</x:f>
        <x:v>Scheduled</x:v>
      </x:c>
      <x:c r="N21" s="45" t="n">
        <x:f>IF(OR($J21="",$K21=""),"",IF(SUMIFS(Calendar!$C$16:$C$141,Calendar!$A$16:$A$141,"&gt;="&amp;MAX(N$7,$J21),Calendar!$A$16:$A$141,"&lt;="&amp;MIN(N$7+4,$K21))=0,0,IF($H21="","EXT",SUMIFS(Calendar!$C$16:$C$141,Calendar!$A$16:$A$141,"&gt;="&amp;MAX(N$7,$J21),Calendar!$A$16:$A$141,"&lt;="&amp;MIN(N$7+4,$K21))*$H21/$G21)))</x:f>
        <x:v>0</x:v>
      </x:c>
      <x:c r="O21" s="45" t="n">
        <x:f>IF(OR($J21="",$K21=""),"",IF(SUMIFS(Calendar!$C$16:$C$141,Calendar!$A$16:$A$141,"&gt;="&amp;MAX(O$7,$J21),Calendar!$A$16:$A$141,"&lt;="&amp;MIN(O$7+4,$K21))=0,0,IF($H21="","EXT",SUMIFS(Calendar!$C$16:$C$141,Calendar!$A$16:$A$141,"&gt;="&amp;MAX(O$7,$J21),Calendar!$A$16:$A$141,"&lt;="&amp;MIN(O$7+4,$K21))*$H21/$G21)))</x:f>
        <x:v>0</x:v>
      </x:c>
      <x:c r="P21" s="45" t="n">
        <x:f>IF(OR($J21="",$K21=""),"",IF(SUMIFS(Calendar!$C$16:$C$141,Calendar!$A$16:$A$141,"&gt;="&amp;MAX(P$7,$J21),Calendar!$A$16:$A$141,"&lt;="&amp;MIN(P$7+4,$K21))=0,0,IF($H21="","EXT",SUMIFS(Calendar!$C$16:$C$141,Calendar!$A$16:$A$141,"&gt;="&amp;MAX(P$7,$J21),Calendar!$A$16:$A$141,"&lt;="&amp;MIN(P$7+4,$K21))*$H21/$G21)))</x:f>
        <x:v>0</x:v>
      </x:c>
      <x:c r="Q21" s="45" t="n">
        <x:f>IF(OR($J21="",$K21=""),"",IF(SUMIFS(Calendar!$C$16:$C$141,Calendar!$A$16:$A$141,"&gt;="&amp;MAX(Q$7,$J21),Calendar!$A$16:$A$141,"&lt;="&amp;MIN(Q$7+4,$K21))=0,0,IF($H21="","EXT",SUMIFS(Calendar!$C$16:$C$141,Calendar!$A$16:$A$141,"&gt;="&amp;MAX(Q$7,$J21),Calendar!$A$16:$A$141,"&lt;="&amp;MIN(Q$7+4,$K21))*$H21/$G21)))</x:f>
        <x:v>0</x:v>
      </x:c>
      <x:c r="R21" s="45" t="n">
        <x:f>IF(OR($J21="",$K21=""),"",IF(SUMIFS(Calendar!$C$16:$C$141,Calendar!$A$16:$A$141,"&gt;="&amp;MAX(R$7,$J21),Calendar!$A$16:$A$141,"&lt;="&amp;MIN(R$7+4,$K21))=0,0,IF($H21="","EXT",SUMIFS(Calendar!$C$16:$C$141,Calendar!$A$16:$A$141,"&gt;="&amp;MAX(R$7,$J21),Calendar!$A$16:$A$141,"&lt;="&amp;MIN(R$7+4,$K21))*$H21/$G21)))</x:f>
        <x:v>0</x:v>
      </x:c>
      <x:c r="S21" s="45" t="n">
        <x:f>IF(OR($J21="",$K21=""),"",IF(SUMIFS(Calendar!$C$16:$C$141,Calendar!$A$16:$A$141,"&gt;="&amp;MAX(S$7,$J21),Calendar!$A$16:$A$141,"&lt;="&amp;MIN(S$7+4,$K21))=0,0,IF($H21="","EXT",SUMIFS(Calendar!$C$16:$C$141,Calendar!$A$16:$A$141,"&gt;="&amp;MAX(S$7,$J21),Calendar!$A$16:$A$141,"&lt;="&amp;MIN(S$7+4,$K21))*$H21/$G21)))</x:f>
        <x:v>0</x:v>
      </x:c>
      <x:c r="T21" s="45" t="n">
        <x:f>IF(OR($J21="",$K21=""),"",IF(SUMIFS(Calendar!$C$16:$C$141,Calendar!$A$16:$A$141,"&gt;="&amp;MAX(T$7,$J21),Calendar!$A$16:$A$141,"&lt;="&amp;MIN(T$7+4,$K21))=0,0,IF($H21="","EXT",SUMIFS(Calendar!$C$16:$C$141,Calendar!$A$16:$A$141,"&gt;="&amp;MAX(T$7,$J21),Calendar!$A$16:$A$141,"&lt;="&amp;MIN(T$7+4,$K21))*$H21/$G21)))</x:f>
        <x:v>0</x:v>
      </x:c>
      <x:c r="U21" s="45" t="n">
        <x:f>IF(OR($J21="",$K21=""),"",IF(SUMIFS(Calendar!$C$16:$C$141,Calendar!$A$16:$A$141,"&gt;="&amp;MAX(U$7,$J21),Calendar!$A$16:$A$141,"&lt;="&amp;MIN(U$7+4,$K21))=0,0,IF($H21="","EXT",SUMIFS(Calendar!$C$16:$C$141,Calendar!$A$16:$A$141,"&gt;="&amp;MAX(U$7,$J21),Calendar!$A$16:$A$141,"&lt;="&amp;MIN(U$7+4,$K21))*$H21/$G21)))</x:f>
        <x:v>0</x:v>
      </x:c>
      <x:c r="V21" s="45" t="n">
        <x:f>IF(OR($J21="",$K21=""),"",IF(SUMIFS(Calendar!$C$16:$C$141,Calendar!$A$16:$A$141,"&gt;="&amp;MAX(V$7,$J21),Calendar!$A$16:$A$141,"&lt;="&amp;MIN(V$7+4,$K21))=0,0,IF($H21="","EXT",SUMIFS(Calendar!$C$16:$C$141,Calendar!$A$16:$A$141,"&gt;="&amp;MAX(V$7,$J21),Calendar!$A$16:$A$141,"&lt;="&amp;MIN(V$7+4,$K21))*$H21/$G21)))</x:f>
        <x:v>0</x:v>
      </x:c>
      <x:c r="W21" s="45" t="n">
        <x:f>IF(OR($J21="",$K21=""),"",IF(SUMIFS(Calendar!$C$16:$C$141,Calendar!$A$16:$A$141,"&gt;="&amp;MAX(W$7,$J21),Calendar!$A$16:$A$141,"&lt;="&amp;MIN(W$7+4,$K21))=0,0,IF($H21="","EXT",SUMIFS(Calendar!$C$16:$C$141,Calendar!$A$16:$A$141,"&gt;="&amp;MAX(W$7,$J21),Calendar!$A$16:$A$141,"&lt;="&amp;MIN(W$7+4,$K21))*$H21/$G21)))</x:f>
        <x:v>0</x:v>
      </x:c>
      <x:c r="X21" s="45" t="n">
        <x:f>IF(OR($J21="",$K21=""),"",IF(SUMIFS(Calendar!$C$16:$C$141,Calendar!$A$16:$A$141,"&gt;="&amp;MAX(X$7,$J21),Calendar!$A$16:$A$141,"&lt;="&amp;MIN(X$7+4,$K21))=0,0,IF($H21="","EXT",SUMIFS(Calendar!$C$16:$C$141,Calendar!$A$16:$A$141,"&gt;="&amp;MAX(X$7,$J21),Calendar!$A$16:$A$141,"&lt;="&amp;MIN(X$7+4,$K21))*$H21/$G21)))</x:f>
        <x:v>0</x:v>
      </x:c>
      <x:c r="Y21" s="45" t="n">
        <x:f>IF(OR($J21="",$K21=""),"",IF(SUMIFS(Calendar!$C$16:$C$141,Calendar!$A$16:$A$141,"&gt;="&amp;MAX(Y$7,$J21),Calendar!$A$16:$A$141,"&lt;="&amp;MIN(Y$7+4,$K21))=0,0,IF($H21="","EXT",SUMIFS(Calendar!$C$16:$C$141,Calendar!$A$16:$A$141,"&gt;="&amp;MAX(Y$7,$J21),Calendar!$A$16:$A$141,"&lt;="&amp;MIN(Y$7+4,$K21))*$H21/$G21)))</x:f>
        <x:v>3</x:v>
      </x:c>
      <x:c r="Z21" s="45" t="n">
        <x:f>IF(OR($J21="",$K21=""),"",IF(SUMIFS(Calendar!$C$16:$C$141,Calendar!$A$16:$A$141,"&gt;="&amp;MAX(Z$7,$J21),Calendar!$A$16:$A$141,"&lt;="&amp;MIN(Z$7+4,$K21))=0,0,IF($H21="","EXT",SUMIFS(Calendar!$C$16:$C$141,Calendar!$A$16:$A$141,"&gt;="&amp;MAX(Z$7,$J21),Calendar!$A$16:$A$141,"&lt;="&amp;MIN(Z$7+4,$K21))*$H21/$G21)))</x:f>
        <x:v>0</x:v>
      </x:c>
      <x:c r="AA21" s="45" t="n">
        <x:f>IF(OR($J21="",$K21=""),"",IF(SUMIFS(Calendar!$C$16:$C$141,Calendar!$A$16:$A$141,"&gt;="&amp;MAX(AA$7,$J21),Calendar!$A$16:$A$141,"&lt;="&amp;MIN(AA$7+4,$K21))=0,0,IF($H21="","EXT",SUMIFS(Calendar!$C$16:$C$141,Calendar!$A$16:$A$141,"&gt;="&amp;MAX(AA$7,$J21),Calendar!$A$16:$A$141,"&lt;="&amp;MIN(AA$7+4,$K21))*$H21/$G21)))</x:f>
        <x:v>0</x:v>
      </x:c>
      <x:c r="AB21" s="45" t="n">
        <x:f>IF(OR($J21="",$K21=""),"",IF(SUMIFS(Calendar!$C$16:$C$141,Calendar!$A$16:$A$141,"&gt;="&amp;MAX(AB$7,$J21),Calendar!$A$16:$A$141,"&lt;="&amp;MIN(AB$7+4,$K21))=0,0,IF($H21="","EXT",SUMIFS(Calendar!$C$16:$C$141,Calendar!$A$16:$A$141,"&gt;="&amp;MAX(AB$7,$J21),Calendar!$A$16:$A$141,"&lt;="&amp;MIN(AB$7+4,$K21))*$H21/$G21)))</x:f>
        <x:v>0</x:v>
      </x:c>
      <x:c r="AC21" s="45" t="n">
        <x:f>IF(OR($J21="",$K21=""),"",IF(SUMIFS(Calendar!$C$16:$C$141,Calendar!$A$16:$A$141,"&gt;="&amp;MAX(AC$7,$J21),Calendar!$A$16:$A$141,"&lt;="&amp;MIN(AC$7+4,$K21))=0,0,IF($H21="","EXT",SUMIFS(Calendar!$C$16:$C$141,Calendar!$A$16:$A$141,"&gt;="&amp;MAX(AC$7,$J21),Calendar!$A$16:$A$141,"&lt;="&amp;MIN(AC$7+4,$K21))*$H21/$G21)))</x:f>
        <x:v>0</x:v>
      </x:c>
      <x:c r="AD21" s="45" t="n">
        <x:f>IF(OR($J21="",$K21=""),"",IF(SUMIFS(Calendar!$C$16:$C$141,Calendar!$A$16:$A$141,"&gt;="&amp;MAX(AD$7,$J21),Calendar!$A$16:$A$141,"&lt;="&amp;MIN(AD$7+4,$K21))=0,0,IF($H21="","EXT",SUMIFS(Calendar!$C$16:$C$141,Calendar!$A$16:$A$141,"&gt;="&amp;MAX(AD$7,$J21),Calendar!$A$16:$A$141,"&lt;="&amp;MIN(AD$7+4,$K21))*$H21/$G21)))</x:f>
        <x:v>0</x:v>
      </x:c>
      <x:c r="AE21" s="45" t="n">
        <x:f>IF(OR($J21="",$K21=""),"",IF(SUMIFS(Calendar!$C$16:$C$141,Calendar!$A$16:$A$141,"&gt;="&amp;MAX(AE$7,$J21),Calendar!$A$16:$A$141,"&lt;="&amp;MIN(AE$7+4,$K21))=0,0,IF($H21="","EXT",SUMIFS(Calendar!$C$16:$C$141,Calendar!$A$16:$A$141,"&gt;="&amp;MAX(AE$7,$J21),Calendar!$A$16:$A$141,"&lt;="&amp;MIN(AE$7+4,$K21))*$H21/$G21)))</x:f>
        <x:v>0</x:v>
      </x:c>
      <x:c r="AF21" s="8" t="n">
        <x:f>IF(OR(M21&lt;&gt;"Scheduled",INDEX('Team and Gates'!$C$7:$C$13,MATCH($D21,'Team and Gates'!$A$7:$A$13,0))=""),"CHECK",SUM(N21:AE21)*INDEX('Team and Gates'!$C$7:$C$13,MATCH($D21,'Team and Gates'!$A$7:$A$13,0)))</x:f>
        <x:v>1080</x:v>
      </x:c>
      <x:c r="AG21" s="46" t="str">
        <x:v>SIT evidence, defect retests and UAT-readiness artifacts are recorded; formal AM UAT is after the holiday.</x:v>
      </x:c>
      <x:c r="AH21" s="46" t="str">
        <x:v>Protect extended SIT, tuning and post-holiday UAT time. If quality gates slip, reduce scope or replan; do not assume more AI coding fixes quality.</x:v>
      </x:c>
    </x:row>
    <x:row r="22" ht="45" customHeight="1">
      <x:c r="A22" s="2" t="str">
        <x:v>B13</x:v>
      </x:c>
      <x:c r="B22" s="2" t="str">
        <x:v>API / domain</x:v>
      </x:c>
      <x:c r="C22" s="46" t="str">
        <x:v>SIT retests and UAT-environment configuration</x:v>
      </x:c>
      <x:c r="D22" s="28" t="str">
        <x:v>Dev 1</x:v>
      </x:c>
      <x:c r="E22" s="46" t="str">
        <x:v>B12</x:v>
      </x:c>
      <x:c r="F22" s="50" t="n">
        <x:v>61</x:v>
      </x:c>
      <x:c r="G22" s="50" t="n">
        <x:v>5</x:v>
      </x:c>
      <x:c r="H22" s="51" t="n">
        <x:v>3</x:v>
      </x:c>
      <x:c r="I22" s="2" t="n">
        <x:f>IF(OR(F22="",G22=""),"",F22+G22-1)</x:f>
        <x:v>65</x:v>
      </x:c>
      <x:c r="J22" s="5" t="n">
        <x:f>IF(OR(F22="",F22&lt;1,F22&gt;Calendar!$B$9),"",INDEX(Calendar!$A$16:$A$141,MATCH(F22,Calendar!$D$16:$D$141,0)))</x:f>
        <x:v>46412</x:v>
      </x:c>
      <x:c r="K22" s="5" t="n">
        <x:f>IF(OR(I22="",I22&lt;1,I22&gt;Calendar!$B$9),"",INDEX(Calendar!$A$16:$A$141,MATCH(I22,Calendar!$D$16:$D$141,0)))</x:f>
        <x:v>46416</x:v>
      </x:c>
      <x:c r="L22" s="53" t="n">
        <x:v>0</x:v>
      </x:c>
      <x:c r="M22" s="2" t="str">
        <x:f>IF(OR(F22="",G22="",H22=""),"Missing input",IF(OR(F22&lt;1,G22&lt;1,I22&gt;Calendar!$B$9),"Outside calendar",IF(F22&lt;MAX(INDEX($I$8:$I$157,MATCH("B12",$A$8:$A$157,0))+1),"Dependency conflict","Scheduled")))</x:f>
        <x:v>Scheduled</x:v>
      </x:c>
      <x:c r="N22" s="45" t="n">
        <x:f>IF(OR($J22="",$K22=""),"",IF(SUMIFS(Calendar!$C$16:$C$141,Calendar!$A$16:$A$141,"&gt;="&amp;MAX(N$7,$J22),Calendar!$A$16:$A$141,"&lt;="&amp;MIN(N$7+4,$K22))=0,0,IF($H22="","EXT",SUMIFS(Calendar!$C$16:$C$141,Calendar!$A$16:$A$141,"&gt;="&amp;MAX(N$7,$J22),Calendar!$A$16:$A$141,"&lt;="&amp;MIN(N$7+4,$K22))*$H22/$G22)))</x:f>
        <x:v>0</x:v>
      </x:c>
      <x:c r="O22" s="45" t="n">
        <x:f>IF(OR($J22="",$K22=""),"",IF(SUMIFS(Calendar!$C$16:$C$141,Calendar!$A$16:$A$141,"&gt;="&amp;MAX(O$7,$J22),Calendar!$A$16:$A$141,"&lt;="&amp;MIN(O$7+4,$K22))=0,0,IF($H22="","EXT",SUMIFS(Calendar!$C$16:$C$141,Calendar!$A$16:$A$141,"&gt;="&amp;MAX(O$7,$J22),Calendar!$A$16:$A$141,"&lt;="&amp;MIN(O$7+4,$K22))*$H22/$G22)))</x:f>
        <x:v>0</x:v>
      </x:c>
      <x:c r="P22" s="45" t="n">
        <x:f>IF(OR($J22="",$K22=""),"",IF(SUMIFS(Calendar!$C$16:$C$141,Calendar!$A$16:$A$141,"&gt;="&amp;MAX(P$7,$J22),Calendar!$A$16:$A$141,"&lt;="&amp;MIN(P$7+4,$K22))=0,0,IF($H22="","EXT",SUMIFS(Calendar!$C$16:$C$141,Calendar!$A$16:$A$141,"&gt;="&amp;MAX(P$7,$J22),Calendar!$A$16:$A$141,"&lt;="&amp;MIN(P$7+4,$K22))*$H22/$G22)))</x:f>
        <x:v>0</x:v>
      </x:c>
      <x:c r="Q22" s="45" t="n">
        <x:f>IF(OR($J22="",$K22=""),"",IF(SUMIFS(Calendar!$C$16:$C$141,Calendar!$A$16:$A$141,"&gt;="&amp;MAX(Q$7,$J22),Calendar!$A$16:$A$141,"&lt;="&amp;MIN(Q$7+4,$K22))=0,0,IF($H22="","EXT",SUMIFS(Calendar!$C$16:$C$141,Calendar!$A$16:$A$141,"&gt;="&amp;MAX(Q$7,$J22),Calendar!$A$16:$A$141,"&lt;="&amp;MIN(Q$7+4,$K22))*$H22/$G22)))</x:f>
        <x:v>0</x:v>
      </x:c>
      <x:c r="R22" s="45" t="n">
        <x:f>IF(OR($J22="",$K22=""),"",IF(SUMIFS(Calendar!$C$16:$C$141,Calendar!$A$16:$A$141,"&gt;="&amp;MAX(R$7,$J22),Calendar!$A$16:$A$141,"&lt;="&amp;MIN(R$7+4,$K22))=0,0,IF($H22="","EXT",SUMIFS(Calendar!$C$16:$C$141,Calendar!$A$16:$A$141,"&gt;="&amp;MAX(R$7,$J22),Calendar!$A$16:$A$141,"&lt;="&amp;MIN(R$7+4,$K22))*$H22/$G22)))</x:f>
        <x:v>0</x:v>
      </x:c>
      <x:c r="S22" s="45" t="n">
        <x:f>IF(OR($J22="",$K22=""),"",IF(SUMIFS(Calendar!$C$16:$C$141,Calendar!$A$16:$A$141,"&gt;="&amp;MAX(S$7,$J22),Calendar!$A$16:$A$141,"&lt;="&amp;MIN(S$7+4,$K22))=0,0,IF($H22="","EXT",SUMIFS(Calendar!$C$16:$C$141,Calendar!$A$16:$A$141,"&gt;="&amp;MAX(S$7,$J22),Calendar!$A$16:$A$141,"&lt;="&amp;MIN(S$7+4,$K22))*$H22/$G22)))</x:f>
        <x:v>0</x:v>
      </x:c>
      <x:c r="T22" s="45" t="n">
        <x:f>IF(OR($J22="",$K22=""),"",IF(SUMIFS(Calendar!$C$16:$C$141,Calendar!$A$16:$A$141,"&gt;="&amp;MAX(T$7,$J22),Calendar!$A$16:$A$141,"&lt;="&amp;MIN(T$7+4,$K22))=0,0,IF($H22="","EXT",SUMIFS(Calendar!$C$16:$C$141,Calendar!$A$16:$A$141,"&gt;="&amp;MAX(T$7,$J22),Calendar!$A$16:$A$141,"&lt;="&amp;MIN(T$7+4,$K22))*$H22/$G22)))</x:f>
        <x:v>0</x:v>
      </x:c>
      <x:c r="U22" s="45" t="n">
        <x:f>IF(OR($J22="",$K22=""),"",IF(SUMIFS(Calendar!$C$16:$C$141,Calendar!$A$16:$A$141,"&gt;="&amp;MAX(U$7,$J22),Calendar!$A$16:$A$141,"&lt;="&amp;MIN(U$7+4,$K22))=0,0,IF($H22="","EXT",SUMIFS(Calendar!$C$16:$C$141,Calendar!$A$16:$A$141,"&gt;="&amp;MAX(U$7,$J22),Calendar!$A$16:$A$141,"&lt;="&amp;MIN(U$7+4,$K22))*$H22/$G22)))</x:f>
        <x:v>0</x:v>
      </x:c>
      <x:c r="V22" s="45" t="n">
        <x:f>IF(OR($J22="",$K22=""),"",IF(SUMIFS(Calendar!$C$16:$C$141,Calendar!$A$16:$A$141,"&gt;="&amp;MAX(V$7,$J22),Calendar!$A$16:$A$141,"&lt;="&amp;MIN(V$7+4,$K22))=0,0,IF($H22="","EXT",SUMIFS(Calendar!$C$16:$C$141,Calendar!$A$16:$A$141,"&gt;="&amp;MAX(V$7,$J22),Calendar!$A$16:$A$141,"&lt;="&amp;MIN(V$7+4,$K22))*$H22/$G22)))</x:f>
        <x:v>0</x:v>
      </x:c>
      <x:c r="W22" s="45" t="n">
        <x:f>IF(OR($J22="",$K22=""),"",IF(SUMIFS(Calendar!$C$16:$C$141,Calendar!$A$16:$A$141,"&gt;="&amp;MAX(W$7,$J22),Calendar!$A$16:$A$141,"&lt;="&amp;MIN(W$7+4,$K22))=0,0,IF($H22="","EXT",SUMIFS(Calendar!$C$16:$C$141,Calendar!$A$16:$A$141,"&gt;="&amp;MAX(W$7,$J22),Calendar!$A$16:$A$141,"&lt;="&amp;MIN(W$7+4,$K22))*$H22/$G22)))</x:f>
        <x:v>0</x:v>
      </x:c>
      <x:c r="X22" s="45" t="n">
        <x:f>IF(OR($J22="",$K22=""),"",IF(SUMIFS(Calendar!$C$16:$C$141,Calendar!$A$16:$A$141,"&gt;="&amp;MAX(X$7,$J22),Calendar!$A$16:$A$141,"&lt;="&amp;MIN(X$7+4,$K22))=0,0,IF($H22="","EXT",SUMIFS(Calendar!$C$16:$C$141,Calendar!$A$16:$A$141,"&gt;="&amp;MAX(X$7,$J22),Calendar!$A$16:$A$141,"&lt;="&amp;MIN(X$7+4,$K22))*$H22/$G22)))</x:f>
        <x:v>0</x:v>
      </x:c>
      <x:c r="Y22" s="45" t="n">
        <x:f>IF(OR($J22="",$K22=""),"",IF(SUMIFS(Calendar!$C$16:$C$141,Calendar!$A$16:$A$141,"&gt;="&amp;MAX(Y$7,$J22),Calendar!$A$16:$A$141,"&lt;="&amp;MIN(Y$7+4,$K22))=0,0,IF($H22="","EXT",SUMIFS(Calendar!$C$16:$C$141,Calendar!$A$16:$A$141,"&gt;="&amp;MAX(Y$7,$J22),Calendar!$A$16:$A$141,"&lt;="&amp;MIN(Y$7+4,$K22))*$H22/$G22)))</x:f>
        <x:v>0</x:v>
      </x:c>
      <x:c r="Z22" s="45" t="n">
        <x:f>IF(OR($J22="",$K22=""),"",IF(SUMIFS(Calendar!$C$16:$C$141,Calendar!$A$16:$A$141,"&gt;="&amp;MAX(Z$7,$J22),Calendar!$A$16:$A$141,"&lt;="&amp;MIN(Z$7+4,$K22))=0,0,IF($H22="","EXT",SUMIFS(Calendar!$C$16:$C$141,Calendar!$A$16:$A$141,"&gt;="&amp;MAX(Z$7,$J22),Calendar!$A$16:$A$141,"&lt;="&amp;MIN(Z$7+4,$K22))*$H22/$G22)))</x:f>
        <x:v>3</x:v>
      </x:c>
      <x:c r="AA22" s="45" t="n">
        <x:f>IF(OR($J22="",$K22=""),"",IF(SUMIFS(Calendar!$C$16:$C$141,Calendar!$A$16:$A$141,"&gt;="&amp;MAX(AA$7,$J22),Calendar!$A$16:$A$141,"&lt;="&amp;MIN(AA$7+4,$K22))=0,0,IF($H22="","EXT",SUMIFS(Calendar!$C$16:$C$141,Calendar!$A$16:$A$141,"&gt;="&amp;MAX(AA$7,$J22),Calendar!$A$16:$A$141,"&lt;="&amp;MIN(AA$7+4,$K22))*$H22/$G22)))</x:f>
        <x:v>0</x:v>
      </x:c>
      <x:c r="AB22" s="45" t="n">
        <x:f>IF(OR($J22="",$K22=""),"",IF(SUMIFS(Calendar!$C$16:$C$141,Calendar!$A$16:$A$141,"&gt;="&amp;MAX(AB$7,$J22),Calendar!$A$16:$A$141,"&lt;="&amp;MIN(AB$7+4,$K22))=0,0,IF($H22="","EXT",SUMIFS(Calendar!$C$16:$C$141,Calendar!$A$16:$A$141,"&gt;="&amp;MAX(AB$7,$J22),Calendar!$A$16:$A$141,"&lt;="&amp;MIN(AB$7+4,$K22))*$H22/$G22)))</x:f>
        <x:v>0</x:v>
      </x:c>
      <x:c r="AC22" s="45" t="n">
        <x:f>IF(OR($J22="",$K22=""),"",IF(SUMIFS(Calendar!$C$16:$C$141,Calendar!$A$16:$A$141,"&gt;="&amp;MAX(AC$7,$J22),Calendar!$A$16:$A$141,"&lt;="&amp;MIN(AC$7+4,$K22))=0,0,IF($H22="","EXT",SUMIFS(Calendar!$C$16:$C$141,Calendar!$A$16:$A$141,"&gt;="&amp;MAX(AC$7,$J22),Calendar!$A$16:$A$141,"&lt;="&amp;MIN(AC$7+4,$K22))*$H22/$G22)))</x:f>
        <x:v>0</x:v>
      </x:c>
      <x:c r="AD22" s="45" t="n">
        <x:f>IF(OR($J22="",$K22=""),"",IF(SUMIFS(Calendar!$C$16:$C$141,Calendar!$A$16:$A$141,"&gt;="&amp;MAX(AD$7,$J22),Calendar!$A$16:$A$141,"&lt;="&amp;MIN(AD$7+4,$K22))=0,0,IF($H22="","EXT",SUMIFS(Calendar!$C$16:$C$141,Calendar!$A$16:$A$141,"&gt;="&amp;MAX(AD$7,$J22),Calendar!$A$16:$A$141,"&lt;="&amp;MIN(AD$7+4,$K22))*$H22/$G22)))</x:f>
        <x:v>0</x:v>
      </x:c>
      <x:c r="AE22" s="45" t="n">
        <x:f>IF(OR($J22="",$K22=""),"",IF(SUMIFS(Calendar!$C$16:$C$141,Calendar!$A$16:$A$141,"&gt;="&amp;MAX(AE$7,$J22),Calendar!$A$16:$A$141,"&lt;="&amp;MIN(AE$7+4,$K22))=0,0,IF($H22="","EXT",SUMIFS(Calendar!$C$16:$C$141,Calendar!$A$16:$A$141,"&gt;="&amp;MAX(AE$7,$J22),Calendar!$A$16:$A$141,"&lt;="&amp;MIN(AE$7+4,$K22))*$H22/$G22)))</x:f>
        <x:v>0</x:v>
      </x:c>
      <x:c r="AF22" s="8" t="n">
        <x:f>IF(OR(M22&lt;&gt;"Scheduled",INDEX('Team and Gates'!$C$7:$C$13,MATCH($D22,'Team and Gates'!$A$7:$A$13,0))=""),"CHECK",SUM(N22:AE22)*INDEX('Team and Gates'!$C$7:$C$13,MATCH($D22,'Team and Gates'!$A$7:$A$13,0)))</x:f>
        <x:v>1080</x:v>
      </x:c>
      <x:c r="AG22" s="46" t="str">
        <x:v>SIT evidence, defect retests and UAT-readiness artifacts are recorded; formal AM UAT is after the holiday.</x:v>
      </x:c>
      <x:c r="AH22" s="46" t="str">
        <x:v>Protect extended SIT, tuning and post-holiday UAT time. If quality gates slip, reduce scope or replan; do not assume more AI coding fixes quality.</x:v>
      </x:c>
    </x:row>
    <x:row r="23" ht="45" customHeight="1">
      <x:c r="A23" s="39" t="str">
        <x:v>B14</x:v>
      </x:c>
      <x:c r="B23" s="39" t="str">
        <x:v>API / domain</x:v>
      </x:c>
      <x:c r="C23" s="47" t="str">
        <x:v>UAT deployment and API/session smoke tests</x:v>
      </x:c>
      <x:c r="D23" s="28" t="str">
        <x:v>Dev 1</x:v>
      </x:c>
      <x:c r="E23" s="47" t="str">
        <x:v>B13</x:v>
      </x:c>
      <x:c r="F23" s="50" t="n">
        <x:v>66</x:v>
      </x:c>
      <x:c r="G23" s="50" t="n">
        <x:v>2</x:v>
      </x:c>
      <x:c r="H23" s="51" t="n">
        <x:v>1.5</x:v>
      </x:c>
      <x:c r="I23" s="39" t="n">
        <x:f>IF(OR(F23="",G23=""),"",F23+G23-1)</x:f>
        <x:v>67</x:v>
      </x:c>
      <x:c r="J23" s="41" t="n">
        <x:f>IF(OR(F23="",F23&lt;1,F23&gt;Calendar!$B$9),"",INDEX(Calendar!$A$16:$A$141,MATCH(F23,Calendar!$D$16:$D$141,0)))</x:f>
        <x:v>46419</x:v>
      </x:c>
      <x:c r="K23" s="41" t="n">
        <x:f>IF(OR(I23="",I23&lt;1,I23&gt;Calendar!$B$9),"",INDEX(Calendar!$A$16:$A$141,MATCH(I23,Calendar!$D$16:$D$141,0)))</x:f>
        <x:v>46420</x:v>
      </x:c>
      <x:c r="L23" s="53" t="n">
        <x:v>0</x:v>
      </x:c>
      <x:c r="M23" s="39" t="str">
        <x:f>IF(OR(F23="",G23="",H23=""),"Missing input",IF(OR(F23&lt;1,G23&lt;1,I23&gt;Calendar!$B$9),"Outside calendar",IF(F23&lt;MAX(INDEX($I$8:$I$157,MATCH("B13",$A$8:$A$157,0))+1),"Dependency conflict","Scheduled")))</x:f>
        <x:v>Scheduled</x:v>
      </x:c>
      <x:c r="N23" s="45" t="n">
        <x:f>IF(OR($J23="",$K23=""),"",IF(SUMIFS(Calendar!$C$16:$C$141,Calendar!$A$16:$A$141,"&gt;="&amp;MAX(N$7,$J23),Calendar!$A$16:$A$141,"&lt;="&amp;MIN(N$7+4,$K23))=0,0,IF($H23="","EXT",SUMIFS(Calendar!$C$16:$C$141,Calendar!$A$16:$A$141,"&gt;="&amp;MAX(N$7,$J23),Calendar!$A$16:$A$141,"&lt;="&amp;MIN(N$7+4,$K23))*$H23/$G23)))</x:f>
        <x:v>0</x:v>
      </x:c>
      <x:c r="O23" s="45" t="n">
        <x:f>IF(OR($J23="",$K23=""),"",IF(SUMIFS(Calendar!$C$16:$C$141,Calendar!$A$16:$A$141,"&gt;="&amp;MAX(O$7,$J23),Calendar!$A$16:$A$141,"&lt;="&amp;MIN(O$7+4,$K23))=0,0,IF($H23="","EXT",SUMIFS(Calendar!$C$16:$C$141,Calendar!$A$16:$A$141,"&gt;="&amp;MAX(O$7,$J23),Calendar!$A$16:$A$141,"&lt;="&amp;MIN(O$7+4,$K23))*$H23/$G23)))</x:f>
        <x:v>0</x:v>
      </x:c>
      <x:c r="P23" s="45" t="n">
        <x:f>IF(OR($J23="",$K23=""),"",IF(SUMIFS(Calendar!$C$16:$C$141,Calendar!$A$16:$A$141,"&gt;="&amp;MAX(P$7,$J23),Calendar!$A$16:$A$141,"&lt;="&amp;MIN(P$7+4,$K23))=0,0,IF($H23="","EXT",SUMIFS(Calendar!$C$16:$C$141,Calendar!$A$16:$A$141,"&gt;="&amp;MAX(P$7,$J23),Calendar!$A$16:$A$141,"&lt;="&amp;MIN(P$7+4,$K23))*$H23/$G23)))</x:f>
        <x:v>0</x:v>
      </x:c>
      <x:c r="Q23" s="45" t="n">
        <x:f>IF(OR($J23="",$K23=""),"",IF(SUMIFS(Calendar!$C$16:$C$141,Calendar!$A$16:$A$141,"&gt;="&amp;MAX(Q$7,$J23),Calendar!$A$16:$A$141,"&lt;="&amp;MIN(Q$7+4,$K23))=0,0,IF($H23="","EXT",SUMIFS(Calendar!$C$16:$C$141,Calendar!$A$16:$A$141,"&gt;="&amp;MAX(Q$7,$J23),Calendar!$A$16:$A$141,"&lt;="&amp;MIN(Q$7+4,$K23))*$H23/$G23)))</x:f>
        <x:v>0</x:v>
      </x:c>
      <x:c r="R23" s="45" t="n">
        <x:f>IF(OR($J23="",$K23=""),"",IF(SUMIFS(Calendar!$C$16:$C$141,Calendar!$A$16:$A$141,"&gt;="&amp;MAX(R$7,$J23),Calendar!$A$16:$A$141,"&lt;="&amp;MIN(R$7+4,$K23))=0,0,IF($H23="","EXT",SUMIFS(Calendar!$C$16:$C$141,Calendar!$A$16:$A$141,"&gt;="&amp;MAX(R$7,$J23),Calendar!$A$16:$A$141,"&lt;="&amp;MIN(R$7+4,$K23))*$H23/$G23)))</x:f>
        <x:v>0</x:v>
      </x:c>
      <x:c r="S23" s="45" t="n">
        <x:f>IF(OR($J23="",$K23=""),"",IF(SUMIFS(Calendar!$C$16:$C$141,Calendar!$A$16:$A$141,"&gt;="&amp;MAX(S$7,$J23),Calendar!$A$16:$A$141,"&lt;="&amp;MIN(S$7+4,$K23))=0,0,IF($H23="","EXT",SUMIFS(Calendar!$C$16:$C$141,Calendar!$A$16:$A$141,"&gt;="&amp;MAX(S$7,$J23),Calendar!$A$16:$A$141,"&lt;="&amp;MIN(S$7+4,$K23))*$H23/$G23)))</x:f>
        <x:v>0</x:v>
      </x:c>
      <x:c r="T23" s="45" t="n">
        <x:f>IF(OR($J23="",$K23=""),"",IF(SUMIFS(Calendar!$C$16:$C$141,Calendar!$A$16:$A$141,"&gt;="&amp;MAX(T$7,$J23),Calendar!$A$16:$A$141,"&lt;="&amp;MIN(T$7+4,$K23))=0,0,IF($H23="","EXT",SUMIFS(Calendar!$C$16:$C$141,Calendar!$A$16:$A$141,"&gt;="&amp;MAX(T$7,$J23),Calendar!$A$16:$A$141,"&lt;="&amp;MIN(T$7+4,$K23))*$H23/$G23)))</x:f>
        <x:v>0</x:v>
      </x:c>
      <x:c r="U23" s="45" t="n">
        <x:f>IF(OR($J23="",$K23=""),"",IF(SUMIFS(Calendar!$C$16:$C$141,Calendar!$A$16:$A$141,"&gt;="&amp;MAX(U$7,$J23),Calendar!$A$16:$A$141,"&lt;="&amp;MIN(U$7+4,$K23))=0,0,IF($H23="","EXT",SUMIFS(Calendar!$C$16:$C$141,Calendar!$A$16:$A$141,"&gt;="&amp;MAX(U$7,$J23),Calendar!$A$16:$A$141,"&lt;="&amp;MIN(U$7+4,$K23))*$H23/$G23)))</x:f>
        <x:v>0</x:v>
      </x:c>
      <x:c r="V23" s="45" t="n">
        <x:f>IF(OR($J23="",$K23=""),"",IF(SUMIFS(Calendar!$C$16:$C$141,Calendar!$A$16:$A$141,"&gt;="&amp;MAX(V$7,$J23),Calendar!$A$16:$A$141,"&lt;="&amp;MIN(V$7+4,$K23))=0,0,IF($H23="","EXT",SUMIFS(Calendar!$C$16:$C$141,Calendar!$A$16:$A$141,"&gt;="&amp;MAX(V$7,$J23),Calendar!$A$16:$A$141,"&lt;="&amp;MIN(V$7+4,$K23))*$H23/$G23)))</x:f>
        <x:v>0</x:v>
      </x:c>
      <x:c r="W23" s="45" t="n">
        <x:f>IF(OR($J23="",$K23=""),"",IF(SUMIFS(Calendar!$C$16:$C$141,Calendar!$A$16:$A$141,"&gt;="&amp;MAX(W$7,$J23),Calendar!$A$16:$A$141,"&lt;="&amp;MIN(W$7+4,$K23))=0,0,IF($H23="","EXT",SUMIFS(Calendar!$C$16:$C$141,Calendar!$A$16:$A$141,"&gt;="&amp;MAX(W$7,$J23),Calendar!$A$16:$A$141,"&lt;="&amp;MIN(W$7+4,$K23))*$H23/$G23)))</x:f>
        <x:v>0</x:v>
      </x:c>
      <x:c r="X23" s="45" t="n">
        <x:f>IF(OR($J23="",$K23=""),"",IF(SUMIFS(Calendar!$C$16:$C$141,Calendar!$A$16:$A$141,"&gt;="&amp;MAX(X$7,$J23),Calendar!$A$16:$A$141,"&lt;="&amp;MIN(X$7+4,$K23))=0,0,IF($H23="","EXT",SUMIFS(Calendar!$C$16:$C$141,Calendar!$A$16:$A$141,"&gt;="&amp;MAX(X$7,$J23),Calendar!$A$16:$A$141,"&lt;="&amp;MIN(X$7+4,$K23))*$H23/$G23)))</x:f>
        <x:v>0</x:v>
      </x:c>
      <x:c r="Y23" s="45" t="n">
        <x:f>IF(OR($J23="",$K23=""),"",IF(SUMIFS(Calendar!$C$16:$C$141,Calendar!$A$16:$A$141,"&gt;="&amp;MAX(Y$7,$J23),Calendar!$A$16:$A$141,"&lt;="&amp;MIN(Y$7+4,$K23))=0,0,IF($H23="","EXT",SUMIFS(Calendar!$C$16:$C$141,Calendar!$A$16:$A$141,"&gt;="&amp;MAX(Y$7,$J23),Calendar!$A$16:$A$141,"&lt;="&amp;MIN(Y$7+4,$K23))*$H23/$G23)))</x:f>
        <x:v>0</x:v>
      </x:c>
      <x:c r="Z23" s="45" t="n">
        <x:f>IF(OR($J23="",$K23=""),"",IF(SUMIFS(Calendar!$C$16:$C$141,Calendar!$A$16:$A$141,"&gt;="&amp;MAX(Z$7,$J23),Calendar!$A$16:$A$141,"&lt;="&amp;MIN(Z$7+4,$K23))=0,0,IF($H23="","EXT",SUMIFS(Calendar!$C$16:$C$141,Calendar!$A$16:$A$141,"&gt;="&amp;MAX(Z$7,$J23),Calendar!$A$16:$A$141,"&lt;="&amp;MIN(Z$7+4,$K23))*$H23/$G23)))</x:f>
        <x:v>0</x:v>
      </x:c>
      <x:c r="AA23" s="45" t="n">
        <x:f>IF(OR($J23="",$K23=""),"",IF(SUMIFS(Calendar!$C$16:$C$141,Calendar!$A$16:$A$141,"&gt;="&amp;MAX(AA$7,$J23),Calendar!$A$16:$A$141,"&lt;="&amp;MIN(AA$7+4,$K23))=0,0,IF($H23="","EXT",SUMIFS(Calendar!$C$16:$C$141,Calendar!$A$16:$A$141,"&gt;="&amp;MAX(AA$7,$J23),Calendar!$A$16:$A$141,"&lt;="&amp;MIN(AA$7+4,$K23))*$H23/$G23)))</x:f>
        <x:v>1.5</x:v>
      </x:c>
      <x:c r="AB23" s="45" t="n">
        <x:f>IF(OR($J23="",$K23=""),"",IF(SUMIFS(Calendar!$C$16:$C$141,Calendar!$A$16:$A$141,"&gt;="&amp;MAX(AB$7,$J23),Calendar!$A$16:$A$141,"&lt;="&amp;MIN(AB$7+4,$K23))=0,0,IF($H23="","EXT",SUMIFS(Calendar!$C$16:$C$141,Calendar!$A$16:$A$141,"&gt;="&amp;MAX(AB$7,$J23),Calendar!$A$16:$A$141,"&lt;="&amp;MIN(AB$7+4,$K23))*$H23/$G23)))</x:f>
        <x:v>0</x:v>
      </x:c>
      <x:c r="AC23" s="45" t="n">
        <x:f>IF(OR($J23="",$K23=""),"",IF(SUMIFS(Calendar!$C$16:$C$141,Calendar!$A$16:$A$141,"&gt;="&amp;MAX(AC$7,$J23),Calendar!$A$16:$A$141,"&lt;="&amp;MIN(AC$7+4,$K23))=0,0,IF($H23="","EXT",SUMIFS(Calendar!$C$16:$C$141,Calendar!$A$16:$A$141,"&gt;="&amp;MAX(AC$7,$J23),Calendar!$A$16:$A$141,"&lt;="&amp;MIN(AC$7+4,$K23))*$H23/$G23)))</x:f>
        <x:v>0</x:v>
      </x:c>
      <x:c r="AD23" s="45" t="n">
        <x:f>IF(OR($J23="",$K23=""),"",IF(SUMIFS(Calendar!$C$16:$C$141,Calendar!$A$16:$A$141,"&gt;="&amp;MAX(AD$7,$J23),Calendar!$A$16:$A$141,"&lt;="&amp;MIN(AD$7+4,$K23))=0,0,IF($H23="","EXT",SUMIFS(Calendar!$C$16:$C$141,Calendar!$A$16:$A$141,"&gt;="&amp;MAX(AD$7,$J23),Calendar!$A$16:$A$141,"&lt;="&amp;MIN(AD$7+4,$K23))*$H23/$G23)))</x:f>
        <x:v>0</x:v>
      </x:c>
      <x:c r="AE23" s="45" t="n">
        <x:f>IF(OR($J23="",$K23=""),"",IF(SUMIFS(Calendar!$C$16:$C$141,Calendar!$A$16:$A$141,"&gt;="&amp;MAX(AE$7,$J23),Calendar!$A$16:$A$141,"&lt;="&amp;MIN(AE$7+4,$K23))=0,0,IF($H23="","EXT",SUMIFS(Calendar!$C$16:$C$141,Calendar!$A$16:$A$141,"&gt;="&amp;MAX(AE$7,$J23),Calendar!$A$16:$A$141,"&lt;="&amp;MIN(AE$7+4,$K23))*$H23/$G23)))</x:f>
        <x:v>0</x:v>
      </x:c>
      <x:c r="AF23" s="8" t="n">
        <x:f>IF(OR(M23&lt;&gt;"Scheduled",INDEX('Team and Gates'!$C$7:$C$13,MATCH($D23,'Team and Gates'!$A$7:$A$13,0))=""),"CHECK",SUM(N23:AE23)*INDEX('Team and Gates'!$C$7:$C$13,MATCH($D23,'Team and Gates'!$A$7:$A$13,0)))</x:f>
        <x:v>540</x:v>
      </x:c>
      <x:c r="AG23" s="46" t="str">
        <x:v>Qualified release artifacts, operational checks and named handover evidence are recorded.</x:v>
      </x:c>
      <x:c r="AH23" s="46" t="str"/>
    </x:row>
    <x:row r="24" ht="45" customHeight="1">
      <x:c r="A24" s="2" t="str">
        <x:v>B16</x:v>
      </x:c>
      <x:c r="B24" s="2" t="str">
        <x:v>API / domain</x:v>
      </x:c>
      <x:c r="C24" s="46" t="str">
        <x:v>Formal AM UAT support and bounded API defect fixes</x:v>
      </x:c>
      <x:c r="D24" s="28" t="str">
        <x:v>Dev 1</x:v>
      </x:c>
      <x:c r="E24" s="46" t="str">
        <x:v>B14</x:v>
      </x:c>
      <x:c r="F24" s="50" t="n">
        <x:v>68</x:v>
      </x:c>
      <x:c r="G24" s="50" t="n">
        <x:v>5</x:v>
      </x:c>
      <x:c r="H24" s="51" t="n">
        <x:v>4</x:v>
      </x:c>
      <x:c r="I24" s="2" t="n">
        <x:f>IF(OR(F24="",G24=""),"",F24+G24-1)</x:f>
        <x:v>72</x:v>
      </x:c>
      <x:c r="J24" s="5" t="n">
        <x:f>IF(OR(F24="",F24&lt;1,F24&gt;Calendar!$B$9),"",INDEX(Calendar!$A$16:$A$141,MATCH(F24,Calendar!$D$16:$D$141,0)))</x:f>
        <x:v>46433</x:v>
      </x:c>
      <x:c r="K24" s="5" t="n">
        <x:f>IF(OR(I24="",I24&lt;1,I24&gt;Calendar!$B$9),"",INDEX(Calendar!$A$16:$A$141,MATCH(I24,Calendar!$D$16:$D$141,0)))</x:f>
        <x:v>46437</x:v>
      </x:c>
      <x:c r="L24" s="53" t="n">
        <x:v>0</x:v>
      </x:c>
      <x:c r="M24" s="2" t="str">
        <x:f>IF(OR(F24="",G24="",H24=""),"Missing input",IF(OR(F24&lt;1,G24&lt;1,I24&gt;Calendar!$B$9),"Outside calendar",IF(F24&lt;MAX(INDEX($I$8:$I$157,MATCH("B14",$A$8:$A$157,0))+1),"Dependency conflict","Scheduled")))</x:f>
        <x:v>Scheduled</x:v>
      </x:c>
      <x:c r="N24" s="45" t="n">
        <x:f>IF(OR($J24="",$K24=""),"",IF(SUMIFS(Calendar!$C$16:$C$141,Calendar!$A$16:$A$141,"&gt;="&amp;MAX(N$7,$J24),Calendar!$A$16:$A$141,"&lt;="&amp;MIN(N$7+4,$K24))=0,0,IF($H24="","EXT",SUMIFS(Calendar!$C$16:$C$141,Calendar!$A$16:$A$141,"&gt;="&amp;MAX(N$7,$J24),Calendar!$A$16:$A$141,"&lt;="&amp;MIN(N$7+4,$K24))*$H24/$G24)))</x:f>
        <x:v>0</x:v>
      </x:c>
      <x:c r="O24" s="45" t="n">
        <x:f>IF(OR($J24="",$K24=""),"",IF(SUMIFS(Calendar!$C$16:$C$141,Calendar!$A$16:$A$141,"&gt;="&amp;MAX(O$7,$J24),Calendar!$A$16:$A$141,"&lt;="&amp;MIN(O$7+4,$K24))=0,0,IF($H24="","EXT",SUMIFS(Calendar!$C$16:$C$141,Calendar!$A$16:$A$141,"&gt;="&amp;MAX(O$7,$J24),Calendar!$A$16:$A$141,"&lt;="&amp;MIN(O$7+4,$K24))*$H24/$G24)))</x:f>
        <x:v>0</x:v>
      </x:c>
      <x:c r="P24" s="45" t="n">
        <x:f>IF(OR($J24="",$K24=""),"",IF(SUMIFS(Calendar!$C$16:$C$141,Calendar!$A$16:$A$141,"&gt;="&amp;MAX(P$7,$J24),Calendar!$A$16:$A$141,"&lt;="&amp;MIN(P$7+4,$K24))=0,0,IF($H24="","EXT",SUMIFS(Calendar!$C$16:$C$141,Calendar!$A$16:$A$141,"&gt;="&amp;MAX(P$7,$J24),Calendar!$A$16:$A$141,"&lt;="&amp;MIN(P$7+4,$K24))*$H24/$G24)))</x:f>
        <x:v>0</x:v>
      </x:c>
      <x:c r="Q24" s="45" t="n">
        <x:f>IF(OR($J24="",$K24=""),"",IF(SUMIFS(Calendar!$C$16:$C$141,Calendar!$A$16:$A$141,"&gt;="&amp;MAX(Q$7,$J24),Calendar!$A$16:$A$141,"&lt;="&amp;MIN(Q$7+4,$K24))=0,0,IF($H24="","EXT",SUMIFS(Calendar!$C$16:$C$141,Calendar!$A$16:$A$141,"&gt;="&amp;MAX(Q$7,$J24),Calendar!$A$16:$A$141,"&lt;="&amp;MIN(Q$7+4,$K24))*$H24/$G24)))</x:f>
        <x:v>0</x:v>
      </x:c>
      <x:c r="R24" s="45" t="n">
        <x:f>IF(OR($J24="",$K24=""),"",IF(SUMIFS(Calendar!$C$16:$C$141,Calendar!$A$16:$A$141,"&gt;="&amp;MAX(R$7,$J24),Calendar!$A$16:$A$141,"&lt;="&amp;MIN(R$7+4,$K24))=0,0,IF($H24="","EXT",SUMIFS(Calendar!$C$16:$C$141,Calendar!$A$16:$A$141,"&gt;="&amp;MAX(R$7,$J24),Calendar!$A$16:$A$141,"&lt;="&amp;MIN(R$7+4,$K24))*$H24/$G24)))</x:f>
        <x:v>0</x:v>
      </x:c>
      <x:c r="S24" s="45" t="n">
        <x:f>IF(OR($J24="",$K24=""),"",IF(SUMIFS(Calendar!$C$16:$C$141,Calendar!$A$16:$A$141,"&gt;="&amp;MAX(S$7,$J24),Calendar!$A$16:$A$141,"&lt;="&amp;MIN(S$7+4,$K24))=0,0,IF($H24="","EXT",SUMIFS(Calendar!$C$16:$C$141,Calendar!$A$16:$A$141,"&gt;="&amp;MAX(S$7,$J24),Calendar!$A$16:$A$141,"&lt;="&amp;MIN(S$7+4,$K24))*$H24/$G24)))</x:f>
        <x:v>0</x:v>
      </x:c>
      <x:c r="T24" s="45" t="n">
        <x:f>IF(OR($J24="",$K24=""),"",IF(SUMIFS(Calendar!$C$16:$C$141,Calendar!$A$16:$A$141,"&gt;="&amp;MAX(T$7,$J24),Calendar!$A$16:$A$141,"&lt;="&amp;MIN(T$7+4,$K24))=0,0,IF($H24="","EXT",SUMIFS(Calendar!$C$16:$C$141,Calendar!$A$16:$A$141,"&gt;="&amp;MAX(T$7,$J24),Calendar!$A$16:$A$141,"&lt;="&amp;MIN(T$7+4,$K24))*$H24/$G24)))</x:f>
        <x:v>0</x:v>
      </x:c>
      <x:c r="U24" s="45" t="n">
        <x:f>IF(OR($J24="",$K24=""),"",IF(SUMIFS(Calendar!$C$16:$C$141,Calendar!$A$16:$A$141,"&gt;="&amp;MAX(U$7,$J24),Calendar!$A$16:$A$141,"&lt;="&amp;MIN(U$7+4,$K24))=0,0,IF($H24="","EXT",SUMIFS(Calendar!$C$16:$C$141,Calendar!$A$16:$A$141,"&gt;="&amp;MAX(U$7,$J24),Calendar!$A$16:$A$141,"&lt;="&amp;MIN(U$7+4,$K24))*$H24/$G24)))</x:f>
        <x:v>0</x:v>
      </x:c>
      <x:c r="V24" s="45" t="n">
        <x:f>IF(OR($J24="",$K24=""),"",IF(SUMIFS(Calendar!$C$16:$C$141,Calendar!$A$16:$A$141,"&gt;="&amp;MAX(V$7,$J24),Calendar!$A$16:$A$141,"&lt;="&amp;MIN(V$7+4,$K24))=0,0,IF($H24="","EXT",SUMIFS(Calendar!$C$16:$C$141,Calendar!$A$16:$A$141,"&gt;="&amp;MAX(V$7,$J24),Calendar!$A$16:$A$141,"&lt;="&amp;MIN(V$7+4,$K24))*$H24/$G24)))</x:f>
        <x:v>0</x:v>
      </x:c>
      <x:c r="W24" s="45" t="n">
        <x:f>IF(OR($J24="",$K24=""),"",IF(SUMIFS(Calendar!$C$16:$C$141,Calendar!$A$16:$A$141,"&gt;="&amp;MAX(W$7,$J24),Calendar!$A$16:$A$141,"&lt;="&amp;MIN(W$7+4,$K24))=0,0,IF($H24="","EXT",SUMIFS(Calendar!$C$16:$C$141,Calendar!$A$16:$A$141,"&gt;="&amp;MAX(W$7,$J24),Calendar!$A$16:$A$141,"&lt;="&amp;MIN(W$7+4,$K24))*$H24/$G24)))</x:f>
        <x:v>0</x:v>
      </x:c>
      <x:c r="X24" s="45" t="n">
        <x:f>IF(OR($J24="",$K24=""),"",IF(SUMIFS(Calendar!$C$16:$C$141,Calendar!$A$16:$A$141,"&gt;="&amp;MAX(X$7,$J24),Calendar!$A$16:$A$141,"&lt;="&amp;MIN(X$7+4,$K24))=0,0,IF($H24="","EXT",SUMIFS(Calendar!$C$16:$C$141,Calendar!$A$16:$A$141,"&gt;="&amp;MAX(X$7,$J24),Calendar!$A$16:$A$141,"&lt;="&amp;MIN(X$7+4,$K24))*$H24/$G24)))</x:f>
        <x:v>0</x:v>
      </x:c>
      <x:c r="Y24" s="45" t="n">
        <x:f>IF(OR($J24="",$K24=""),"",IF(SUMIFS(Calendar!$C$16:$C$141,Calendar!$A$16:$A$141,"&gt;="&amp;MAX(Y$7,$J24),Calendar!$A$16:$A$141,"&lt;="&amp;MIN(Y$7+4,$K24))=0,0,IF($H24="","EXT",SUMIFS(Calendar!$C$16:$C$141,Calendar!$A$16:$A$141,"&gt;="&amp;MAX(Y$7,$J24),Calendar!$A$16:$A$141,"&lt;="&amp;MIN(Y$7+4,$K24))*$H24/$G24)))</x:f>
        <x:v>0</x:v>
      </x:c>
      <x:c r="Z24" s="45" t="n">
        <x:f>IF(OR($J24="",$K24=""),"",IF(SUMIFS(Calendar!$C$16:$C$141,Calendar!$A$16:$A$141,"&gt;="&amp;MAX(Z$7,$J24),Calendar!$A$16:$A$141,"&lt;="&amp;MIN(Z$7+4,$K24))=0,0,IF($H24="","EXT",SUMIFS(Calendar!$C$16:$C$141,Calendar!$A$16:$A$141,"&gt;="&amp;MAX(Z$7,$J24),Calendar!$A$16:$A$141,"&lt;="&amp;MIN(Z$7+4,$K24))*$H24/$G24)))</x:f>
        <x:v>0</x:v>
      </x:c>
      <x:c r="AA24" s="45" t="n">
        <x:f>IF(OR($J24="",$K24=""),"",IF(SUMIFS(Calendar!$C$16:$C$141,Calendar!$A$16:$A$141,"&gt;="&amp;MAX(AA$7,$J24),Calendar!$A$16:$A$141,"&lt;="&amp;MIN(AA$7+4,$K24))=0,0,IF($H24="","EXT",SUMIFS(Calendar!$C$16:$C$141,Calendar!$A$16:$A$141,"&gt;="&amp;MAX(AA$7,$J24),Calendar!$A$16:$A$141,"&lt;="&amp;MIN(AA$7+4,$K24))*$H24/$G24)))</x:f>
        <x:v>0</x:v>
      </x:c>
      <x:c r="AB24" s="45" t="n">
        <x:f>IF(OR($J24="",$K24=""),"",IF(SUMIFS(Calendar!$C$16:$C$141,Calendar!$A$16:$A$141,"&gt;="&amp;MAX(AB$7,$J24),Calendar!$A$16:$A$141,"&lt;="&amp;MIN(AB$7+4,$K24))=0,0,IF($H24="","EXT",SUMIFS(Calendar!$C$16:$C$141,Calendar!$A$16:$A$141,"&gt;="&amp;MAX(AB$7,$J24),Calendar!$A$16:$A$141,"&lt;="&amp;MIN(AB$7+4,$K24))*$H24/$G24)))</x:f>
        <x:v>0</x:v>
      </x:c>
      <x:c r="AC24" s="45" t="n">
        <x:f>IF(OR($J24="",$K24=""),"",IF(SUMIFS(Calendar!$C$16:$C$141,Calendar!$A$16:$A$141,"&gt;="&amp;MAX(AC$7,$J24),Calendar!$A$16:$A$141,"&lt;="&amp;MIN(AC$7+4,$K24))=0,0,IF($H24="","EXT",SUMIFS(Calendar!$C$16:$C$141,Calendar!$A$16:$A$141,"&gt;="&amp;MAX(AC$7,$J24),Calendar!$A$16:$A$141,"&lt;="&amp;MIN(AC$7+4,$K24))*$H24/$G24)))</x:f>
        <x:v>4</x:v>
      </x:c>
      <x:c r="AD24" s="45" t="n">
        <x:f>IF(OR($J24="",$K24=""),"",IF(SUMIFS(Calendar!$C$16:$C$141,Calendar!$A$16:$A$141,"&gt;="&amp;MAX(AD$7,$J24),Calendar!$A$16:$A$141,"&lt;="&amp;MIN(AD$7+4,$K24))=0,0,IF($H24="","EXT",SUMIFS(Calendar!$C$16:$C$141,Calendar!$A$16:$A$141,"&gt;="&amp;MAX(AD$7,$J24),Calendar!$A$16:$A$141,"&lt;="&amp;MIN(AD$7+4,$K24))*$H24/$G24)))</x:f>
        <x:v>0</x:v>
      </x:c>
      <x:c r="AE24" s="45" t="n">
        <x:f>IF(OR($J24="",$K24=""),"",IF(SUMIFS(Calendar!$C$16:$C$141,Calendar!$A$16:$A$141,"&gt;="&amp;MAX(AE$7,$J24),Calendar!$A$16:$A$141,"&lt;="&amp;MIN(AE$7+4,$K24))=0,0,IF($H24="","EXT",SUMIFS(Calendar!$C$16:$C$141,Calendar!$A$16:$A$141,"&gt;="&amp;MAX(AE$7,$J24),Calendar!$A$16:$A$141,"&lt;="&amp;MIN(AE$7+4,$K24))*$H24/$G24)))</x:f>
        <x:v>0</x:v>
      </x:c>
      <x:c r="AF24" s="8" t="n">
        <x:f>IF(OR(M24&lt;&gt;"Scheduled",INDEX('Team and Gates'!$C$7:$C$13,MATCH($D24,'Team and Gates'!$A$7:$A$13,0))=""),"CHECK",SUM(N24:AE24)*INDEX('Team and Gates'!$C$7:$C$13,MATCH($D24,'Team and Gates'!$A$7:$A$13,0)))</x:f>
        <x:v>1440</x:v>
      </x:c>
      <x:c r="AG24" s="46" t="str">
        <x:v>Pilot AMs execute first-week UAT scenarios; defects and affected regression/AI retests are recorded for final acceptance on Feb 24.</x:v>
      </x:c>
      <x:c r="AH24" s="46" t="str"/>
    </x:row>
    <x:row r="25" ht="45" customHeight="1">
      <x:c r="A25" s="39" t="str">
        <x:v>B17</x:v>
      </x:c>
      <x:c r="B25" s="39" t="str">
        <x:v>API / domain</x:v>
      </x:c>
      <x:c r="C25" s="47" t="str">
        <x:v>UAT API fixes, final regression and accepted release configuration</x:v>
      </x:c>
      <x:c r="D25" s="28" t="str">
        <x:v>Dev 1</x:v>
      </x:c>
      <x:c r="E25" s="47" t="str">
        <x:v>B16, Q16, U16</x:v>
      </x:c>
      <x:c r="F25" s="50" t="n">
        <x:v>73</x:v>
      </x:c>
      <x:c r="G25" s="50" t="n">
        <x:v>3</x:v>
      </x:c>
      <x:c r="H25" s="51" t="n">
        <x:v>1.8</x:v>
      </x:c>
      <x:c r="I25" s="39" t="n">
        <x:f>IF(OR(F25="",G25=""),"",F25+G25-1)</x:f>
        <x:v>75</x:v>
      </x:c>
      <x:c r="J25" s="41" t="n">
        <x:f>IF(OR(F25="",F25&lt;1,F25&gt;Calendar!$B$9),"",INDEX(Calendar!$A$16:$A$141,MATCH(F25,Calendar!$D$16:$D$141,0)))</x:f>
        <x:v>46440</x:v>
      </x:c>
      <x:c r="K25" s="41" t="n">
        <x:f>IF(OR(I25="",I25&lt;1,I25&gt;Calendar!$B$9),"",INDEX(Calendar!$A$16:$A$141,MATCH(I25,Calendar!$D$16:$D$141,0)))</x:f>
        <x:v>46442</x:v>
      </x:c>
      <x:c r="L25" s="53" t="n">
        <x:v>0</x:v>
      </x:c>
      <x:c r="M25" s="39" t="str">
        <x:f>IF(OR(F25="",G25="",H25=""),"Missing input",IF(OR(F25&lt;1,G25&lt;1,I25&gt;Calendar!$B$9),"Outside calendar",IF(F25&lt;MAX(INDEX($I$8:$I$157,MATCH("B16",$A$8:$A$157,0))+1,INDEX($I$8:$I$157,MATCH("Q16",$A$8:$A$157,0))+1,INDEX($I$8:$I$157,MATCH("U16",$A$8:$A$157,0))+1),"Dependency conflict","Scheduled")))</x:f>
        <x:v>Scheduled</x:v>
      </x:c>
      <x:c r="N25" s="45" t="n">
        <x:f>IF(OR($J25="",$K25=""),"",IF(SUMIFS(Calendar!$C$16:$C$141,Calendar!$A$16:$A$141,"&gt;="&amp;MAX(N$7,$J25),Calendar!$A$16:$A$141,"&lt;="&amp;MIN(N$7+4,$K25))=0,0,IF($H25="","EXT",SUMIFS(Calendar!$C$16:$C$141,Calendar!$A$16:$A$141,"&gt;="&amp;MAX(N$7,$J25),Calendar!$A$16:$A$141,"&lt;="&amp;MIN(N$7+4,$K25))*$H25/$G25)))</x:f>
        <x:v>0</x:v>
      </x:c>
      <x:c r="O25" s="45" t="n">
        <x:f>IF(OR($J25="",$K25=""),"",IF(SUMIFS(Calendar!$C$16:$C$141,Calendar!$A$16:$A$141,"&gt;="&amp;MAX(O$7,$J25),Calendar!$A$16:$A$141,"&lt;="&amp;MIN(O$7+4,$K25))=0,0,IF($H25="","EXT",SUMIFS(Calendar!$C$16:$C$141,Calendar!$A$16:$A$141,"&gt;="&amp;MAX(O$7,$J25),Calendar!$A$16:$A$141,"&lt;="&amp;MIN(O$7+4,$K25))*$H25/$G25)))</x:f>
        <x:v>0</x:v>
      </x:c>
      <x:c r="P25" s="45" t="n">
        <x:f>IF(OR($J25="",$K25=""),"",IF(SUMIFS(Calendar!$C$16:$C$141,Calendar!$A$16:$A$141,"&gt;="&amp;MAX(P$7,$J25),Calendar!$A$16:$A$141,"&lt;="&amp;MIN(P$7+4,$K25))=0,0,IF($H25="","EXT",SUMIFS(Calendar!$C$16:$C$141,Calendar!$A$16:$A$141,"&gt;="&amp;MAX(P$7,$J25),Calendar!$A$16:$A$141,"&lt;="&amp;MIN(P$7+4,$K25))*$H25/$G25)))</x:f>
        <x:v>0</x:v>
      </x:c>
      <x:c r="Q25" s="45" t="n">
        <x:f>IF(OR($J25="",$K25=""),"",IF(SUMIFS(Calendar!$C$16:$C$141,Calendar!$A$16:$A$141,"&gt;="&amp;MAX(Q$7,$J25),Calendar!$A$16:$A$141,"&lt;="&amp;MIN(Q$7+4,$K25))=0,0,IF($H25="","EXT",SUMIFS(Calendar!$C$16:$C$141,Calendar!$A$16:$A$141,"&gt;="&amp;MAX(Q$7,$J25),Calendar!$A$16:$A$141,"&lt;="&amp;MIN(Q$7+4,$K25))*$H25/$G25)))</x:f>
        <x:v>0</x:v>
      </x:c>
      <x:c r="R25" s="45" t="n">
        <x:f>IF(OR($J25="",$K25=""),"",IF(SUMIFS(Calendar!$C$16:$C$141,Calendar!$A$16:$A$141,"&gt;="&amp;MAX(R$7,$J25),Calendar!$A$16:$A$141,"&lt;="&amp;MIN(R$7+4,$K25))=0,0,IF($H25="","EXT",SUMIFS(Calendar!$C$16:$C$141,Calendar!$A$16:$A$141,"&gt;="&amp;MAX(R$7,$J25),Calendar!$A$16:$A$141,"&lt;="&amp;MIN(R$7+4,$K25))*$H25/$G25)))</x:f>
        <x:v>0</x:v>
      </x:c>
      <x:c r="S25" s="45" t="n">
        <x:f>IF(OR($J25="",$K25=""),"",IF(SUMIFS(Calendar!$C$16:$C$141,Calendar!$A$16:$A$141,"&gt;="&amp;MAX(S$7,$J25),Calendar!$A$16:$A$141,"&lt;="&amp;MIN(S$7+4,$K25))=0,0,IF($H25="","EXT",SUMIFS(Calendar!$C$16:$C$141,Calendar!$A$16:$A$141,"&gt;="&amp;MAX(S$7,$J25),Calendar!$A$16:$A$141,"&lt;="&amp;MIN(S$7+4,$K25))*$H25/$G25)))</x:f>
        <x:v>0</x:v>
      </x:c>
      <x:c r="T25" s="45" t="n">
        <x:f>IF(OR($J25="",$K25=""),"",IF(SUMIFS(Calendar!$C$16:$C$141,Calendar!$A$16:$A$141,"&gt;="&amp;MAX(T$7,$J25),Calendar!$A$16:$A$141,"&lt;="&amp;MIN(T$7+4,$K25))=0,0,IF($H25="","EXT",SUMIFS(Calendar!$C$16:$C$141,Calendar!$A$16:$A$141,"&gt;="&amp;MAX(T$7,$J25),Calendar!$A$16:$A$141,"&lt;="&amp;MIN(T$7+4,$K25))*$H25/$G25)))</x:f>
        <x:v>0</x:v>
      </x:c>
      <x:c r="U25" s="45" t="n">
        <x:f>IF(OR($J25="",$K25=""),"",IF(SUMIFS(Calendar!$C$16:$C$141,Calendar!$A$16:$A$141,"&gt;="&amp;MAX(U$7,$J25),Calendar!$A$16:$A$141,"&lt;="&amp;MIN(U$7+4,$K25))=0,0,IF($H25="","EXT",SUMIFS(Calendar!$C$16:$C$141,Calendar!$A$16:$A$141,"&gt;="&amp;MAX(U$7,$J25),Calendar!$A$16:$A$141,"&lt;="&amp;MIN(U$7+4,$K25))*$H25/$G25)))</x:f>
        <x:v>0</x:v>
      </x:c>
      <x:c r="V25" s="45" t="n">
        <x:f>IF(OR($J25="",$K25=""),"",IF(SUMIFS(Calendar!$C$16:$C$141,Calendar!$A$16:$A$141,"&gt;="&amp;MAX(V$7,$J25),Calendar!$A$16:$A$141,"&lt;="&amp;MIN(V$7+4,$K25))=0,0,IF($H25="","EXT",SUMIFS(Calendar!$C$16:$C$141,Calendar!$A$16:$A$141,"&gt;="&amp;MAX(V$7,$J25),Calendar!$A$16:$A$141,"&lt;="&amp;MIN(V$7+4,$K25))*$H25/$G25)))</x:f>
        <x:v>0</x:v>
      </x:c>
      <x:c r="W25" s="45" t="n">
        <x:f>IF(OR($J25="",$K25=""),"",IF(SUMIFS(Calendar!$C$16:$C$141,Calendar!$A$16:$A$141,"&gt;="&amp;MAX(W$7,$J25),Calendar!$A$16:$A$141,"&lt;="&amp;MIN(W$7+4,$K25))=0,0,IF($H25="","EXT",SUMIFS(Calendar!$C$16:$C$141,Calendar!$A$16:$A$141,"&gt;="&amp;MAX(W$7,$J25),Calendar!$A$16:$A$141,"&lt;="&amp;MIN(W$7+4,$K25))*$H25/$G25)))</x:f>
        <x:v>0</x:v>
      </x:c>
      <x:c r="X25" s="45" t="n">
        <x:f>IF(OR($J25="",$K25=""),"",IF(SUMIFS(Calendar!$C$16:$C$141,Calendar!$A$16:$A$141,"&gt;="&amp;MAX(X$7,$J25),Calendar!$A$16:$A$141,"&lt;="&amp;MIN(X$7+4,$K25))=0,0,IF($H25="","EXT",SUMIFS(Calendar!$C$16:$C$141,Calendar!$A$16:$A$141,"&gt;="&amp;MAX(X$7,$J25),Calendar!$A$16:$A$141,"&lt;="&amp;MIN(X$7+4,$K25))*$H25/$G25)))</x:f>
        <x:v>0</x:v>
      </x:c>
      <x:c r="Y25" s="45" t="n">
        <x:f>IF(OR($J25="",$K25=""),"",IF(SUMIFS(Calendar!$C$16:$C$141,Calendar!$A$16:$A$141,"&gt;="&amp;MAX(Y$7,$J25),Calendar!$A$16:$A$141,"&lt;="&amp;MIN(Y$7+4,$K25))=0,0,IF($H25="","EXT",SUMIFS(Calendar!$C$16:$C$141,Calendar!$A$16:$A$141,"&gt;="&amp;MAX(Y$7,$J25),Calendar!$A$16:$A$141,"&lt;="&amp;MIN(Y$7+4,$K25))*$H25/$G25)))</x:f>
        <x:v>0</x:v>
      </x:c>
      <x:c r="Z25" s="45" t="n">
        <x:f>IF(OR($J25="",$K25=""),"",IF(SUMIFS(Calendar!$C$16:$C$141,Calendar!$A$16:$A$141,"&gt;="&amp;MAX(Z$7,$J25),Calendar!$A$16:$A$141,"&lt;="&amp;MIN(Z$7+4,$K25))=0,0,IF($H25="","EXT",SUMIFS(Calendar!$C$16:$C$141,Calendar!$A$16:$A$141,"&gt;="&amp;MAX(Z$7,$J25),Calendar!$A$16:$A$141,"&lt;="&amp;MIN(Z$7+4,$K25))*$H25/$G25)))</x:f>
        <x:v>0</x:v>
      </x:c>
      <x:c r="AA25" s="45" t="n">
        <x:f>IF(OR($J25="",$K25=""),"",IF(SUMIFS(Calendar!$C$16:$C$141,Calendar!$A$16:$A$141,"&gt;="&amp;MAX(AA$7,$J25),Calendar!$A$16:$A$141,"&lt;="&amp;MIN(AA$7+4,$K25))=0,0,IF($H25="","EXT",SUMIFS(Calendar!$C$16:$C$141,Calendar!$A$16:$A$141,"&gt;="&amp;MAX(AA$7,$J25),Calendar!$A$16:$A$141,"&lt;="&amp;MIN(AA$7+4,$K25))*$H25/$G25)))</x:f>
        <x:v>0</x:v>
      </x:c>
      <x:c r="AB25" s="45" t="n">
        <x:f>IF(OR($J25="",$K25=""),"",IF(SUMIFS(Calendar!$C$16:$C$141,Calendar!$A$16:$A$141,"&gt;="&amp;MAX(AB$7,$J25),Calendar!$A$16:$A$141,"&lt;="&amp;MIN(AB$7+4,$K25))=0,0,IF($H25="","EXT",SUMIFS(Calendar!$C$16:$C$141,Calendar!$A$16:$A$141,"&gt;="&amp;MAX(AB$7,$J25),Calendar!$A$16:$A$141,"&lt;="&amp;MIN(AB$7+4,$K25))*$H25/$G25)))</x:f>
        <x:v>0</x:v>
      </x:c>
      <x:c r="AC25" s="45" t="n">
        <x:f>IF(OR($J25="",$K25=""),"",IF(SUMIFS(Calendar!$C$16:$C$141,Calendar!$A$16:$A$141,"&gt;="&amp;MAX(AC$7,$J25),Calendar!$A$16:$A$141,"&lt;="&amp;MIN(AC$7+4,$K25))=0,0,IF($H25="","EXT",SUMIFS(Calendar!$C$16:$C$141,Calendar!$A$16:$A$141,"&gt;="&amp;MAX(AC$7,$J25),Calendar!$A$16:$A$141,"&lt;="&amp;MIN(AC$7+4,$K25))*$H25/$G25)))</x:f>
        <x:v>0</x:v>
      </x:c>
      <x:c r="AD25" s="45" t="n">
        <x:f>IF(OR($J25="",$K25=""),"",IF(SUMIFS(Calendar!$C$16:$C$141,Calendar!$A$16:$A$141,"&gt;="&amp;MAX(AD$7,$J25),Calendar!$A$16:$A$141,"&lt;="&amp;MIN(AD$7+4,$K25))=0,0,IF($H25="","EXT",SUMIFS(Calendar!$C$16:$C$141,Calendar!$A$16:$A$141,"&gt;="&amp;MAX(AD$7,$J25),Calendar!$A$16:$A$141,"&lt;="&amp;MIN(AD$7+4,$K25))*$H25/$G25)))</x:f>
        <x:v>1.8</x:v>
      </x:c>
      <x:c r="AE25" s="45" t="n">
        <x:f>IF(OR($J25="",$K25=""),"",IF(SUMIFS(Calendar!$C$16:$C$141,Calendar!$A$16:$A$141,"&gt;="&amp;MAX(AE$7,$J25),Calendar!$A$16:$A$141,"&lt;="&amp;MIN(AE$7+4,$K25))=0,0,IF($H25="","EXT",SUMIFS(Calendar!$C$16:$C$141,Calendar!$A$16:$A$141,"&gt;="&amp;MAX(AE$7,$J25),Calendar!$A$16:$A$141,"&lt;="&amp;MIN(AE$7+4,$K25))*$H25/$G25)))</x:f>
        <x:v>0</x:v>
      </x:c>
      <x:c r="AF25" s="8" t="n">
        <x:f>IF(OR(M25&lt;&gt;"Scheduled",INDEX('Team and Gates'!$C$7:$C$13,MATCH($D25,'Team and Gates'!$A$7:$A$13,0))=""),"CHECK",SUM(N25:AE25)*INDEX('Team and Gates'!$C$7:$C$13,MATCH($D25,'Team and Gates'!$A$7:$A$13,0)))</x:f>
        <x:v>648</x:v>
      </x:c>
      <x:c r="AG25" s="46" t="str">
        <x:v>Final UAT evidence, controlled defect retests and business-owner approval are recorded by Feb 24.</x:v>
      </x:c>
      <x:c r="AH25" s="46" t="str"/>
    </x:row>
    <x:row r="26" ht="45" customHeight="1">
      <x:c r="A26" s="2" t="str">
        <x:v>B-GATE</x:v>
      </x:c>
      <x:c r="B26" s="2" t="str">
        <x:v>API / domain</x:v>
      </x:c>
      <x:c r="C26" s="46" t="str">
        <x:v>Feb 25 release readiness and Go/No-Go checks</x:v>
      </x:c>
      <x:c r="D26" s="28" t="str">
        <x:v>Dev 1</x:v>
      </x:c>
      <x:c r="E26" s="46" t="str">
        <x:v>B17, BA17, Q17, U17</x:v>
      </x:c>
      <x:c r="F26" s="50" t="n">
        <x:v>76</x:v>
      </x:c>
      <x:c r="G26" s="50" t="n">
        <x:v>1</x:v>
      </x:c>
      <x:c r="H26" s="51" t="n">
        <x:v>0.6</x:v>
      </x:c>
      <x:c r="I26" s="2" t="n">
        <x:f>IF(OR(F26="",G26=""),"",F26+G26-1)</x:f>
        <x:v>76</x:v>
      </x:c>
      <x:c r="J26" s="5" t="n">
        <x:f>IF(OR(F26="",F26&lt;1,F26&gt;Calendar!$B$9),"",INDEX(Calendar!$A$16:$A$141,MATCH(F26,Calendar!$D$16:$D$141,0)))</x:f>
        <x:v>46443</x:v>
      </x:c>
      <x:c r="K26" s="5" t="n">
        <x:f>IF(OR(I26="",I26&lt;1,I26&gt;Calendar!$B$9),"",INDEX(Calendar!$A$16:$A$141,MATCH(I26,Calendar!$D$16:$D$141,0)))</x:f>
        <x:v>46443</x:v>
      </x:c>
      <x:c r="L26" s="53" t="n">
        <x:v>0</x:v>
      </x:c>
      <x:c r="M26" s="2" t="str">
        <x:f>IF(OR(F26="",G26="",H26=""),"Missing input",IF(OR(F26&lt;1,G26&lt;1,I26&gt;Calendar!$B$9),"Outside calendar",IF(F26&lt;MAX(INDEX($I$8:$I$157,MATCH("B17",$A$8:$A$157,0))+1,INDEX($I$8:$I$157,MATCH("BA17",$A$8:$A$157,0))+1,INDEX($I$8:$I$157,MATCH("Q17",$A$8:$A$157,0))+1,INDEX($I$8:$I$157,MATCH("U17",$A$8:$A$157,0))+1),"Dependency conflict","Scheduled")))</x:f>
        <x:v>Scheduled</x:v>
      </x:c>
      <x:c r="N26" s="45" t="n">
        <x:f>IF(OR($J26="",$K26=""),"",IF(SUMIFS(Calendar!$C$16:$C$141,Calendar!$A$16:$A$141,"&gt;="&amp;MAX(N$7,$J26),Calendar!$A$16:$A$141,"&lt;="&amp;MIN(N$7+4,$K26))=0,0,IF($H26="","EXT",SUMIFS(Calendar!$C$16:$C$141,Calendar!$A$16:$A$141,"&gt;="&amp;MAX(N$7,$J26),Calendar!$A$16:$A$141,"&lt;="&amp;MIN(N$7+4,$K26))*$H26/$G26)))</x:f>
        <x:v>0</x:v>
      </x:c>
      <x:c r="O26" s="45" t="n">
        <x:f>IF(OR($J26="",$K26=""),"",IF(SUMIFS(Calendar!$C$16:$C$141,Calendar!$A$16:$A$141,"&gt;="&amp;MAX(O$7,$J26),Calendar!$A$16:$A$141,"&lt;="&amp;MIN(O$7+4,$K26))=0,0,IF($H26="","EXT",SUMIFS(Calendar!$C$16:$C$141,Calendar!$A$16:$A$141,"&gt;="&amp;MAX(O$7,$J26),Calendar!$A$16:$A$141,"&lt;="&amp;MIN(O$7+4,$K26))*$H26/$G26)))</x:f>
        <x:v>0</x:v>
      </x:c>
      <x:c r="P26" s="45" t="n">
        <x:f>IF(OR($J26="",$K26=""),"",IF(SUMIFS(Calendar!$C$16:$C$141,Calendar!$A$16:$A$141,"&gt;="&amp;MAX(P$7,$J26),Calendar!$A$16:$A$141,"&lt;="&amp;MIN(P$7+4,$K26))=0,0,IF($H26="","EXT",SUMIFS(Calendar!$C$16:$C$141,Calendar!$A$16:$A$141,"&gt;="&amp;MAX(P$7,$J26),Calendar!$A$16:$A$141,"&lt;="&amp;MIN(P$7+4,$K26))*$H26/$G26)))</x:f>
        <x:v>0</x:v>
      </x:c>
      <x:c r="Q26" s="45" t="n">
        <x:f>IF(OR($J26="",$K26=""),"",IF(SUMIFS(Calendar!$C$16:$C$141,Calendar!$A$16:$A$141,"&gt;="&amp;MAX(Q$7,$J26),Calendar!$A$16:$A$141,"&lt;="&amp;MIN(Q$7+4,$K26))=0,0,IF($H26="","EXT",SUMIFS(Calendar!$C$16:$C$141,Calendar!$A$16:$A$141,"&gt;="&amp;MAX(Q$7,$J26),Calendar!$A$16:$A$141,"&lt;="&amp;MIN(Q$7+4,$K26))*$H26/$G26)))</x:f>
        <x:v>0</x:v>
      </x:c>
      <x:c r="R26" s="45" t="n">
        <x:f>IF(OR($J26="",$K26=""),"",IF(SUMIFS(Calendar!$C$16:$C$141,Calendar!$A$16:$A$141,"&gt;="&amp;MAX(R$7,$J26),Calendar!$A$16:$A$141,"&lt;="&amp;MIN(R$7+4,$K26))=0,0,IF($H26="","EXT",SUMIFS(Calendar!$C$16:$C$141,Calendar!$A$16:$A$141,"&gt;="&amp;MAX(R$7,$J26),Calendar!$A$16:$A$141,"&lt;="&amp;MIN(R$7+4,$K26))*$H26/$G26)))</x:f>
        <x:v>0</x:v>
      </x:c>
      <x:c r="S26" s="45" t="n">
        <x:f>IF(OR($J26="",$K26=""),"",IF(SUMIFS(Calendar!$C$16:$C$141,Calendar!$A$16:$A$141,"&gt;="&amp;MAX(S$7,$J26),Calendar!$A$16:$A$141,"&lt;="&amp;MIN(S$7+4,$K26))=0,0,IF($H26="","EXT",SUMIFS(Calendar!$C$16:$C$141,Calendar!$A$16:$A$141,"&gt;="&amp;MAX(S$7,$J26),Calendar!$A$16:$A$141,"&lt;="&amp;MIN(S$7+4,$K26))*$H26/$G26)))</x:f>
        <x:v>0</x:v>
      </x:c>
      <x:c r="T26" s="45" t="n">
        <x:f>IF(OR($J26="",$K26=""),"",IF(SUMIFS(Calendar!$C$16:$C$141,Calendar!$A$16:$A$141,"&gt;="&amp;MAX(T$7,$J26),Calendar!$A$16:$A$141,"&lt;="&amp;MIN(T$7+4,$K26))=0,0,IF($H26="","EXT",SUMIFS(Calendar!$C$16:$C$141,Calendar!$A$16:$A$141,"&gt;="&amp;MAX(T$7,$J26),Calendar!$A$16:$A$141,"&lt;="&amp;MIN(T$7+4,$K26))*$H26/$G26)))</x:f>
        <x:v>0</x:v>
      </x:c>
      <x:c r="U26" s="45" t="n">
        <x:f>IF(OR($J26="",$K26=""),"",IF(SUMIFS(Calendar!$C$16:$C$141,Calendar!$A$16:$A$141,"&gt;="&amp;MAX(U$7,$J26),Calendar!$A$16:$A$141,"&lt;="&amp;MIN(U$7+4,$K26))=0,0,IF($H26="","EXT",SUMIFS(Calendar!$C$16:$C$141,Calendar!$A$16:$A$141,"&gt;="&amp;MAX(U$7,$J26),Calendar!$A$16:$A$141,"&lt;="&amp;MIN(U$7+4,$K26))*$H26/$G26)))</x:f>
        <x:v>0</x:v>
      </x:c>
      <x:c r="V26" s="45" t="n">
        <x:f>IF(OR($J26="",$K26=""),"",IF(SUMIFS(Calendar!$C$16:$C$141,Calendar!$A$16:$A$141,"&gt;="&amp;MAX(V$7,$J26),Calendar!$A$16:$A$141,"&lt;="&amp;MIN(V$7+4,$K26))=0,0,IF($H26="","EXT",SUMIFS(Calendar!$C$16:$C$141,Calendar!$A$16:$A$141,"&gt;="&amp;MAX(V$7,$J26),Calendar!$A$16:$A$141,"&lt;="&amp;MIN(V$7+4,$K26))*$H26/$G26)))</x:f>
        <x:v>0</x:v>
      </x:c>
      <x:c r="W26" s="45" t="n">
        <x:f>IF(OR($J26="",$K26=""),"",IF(SUMIFS(Calendar!$C$16:$C$141,Calendar!$A$16:$A$141,"&gt;="&amp;MAX(W$7,$J26),Calendar!$A$16:$A$141,"&lt;="&amp;MIN(W$7+4,$K26))=0,0,IF($H26="","EXT",SUMIFS(Calendar!$C$16:$C$141,Calendar!$A$16:$A$141,"&gt;="&amp;MAX(W$7,$J26),Calendar!$A$16:$A$141,"&lt;="&amp;MIN(W$7+4,$K26))*$H26/$G26)))</x:f>
        <x:v>0</x:v>
      </x:c>
      <x:c r="X26" s="45" t="n">
        <x:f>IF(OR($J26="",$K26=""),"",IF(SUMIFS(Calendar!$C$16:$C$141,Calendar!$A$16:$A$141,"&gt;="&amp;MAX(X$7,$J26),Calendar!$A$16:$A$141,"&lt;="&amp;MIN(X$7+4,$K26))=0,0,IF($H26="","EXT",SUMIFS(Calendar!$C$16:$C$141,Calendar!$A$16:$A$141,"&gt;="&amp;MAX(X$7,$J26),Calendar!$A$16:$A$141,"&lt;="&amp;MIN(X$7+4,$K26))*$H26/$G26)))</x:f>
        <x:v>0</x:v>
      </x:c>
      <x:c r="Y26" s="45" t="n">
        <x:f>IF(OR($J26="",$K26=""),"",IF(SUMIFS(Calendar!$C$16:$C$141,Calendar!$A$16:$A$141,"&gt;="&amp;MAX(Y$7,$J26),Calendar!$A$16:$A$141,"&lt;="&amp;MIN(Y$7+4,$K26))=0,0,IF($H26="","EXT",SUMIFS(Calendar!$C$16:$C$141,Calendar!$A$16:$A$141,"&gt;="&amp;MAX(Y$7,$J26),Calendar!$A$16:$A$141,"&lt;="&amp;MIN(Y$7+4,$K26))*$H26/$G26)))</x:f>
        <x:v>0</x:v>
      </x:c>
      <x:c r="Z26" s="45" t="n">
        <x:f>IF(OR($J26="",$K26=""),"",IF(SUMIFS(Calendar!$C$16:$C$141,Calendar!$A$16:$A$141,"&gt;="&amp;MAX(Z$7,$J26),Calendar!$A$16:$A$141,"&lt;="&amp;MIN(Z$7+4,$K26))=0,0,IF($H26="","EXT",SUMIFS(Calendar!$C$16:$C$141,Calendar!$A$16:$A$141,"&gt;="&amp;MAX(Z$7,$J26),Calendar!$A$16:$A$141,"&lt;="&amp;MIN(Z$7+4,$K26))*$H26/$G26)))</x:f>
        <x:v>0</x:v>
      </x:c>
      <x:c r="AA26" s="45" t="n">
        <x:f>IF(OR($J26="",$K26=""),"",IF(SUMIFS(Calendar!$C$16:$C$141,Calendar!$A$16:$A$141,"&gt;="&amp;MAX(AA$7,$J26),Calendar!$A$16:$A$141,"&lt;="&amp;MIN(AA$7+4,$K26))=0,0,IF($H26="","EXT",SUMIFS(Calendar!$C$16:$C$141,Calendar!$A$16:$A$141,"&gt;="&amp;MAX(AA$7,$J26),Calendar!$A$16:$A$141,"&lt;="&amp;MIN(AA$7+4,$K26))*$H26/$G26)))</x:f>
        <x:v>0</x:v>
      </x:c>
      <x:c r="AB26" s="45" t="n">
        <x:f>IF(OR($J26="",$K26=""),"",IF(SUMIFS(Calendar!$C$16:$C$141,Calendar!$A$16:$A$141,"&gt;="&amp;MAX(AB$7,$J26),Calendar!$A$16:$A$141,"&lt;="&amp;MIN(AB$7+4,$K26))=0,0,IF($H26="","EXT",SUMIFS(Calendar!$C$16:$C$141,Calendar!$A$16:$A$141,"&gt;="&amp;MAX(AB$7,$J26),Calendar!$A$16:$A$141,"&lt;="&amp;MIN(AB$7+4,$K26))*$H26/$G26)))</x:f>
        <x:v>0</x:v>
      </x:c>
      <x:c r="AC26" s="45" t="n">
        <x:f>IF(OR($J26="",$K26=""),"",IF(SUMIFS(Calendar!$C$16:$C$141,Calendar!$A$16:$A$141,"&gt;="&amp;MAX(AC$7,$J26),Calendar!$A$16:$A$141,"&lt;="&amp;MIN(AC$7+4,$K26))=0,0,IF($H26="","EXT",SUMIFS(Calendar!$C$16:$C$141,Calendar!$A$16:$A$141,"&gt;="&amp;MAX(AC$7,$J26),Calendar!$A$16:$A$141,"&lt;="&amp;MIN(AC$7+4,$K26))*$H26/$G26)))</x:f>
        <x:v>0</x:v>
      </x:c>
      <x:c r="AD26" s="45" t="n">
        <x:f>IF(OR($J26="",$K26=""),"",IF(SUMIFS(Calendar!$C$16:$C$141,Calendar!$A$16:$A$141,"&gt;="&amp;MAX(AD$7,$J26),Calendar!$A$16:$A$141,"&lt;="&amp;MIN(AD$7+4,$K26))=0,0,IF($H26="","EXT",SUMIFS(Calendar!$C$16:$C$141,Calendar!$A$16:$A$141,"&gt;="&amp;MAX(AD$7,$J26),Calendar!$A$16:$A$141,"&lt;="&amp;MIN(AD$7+4,$K26))*$H26/$G26)))</x:f>
        <x:v>0.6</x:v>
      </x:c>
      <x:c r="AE26" s="45" t="n">
        <x:f>IF(OR($J26="",$K26=""),"",IF(SUMIFS(Calendar!$C$16:$C$141,Calendar!$A$16:$A$141,"&gt;="&amp;MAX(AE$7,$J26),Calendar!$A$16:$A$141,"&lt;="&amp;MIN(AE$7+4,$K26))=0,0,IF($H26="","EXT",SUMIFS(Calendar!$C$16:$C$141,Calendar!$A$16:$A$141,"&gt;="&amp;MAX(AE$7,$J26),Calendar!$A$16:$A$141,"&lt;="&amp;MIN(AE$7+4,$K26))*$H26/$G26)))</x:f>
        <x:v>0</x:v>
      </x:c>
      <x:c r="AF26" s="8" t="n">
        <x:f>IF(OR(M26&lt;&gt;"Scheduled",INDEX('Team and Gates'!$C$7:$C$13,MATCH($D26,'Team and Gates'!$A$7:$A$13,0))=""),"CHECK",SUM(N26:AE26)*INDEX('Team and Gates'!$C$7:$C$13,MATCH($D26,'Team and Gates'!$A$7:$A$13,0)))</x:f>
        <x:v>216</x:v>
      </x:c>
      <x:c r="AG26" s="46" t="str">
        <x:v>Release owner, QA and business owner record Go decision after UAT signoff, blocking defect closure, production access and rollback checks.</x:v>
      </x:c>
      <x:c r="AH26" s="46" t="str">
        <x:v>Dedicated working day after Feb 24 UAT approval. Confirm staffed Friday rollout and weekend on-call/rollback coverage.</x:v>
      </x:c>
    </x:row>
    <x:row r="27" ht="45" customHeight="1">
      <x:c r="A27" s="39" t="str">
        <x:v>B-REL</x:v>
      </x:c>
      <x:c r="B27" s="39" t="str">
        <x:v>API / domain</x:v>
      </x:c>
      <x:c r="C27" s="47" t="str">
        <x:v>Feb 26 production rollout support and controlled validation</x:v>
      </x:c>
      <x:c r="D27" s="28" t="str">
        <x:v>Dev 1</x:v>
      </x:c>
      <x:c r="E27" s="47" t="str">
        <x:v>B-GATE, A-GATE, BA-GATE, Q-GATE, U-GATE</x:v>
      </x:c>
      <x:c r="F27" s="50" t="n">
        <x:v>77</x:v>
      </x:c>
      <x:c r="G27" s="50" t="n">
        <x:v>1</x:v>
      </x:c>
      <x:c r="H27" s="51" t="n">
        <x:v>0.6</x:v>
      </x:c>
      <x:c r="I27" s="39" t="n">
        <x:f>IF(OR(F27="",G27=""),"",F27+G27-1)</x:f>
        <x:v>77</x:v>
      </x:c>
      <x:c r="J27" s="41" t="n">
        <x:f>IF(OR(F27="",F27&lt;1,F27&gt;Calendar!$B$9),"",INDEX(Calendar!$A$16:$A$141,MATCH(F27,Calendar!$D$16:$D$141,0)))</x:f>
        <x:v>46444</x:v>
      </x:c>
      <x:c r="K27" s="41" t="n">
        <x:f>IF(OR(I27="",I27&lt;1,I27&gt;Calendar!$B$9),"",INDEX(Calendar!$A$16:$A$141,MATCH(I27,Calendar!$D$16:$D$141,0)))</x:f>
        <x:v>46444</x:v>
      </x:c>
      <x:c r="L27" s="53" t="n">
        <x:v>0</x:v>
      </x:c>
      <x:c r="M27" s="39" t="str">
        <x:f>IF(OR(F27="",G27="",H27=""),"Missing input",IF(OR(F27&lt;1,G27&lt;1,I27&gt;Calendar!$B$9),"Outside calendar",IF(F27&lt;MAX(INDEX($I$8:$I$157,MATCH("B-GATE",$A$8:$A$157,0))+1,INDEX($I$8:$I$157,MATCH("A-GATE",$A$8:$A$157,0))+1,INDEX($I$8:$I$157,MATCH("BA-GATE",$A$8:$A$157,0))+1,INDEX($I$8:$I$157,MATCH("Q-GATE",$A$8:$A$157,0))+1,INDEX($I$8:$I$157,MATCH("U-GATE",$A$8:$A$157,0))+1),"Dependency conflict","Scheduled")))</x:f>
        <x:v>Scheduled</x:v>
      </x:c>
      <x:c r="N27" s="45" t="n">
        <x:f>IF(OR($J27="",$K27=""),"",IF(SUMIFS(Calendar!$C$16:$C$141,Calendar!$A$16:$A$141,"&gt;="&amp;MAX(N$7,$J27),Calendar!$A$16:$A$141,"&lt;="&amp;MIN(N$7+4,$K27))=0,0,IF($H27="","EXT",SUMIFS(Calendar!$C$16:$C$141,Calendar!$A$16:$A$141,"&gt;="&amp;MAX(N$7,$J27),Calendar!$A$16:$A$141,"&lt;="&amp;MIN(N$7+4,$K27))*$H27/$G27)))</x:f>
        <x:v>0</x:v>
      </x:c>
      <x:c r="O27" s="45" t="n">
        <x:f>IF(OR($J27="",$K27=""),"",IF(SUMIFS(Calendar!$C$16:$C$141,Calendar!$A$16:$A$141,"&gt;="&amp;MAX(O$7,$J27),Calendar!$A$16:$A$141,"&lt;="&amp;MIN(O$7+4,$K27))=0,0,IF($H27="","EXT",SUMIFS(Calendar!$C$16:$C$141,Calendar!$A$16:$A$141,"&gt;="&amp;MAX(O$7,$J27),Calendar!$A$16:$A$141,"&lt;="&amp;MIN(O$7+4,$K27))*$H27/$G27)))</x:f>
        <x:v>0</x:v>
      </x:c>
      <x:c r="P27" s="45" t="n">
        <x:f>IF(OR($J27="",$K27=""),"",IF(SUMIFS(Calendar!$C$16:$C$141,Calendar!$A$16:$A$141,"&gt;="&amp;MAX(P$7,$J27),Calendar!$A$16:$A$141,"&lt;="&amp;MIN(P$7+4,$K27))=0,0,IF($H27="","EXT",SUMIFS(Calendar!$C$16:$C$141,Calendar!$A$16:$A$141,"&gt;="&amp;MAX(P$7,$J27),Calendar!$A$16:$A$141,"&lt;="&amp;MIN(P$7+4,$K27))*$H27/$G27)))</x:f>
        <x:v>0</x:v>
      </x:c>
      <x:c r="Q27" s="45" t="n">
        <x:f>IF(OR($J27="",$K27=""),"",IF(SUMIFS(Calendar!$C$16:$C$141,Calendar!$A$16:$A$141,"&gt;="&amp;MAX(Q$7,$J27),Calendar!$A$16:$A$141,"&lt;="&amp;MIN(Q$7+4,$K27))=0,0,IF($H27="","EXT",SUMIFS(Calendar!$C$16:$C$141,Calendar!$A$16:$A$141,"&gt;="&amp;MAX(Q$7,$J27),Calendar!$A$16:$A$141,"&lt;="&amp;MIN(Q$7+4,$K27))*$H27/$G27)))</x:f>
        <x:v>0</x:v>
      </x:c>
      <x:c r="R27" s="45" t="n">
        <x:f>IF(OR($J27="",$K27=""),"",IF(SUMIFS(Calendar!$C$16:$C$141,Calendar!$A$16:$A$141,"&gt;="&amp;MAX(R$7,$J27),Calendar!$A$16:$A$141,"&lt;="&amp;MIN(R$7+4,$K27))=0,0,IF($H27="","EXT",SUMIFS(Calendar!$C$16:$C$141,Calendar!$A$16:$A$141,"&gt;="&amp;MAX(R$7,$J27),Calendar!$A$16:$A$141,"&lt;="&amp;MIN(R$7+4,$K27))*$H27/$G27)))</x:f>
        <x:v>0</x:v>
      </x:c>
      <x:c r="S27" s="45" t="n">
        <x:f>IF(OR($J27="",$K27=""),"",IF(SUMIFS(Calendar!$C$16:$C$141,Calendar!$A$16:$A$141,"&gt;="&amp;MAX(S$7,$J27),Calendar!$A$16:$A$141,"&lt;="&amp;MIN(S$7+4,$K27))=0,0,IF($H27="","EXT",SUMIFS(Calendar!$C$16:$C$141,Calendar!$A$16:$A$141,"&gt;="&amp;MAX(S$7,$J27),Calendar!$A$16:$A$141,"&lt;="&amp;MIN(S$7+4,$K27))*$H27/$G27)))</x:f>
        <x:v>0</x:v>
      </x:c>
      <x:c r="T27" s="45" t="n">
        <x:f>IF(OR($J27="",$K27=""),"",IF(SUMIFS(Calendar!$C$16:$C$141,Calendar!$A$16:$A$141,"&gt;="&amp;MAX(T$7,$J27),Calendar!$A$16:$A$141,"&lt;="&amp;MIN(T$7+4,$K27))=0,0,IF($H27="","EXT",SUMIFS(Calendar!$C$16:$C$141,Calendar!$A$16:$A$141,"&gt;="&amp;MAX(T$7,$J27),Calendar!$A$16:$A$141,"&lt;="&amp;MIN(T$7+4,$K27))*$H27/$G27)))</x:f>
        <x:v>0</x:v>
      </x:c>
      <x:c r="U27" s="45" t="n">
        <x:f>IF(OR($J27="",$K27=""),"",IF(SUMIFS(Calendar!$C$16:$C$141,Calendar!$A$16:$A$141,"&gt;="&amp;MAX(U$7,$J27),Calendar!$A$16:$A$141,"&lt;="&amp;MIN(U$7+4,$K27))=0,0,IF($H27="","EXT",SUMIFS(Calendar!$C$16:$C$141,Calendar!$A$16:$A$141,"&gt;="&amp;MAX(U$7,$J27),Calendar!$A$16:$A$141,"&lt;="&amp;MIN(U$7+4,$K27))*$H27/$G27)))</x:f>
        <x:v>0</x:v>
      </x:c>
      <x:c r="V27" s="45" t="n">
        <x:f>IF(OR($J27="",$K27=""),"",IF(SUMIFS(Calendar!$C$16:$C$141,Calendar!$A$16:$A$141,"&gt;="&amp;MAX(V$7,$J27),Calendar!$A$16:$A$141,"&lt;="&amp;MIN(V$7+4,$K27))=0,0,IF($H27="","EXT",SUMIFS(Calendar!$C$16:$C$141,Calendar!$A$16:$A$141,"&gt;="&amp;MAX(V$7,$J27),Calendar!$A$16:$A$141,"&lt;="&amp;MIN(V$7+4,$K27))*$H27/$G27)))</x:f>
        <x:v>0</x:v>
      </x:c>
      <x:c r="W27" s="45" t="n">
        <x:f>IF(OR($J27="",$K27=""),"",IF(SUMIFS(Calendar!$C$16:$C$141,Calendar!$A$16:$A$141,"&gt;="&amp;MAX(W$7,$J27),Calendar!$A$16:$A$141,"&lt;="&amp;MIN(W$7+4,$K27))=0,0,IF($H27="","EXT",SUMIFS(Calendar!$C$16:$C$141,Calendar!$A$16:$A$141,"&gt;="&amp;MAX(W$7,$J27),Calendar!$A$16:$A$141,"&lt;="&amp;MIN(W$7+4,$K27))*$H27/$G27)))</x:f>
        <x:v>0</x:v>
      </x:c>
      <x:c r="X27" s="45" t="n">
        <x:f>IF(OR($J27="",$K27=""),"",IF(SUMIFS(Calendar!$C$16:$C$141,Calendar!$A$16:$A$141,"&gt;="&amp;MAX(X$7,$J27),Calendar!$A$16:$A$141,"&lt;="&amp;MIN(X$7+4,$K27))=0,0,IF($H27="","EXT",SUMIFS(Calendar!$C$16:$C$141,Calendar!$A$16:$A$141,"&gt;="&amp;MAX(X$7,$J27),Calendar!$A$16:$A$141,"&lt;="&amp;MIN(X$7+4,$K27))*$H27/$G27)))</x:f>
        <x:v>0</x:v>
      </x:c>
      <x:c r="Y27" s="45" t="n">
        <x:f>IF(OR($J27="",$K27=""),"",IF(SUMIFS(Calendar!$C$16:$C$141,Calendar!$A$16:$A$141,"&gt;="&amp;MAX(Y$7,$J27),Calendar!$A$16:$A$141,"&lt;="&amp;MIN(Y$7+4,$K27))=0,0,IF($H27="","EXT",SUMIFS(Calendar!$C$16:$C$141,Calendar!$A$16:$A$141,"&gt;="&amp;MAX(Y$7,$J27),Calendar!$A$16:$A$141,"&lt;="&amp;MIN(Y$7+4,$K27))*$H27/$G27)))</x:f>
        <x:v>0</x:v>
      </x:c>
      <x:c r="Z27" s="45" t="n">
        <x:f>IF(OR($J27="",$K27=""),"",IF(SUMIFS(Calendar!$C$16:$C$141,Calendar!$A$16:$A$141,"&gt;="&amp;MAX(Z$7,$J27),Calendar!$A$16:$A$141,"&lt;="&amp;MIN(Z$7+4,$K27))=0,0,IF($H27="","EXT",SUMIFS(Calendar!$C$16:$C$141,Calendar!$A$16:$A$141,"&gt;="&amp;MAX(Z$7,$J27),Calendar!$A$16:$A$141,"&lt;="&amp;MIN(Z$7+4,$K27))*$H27/$G27)))</x:f>
        <x:v>0</x:v>
      </x:c>
      <x:c r="AA27" s="45" t="n">
        <x:f>IF(OR($J27="",$K27=""),"",IF(SUMIFS(Calendar!$C$16:$C$141,Calendar!$A$16:$A$141,"&gt;="&amp;MAX(AA$7,$J27),Calendar!$A$16:$A$141,"&lt;="&amp;MIN(AA$7+4,$K27))=0,0,IF($H27="","EXT",SUMIFS(Calendar!$C$16:$C$141,Calendar!$A$16:$A$141,"&gt;="&amp;MAX(AA$7,$J27),Calendar!$A$16:$A$141,"&lt;="&amp;MIN(AA$7+4,$K27))*$H27/$G27)))</x:f>
        <x:v>0</x:v>
      </x:c>
      <x:c r="AB27" s="45" t="n">
        <x:f>IF(OR($J27="",$K27=""),"",IF(SUMIFS(Calendar!$C$16:$C$141,Calendar!$A$16:$A$141,"&gt;="&amp;MAX(AB$7,$J27),Calendar!$A$16:$A$141,"&lt;="&amp;MIN(AB$7+4,$K27))=0,0,IF($H27="","EXT",SUMIFS(Calendar!$C$16:$C$141,Calendar!$A$16:$A$141,"&gt;="&amp;MAX(AB$7,$J27),Calendar!$A$16:$A$141,"&lt;="&amp;MIN(AB$7+4,$K27))*$H27/$G27)))</x:f>
        <x:v>0</x:v>
      </x:c>
      <x:c r="AC27" s="45" t="n">
        <x:f>IF(OR($J27="",$K27=""),"",IF(SUMIFS(Calendar!$C$16:$C$141,Calendar!$A$16:$A$141,"&gt;="&amp;MAX(AC$7,$J27),Calendar!$A$16:$A$141,"&lt;="&amp;MIN(AC$7+4,$K27))=0,0,IF($H27="","EXT",SUMIFS(Calendar!$C$16:$C$141,Calendar!$A$16:$A$141,"&gt;="&amp;MAX(AC$7,$J27),Calendar!$A$16:$A$141,"&lt;="&amp;MIN(AC$7+4,$K27))*$H27/$G27)))</x:f>
        <x:v>0</x:v>
      </x:c>
      <x:c r="AD27" s="45" t="n">
        <x:f>IF(OR($J27="",$K27=""),"",IF(SUMIFS(Calendar!$C$16:$C$141,Calendar!$A$16:$A$141,"&gt;="&amp;MAX(AD$7,$J27),Calendar!$A$16:$A$141,"&lt;="&amp;MIN(AD$7+4,$K27))=0,0,IF($H27="","EXT",SUMIFS(Calendar!$C$16:$C$141,Calendar!$A$16:$A$141,"&gt;="&amp;MAX(AD$7,$J27),Calendar!$A$16:$A$141,"&lt;="&amp;MIN(AD$7+4,$K27))*$H27/$G27)))</x:f>
        <x:v>0.6</x:v>
      </x:c>
      <x:c r="AE27" s="45" t="n">
        <x:f>IF(OR($J27="",$K27=""),"",IF(SUMIFS(Calendar!$C$16:$C$141,Calendar!$A$16:$A$141,"&gt;="&amp;MAX(AE$7,$J27),Calendar!$A$16:$A$141,"&lt;="&amp;MIN(AE$7+4,$K27))=0,0,IF($H27="","EXT",SUMIFS(Calendar!$C$16:$C$141,Calendar!$A$16:$A$141,"&gt;="&amp;MAX(AE$7,$J27),Calendar!$A$16:$A$141,"&lt;="&amp;MIN(AE$7+4,$K27))*$H27/$G27)))</x:f>
        <x:v>0</x:v>
      </x:c>
      <x:c r="AF27" s="8" t="n">
        <x:f>IF(OR(M27&lt;&gt;"Scheduled",INDEX('Team and Gates'!$C$7:$C$13,MATCH($D27,'Team and Gates'!$A$7:$A$13,0))=""),"CHECK",SUM(N27:AE27)*INDEX('Team and Gates'!$C$7:$C$13,MATCH($D27,'Team and Gates'!$A$7:$A$13,0)))</x:f>
        <x:v>216</x:v>
      </x:c>
      <x:c r="AG27" s="46" t="str">
        <x:v>Deploy after Go decision; pass technical/business smoke and approved-send checks. Record monitoring, rollback and on-call ownership.</x:v>
      </x:c>
      <x:c r="AH27" s="46" t="str">
        <x:v>Friday rollout needs an agreed deployment/rollback window and weekend on-call coverage.</x:v>
      </x:c>
    </x:row>
    <x:row r="28" ht="45" customHeight="1">
      <x:c r="A28" s="2" t="str">
        <x:v>B18</x:v>
      </x:c>
      <x:c r="B28" s="2" t="str">
        <x:v>API / domain</x:v>
      </x:c>
      <x:c r="C28" s="46" t="str">
        <x:v>Production API rollout support and hypercare</x:v>
      </x:c>
      <x:c r="D28" s="28" t="str">
        <x:v>Dev 1</x:v>
      </x:c>
      <x:c r="E28" s="46" t="str">
        <x:v>B17, BA17, Q17, U17, B-REL</x:v>
      </x:c>
      <x:c r="F28" s="50" t="n">
        <x:v>78</x:v>
      </x:c>
      <x:c r="G28" s="50" t="n">
        <x:v>5</x:v>
      </x:c>
      <x:c r="H28" s="51" t="n">
        <x:v>2</x:v>
      </x:c>
      <x:c r="I28" s="2" t="n">
        <x:f>IF(OR(F28="",G28=""),"",F28+G28-1)</x:f>
        <x:v>82</x:v>
      </x:c>
      <x:c r="J28" s="5" t="n">
        <x:f>IF(OR(F28="",F28&lt;1,F28&gt;Calendar!$B$9),"",INDEX(Calendar!$A$16:$A$141,MATCH(F28,Calendar!$D$16:$D$141,0)))</x:f>
        <x:v>46447</x:v>
      </x:c>
      <x:c r="K28" s="5" t="n">
        <x:f>IF(OR(I28="",I28&lt;1,I28&gt;Calendar!$B$9),"",INDEX(Calendar!$A$16:$A$141,MATCH(I28,Calendar!$D$16:$D$141,0)))</x:f>
        <x:v>46451</x:v>
      </x:c>
      <x:c r="L28" s="53" t="n">
        <x:v>0</x:v>
      </x:c>
      <x:c r="M28" s="2" t="str">
        <x:f>IF(OR(F28="",G28="",H28=""),"Missing input",IF(OR(F28&lt;1,G28&lt;1,I28&gt;Calendar!$B$9),"Outside calendar",IF(F28&lt;MAX(INDEX($I$8:$I$157,MATCH("B17",$A$8:$A$157,0))+1,INDEX($I$8:$I$157,MATCH("BA17",$A$8:$A$157,0))+1,INDEX($I$8:$I$157,MATCH("Q17",$A$8:$A$157,0))+1,INDEX($I$8:$I$157,MATCH("U17",$A$8:$A$157,0))+1,INDEX($I$8:$I$157,MATCH("B-REL",$A$8:$A$157,0))+1),"Dependency conflict","Scheduled")))</x:f>
        <x:v>Scheduled</x:v>
      </x:c>
      <x:c r="N28" s="45" t="n">
        <x:f>IF(OR($J28="",$K28=""),"",IF(SUMIFS(Calendar!$C$16:$C$141,Calendar!$A$16:$A$141,"&gt;="&amp;MAX(N$7,$J28),Calendar!$A$16:$A$141,"&lt;="&amp;MIN(N$7+4,$K28))=0,0,IF($H28="","EXT",SUMIFS(Calendar!$C$16:$C$141,Calendar!$A$16:$A$141,"&gt;="&amp;MAX(N$7,$J28),Calendar!$A$16:$A$141,"&lt;="&amp;MIN(N$7+4,$K28))*$H28/$G28)))</x:f>
        <x:v>0</x:v>
      </x:c>
      <x:c r="O28" s="45" t="n">
        <x:f>IF(OR($J28="",$K28=""),"",IF(SUMIFS(Calendar!$C$16:$C$141,Calendar!$A$16:$A$141,"&gt;="&amp;MAX(O$7,$J28),Calendar!$A$16:$A$141,"&lt;="&amp;MIN(O$7+4,$K28))=0,0,IF($H28="","EXT",SUMIFS(Calendar!$C$16:$C$141,Calendar!$A$16:$A$141,"&gt;="&amp;MAX(O$7,$J28),Calendar!$A$16:$A$141,"&lt;="&amp;MIN(O$7+4,$K28))*$H28/$G28)))</x:f>
        <x:v>0</x:v>
      </x:c>
      <x:c r="P28" s="45" t="n">
        <x:f>IF(OR($J28="",$K28=""),"",IF(SUMIFS(Calendar!$C$16:$C$141,Calendar!$A$16:$A$141,"&gt;="&amp;MAX(P$7,$J28),Calendar!$A$16:$A$141,"&lt;="&amp;MIN(P$7+4,$K28))=0,0,IF($H28="","EXT",SUMIFS(Calendar!$C$16:$C$141,Calendar!$A$16:$A$141,"&gt;="&amp;MAX(P$7,$J28),Calendar!$A$16:$A$141,"&lt;="&amp;MIN(P$7+4,$K28))*$H28/$G28)))</x:f>
        <x:v>0</x:v>
      </x:c>
      <x:c r="Q28" s="45" t="n">
        <x:f>IF(OR($J28="",$K28=""),"",IF(SUMIFS(Calendar!$C$16:$C$141,Calendar!$A$16:$A$141,"&gt;="&amp;MAX(Q$7,$J28),Calendar!$A$16:$A$141,"&lt;="&amp;MIN(Q$7+4,$K28))=0,0,IF($H28="","EXT",SUMIFS(Calendar!$C$16:$C$141,Calendar!$A$16:$A$141,"&gt;="&amp;MAX(Q$7,$J28),Calendar!$A$16:$A$141,"&lt;="&amp;MIN(Q$7+4,$K28))*$H28/$G28)))</x:f>
        <x:v>0</x:v>
      </x:c>
      <x:c r="R28" s="45" t="n">
        <x:f>IF(OR($J28="",$K28=""),"",IF(SUMIFS(Calendar!$C$16:$C$141,Calendar!$A$16:$A$141,"&gt;="&amp;MAX(R$7,$J28),Calendar!$A$16:$A$141,"&lt;="&amp;MIN(R$7+4,$K28))=0,0,IF($H28="","EXT",SUMIFS(Calendar!$C$16:$C$141,Calendar!$A$16:$A$141,"&gt;="&amp;MAX(R$7,$J28),Calendar!$A$16:$A$141,"&lt;="&amp;MIN(R$7+4,$K28))*$H28/$G28)))</x:f>
        <x:v>0</x:v>
      </x:c>
      <x:c r="S28" s="45" t="n">
        <x:f>IF(OR($J28="",$K28=""),"",IF(SUMIFS(Calendar!$C$16:$C$141,Calendar!$A$16:$A$141,"&gt;="&amp;MAX(S$7,$J28),Calendar!$A$16:$A$141,"&lt;="&amp;MIN(S$7+4,$K28))=0,0,IF($H28="","EXT",SUMIFS(Calendar!$C$16:$C$141,Calendar!$A$16:$A$141,"&gt;="&amp;MAX(S$7,$J28),Calendar!$A$16:$A$141,"&lt;="&amp;MIN(S$7+4,$K28))*$H28/$G28)))</x:f>
        <x:v>0</x:v>
      </x:c>
      <x:c r="T28" s="45" t="n">
        <x:f>IF(OR($J28="",$K28=""),"",IF(SUMIFS(Calendar!$C$16:$C$141,Calendar!$A$16:$A$141,"&gt;="&amp;MAX(T$7,$J28),Calendar!$A$16:$A$141,"&lt;="&amp;MIN(T$7+4,$K28))=0,0,IF($H28="","EXT",SUMIFS(Calendar!$C$16:$C$141,Calendar!$A$16:$A$141,"&gt;="&amp;MAX(T$7,$J28),Calendar!$A$16:$A$141,"&lt;="&amp;MIN(T$7+4,$K28))*$H28/$G28)))</x:f>
        <x:v>0</x:v>
      </x:c>
      <x:c r="U28" s="45" t="n">
        <x:f>IF(OR($J28="",$K28=""),"",IF(SUMIFS(Calendar!$C$16:$C$141,Calendar!$A$16:$A$141,"&gt;="&amp;MAX(U$7,$J28),Calendar!$A$16:$A$141,"&lt;="&amp;MIN(U$7+4,$K28))=0,0,IF($H28="","EXT",SUMIFS(Calendar!$C$16:$C$141,Calendar!$A$16:$A$141,"&gt;="&amp;MAX(U$7,$J28),Calendar!$A$16:$A$141,"&lt;="&amp;MIN(U$7+4,$K28))*$H28/$G28)))</x:f>
        <x:v>0</x:v>
      </x:c>
      <x:c r="V28" s="45" t="n">
        <x:f>IF(OR($J28="",$K28=""),"",IF(SUMIFS(Calendar!$C$16:$C$141,Calendar!$A$16:$A$141,"&gt;="&amp;MAX(V$7,$J28),Calendar!$A$16:$A$141,"&lt;="&amp;MIN(V$7+4,$K28))=0,0,IF($H28="","EXT",SUMIFS(Calendar!$C$16:$C$141,Calendar!$A$16:$A$141,"&gt;="&amp;MAX(V$7,$J28),Calendar!$A$16:$A$141,"&lt;="&amp;MIN(V$7+4,$K28))*$H28/$G28)))</x:f>
        <x:v>0</x:v>
      </x:c>
      <x:c r="W28" s="45" t="n">
        <x:f>IF(OR($J28="",$K28=""),"",IF(SUMIFS(Calendar!$C$16:$C$141,Calendar!$A$16:$A$141,"&gt;="&amp;MAX(W$7,$J28),Calendar!$A$16:$A$141,"&lt;="&amp;MIN(W$7+4,$K28))=0,0,IF($H28="","EXT",SUMIFS(Calendar!$C$16:$C$141,Calendar!$A$16:$A$141,"&gt;="&amp;MAX(W$7,$J28),Calendar!$A$16:$A$141,"&lt;="&amp;MIN(W$7+4,$K28))*$H28/$G28)))</x:f>
        <x:v>0</x:v>
      </x:c>
      <x:c r="X28" s="45" t="n">
        <x:f>IF(OR($J28="",$K28=""),"",IF(SUMIFS(Calendar!$C$16:$C$141,Calendar!$A$16:$A$141,"&gt;="&amp;MAX(X$7,$J28),Calendar!$A$16:$A$141,"&lt;="&amp;MIN(X$7+4,$K28))=0,0,IF($H28="","EXT",SUMIFS(Calendar!$C$16:$C$141,Calendar!$A$16:$A$141,"&gt;="&amp;MAX(X$7,$J28),Calendar!$A$16:$A$141,"&lt;="&amp;MIN(X$7+4,$K28))*$H28/$G28)))</x:f>
        <x:v>0</x:v>
      </x:c>
      <x:c r="Y28" s="45" t="n">
        <x:f>IF(OR($J28="",$K28=""),"",IF(SUMIFS(Calendar!$C$16:$C$141,Calendar!$A$16:$A$141,"&gt;="&amp;MAX(Y$7,$J28),Calendar!$A$16:$A$141,"&lt;="&amp;MIN(Y$7+4,$K28))=0,0,IF($H28="","EXT",SUMIFS(Calendar!$C$16:$C$141,Calendar!$A$16:$A$141,"&gt;="&amp;MAX(Y$7,$J28),Calendar!$A$16:$A$141,"&lt;="&amp;MIN(Y$7+4,$K28))*$H28/$G28)))</x:f>
        <x:v>0</x:v>
      </x:c>
      <x:c r="Z28" s="45" t="n">
        <x:f>IF(OR($J28="",$K28=""),"",IF(SUMIFS(Calendar!$C$16:$C$141,Calendar!$A$16:$A$141,"&gt;="&amp;MAX(Z$7,$J28),Calendar!$A$16:$A$141,"&lt;="&amp;MIN(Z$7+4,$K28))=0,0,IF($H28="","EXT",SUMIFS(Calendar!$C$16:$C$141,Calendar!$A$16:$A$141,"&gt;="&amp;MAX(Z$7,$J28),Calendar!$A$16:$A$141,"&lt;="&amp;MIN(Z$7+4,$K28))*$H28/$G28)))</x:f>
        <x:v>0</x:v>
      </x:c>
      <x:c r="AA28" s="45" t="n">
        <x:f>IF(OR($J28="",$K28=""),"",IF(SUMIFS(Calendar!$C$16:$C$141,Calendar!$A$16:$A$141,"&gt;="&amp;MAX(AA$7,$J28),Calendar!$A$16:$A$141,"&lt;="&amp;MIN(AA$7+4,$K28))=0,0,IF($H28="","EXT",SUMIFS(Calendar!$C$16:$C$141,Calendar!$A$16:$A$141,"&gt;="&amp;MAX(AA$7,$J28),Calendar!$A$16:$A$141,"&lt;="&amp;MIN(AA$7+4,$K28))*$H28/$G28)))</x:f>
        <x:v>0</x:v>
      </x:c>
      <x:c r="AB28" s="45" t="n">
        <x:f>IF(OR($J28="",$K28=""),"",IF(SUMIFS(Calendar!$C$16:$C$141,Calendar!$A$16:$A$141,"&gt;="&amp;MAX(AB$7,$J28),Calendar!$A$16:$A$141,"&lt;="&amp;MIN(AB$7+4,$K28))=0,0,IF($H28="","EXT",SUMIFS(Calendar!$C$16:$C$141,Calendar!$A$16:$A$141,"&gt;="&amp;MAX(AB$7,$J28),Calendar!$A$16:$A$141,"&lt;="&amp;MIN(AB$7+4,$K28))*$H28/$G28)))</x:f>
        <x:v>0</x:v>
      </x:c>
      <x:c r="AC28" s="45" t="n">
        <x:f>IF(OR($J28="",$K28=""),"",IF(SUMIFS(Calendar!$C$16:$C$141,Calendar!$A$16:$A$141,"&gt;="&amp;MAX(AC$7,$J28),Calendar!$A$16:$A$141,"&lt;="&amp;MIN(AC$7+4,$K28))=0,0,IF($H28="","EXT",SUMIFS(Calendar!$C$16:$C$141,Calendar!$A$16:$A$141,"&gt;="&amp;MAX(AC$7,$J28),Calendar!$A$16:$A$141,"&lt;="&amp;MIN(AC$7+4,$K28))*$H28/$G28)))</x:f>
        <x:v>0</x:v>
      </x:c>
      <x:c r="AD28" s="45" t="n">
        <x:f>IF(OR($J28="",$K28=""),"",IF(SUMIFS(Calendar!$C$16:$C$141,Calendar!$A$16:$A$141,"&gt;="&amp;MAX(AD$7,$J28),Calendar!$A$16:$A$141,"&lt;="&amp;MIN(AD$7+4,$K28))=0,0,IF($H28="","EXT",SUMIFS(Calendar!$C$16:$C$141,Calendar!$A$16:$A$141,"&gt;="&amp;MAX(AD$7,$J28),Calendar!$A$16:$A$141,"&lt;="&amp;MIN(AD$7+4,$K28))*$H28/$G28)))</x:f>
        <x:v>0</x:v>
      </x:c>
      <x:c r="AE28" s="45" t="n">
        <x:f>IF(OR($J28="",$K28=""),"",IF(SUMIFS(Calendar!$C$16:$C$141,Calendar!$A$16:$A$141,"&gt;="&amp;MAX(AE$7,$J28),Calendar!$A$16:$A$141,"&lt;="&amp;MIN(AE$7+4,$K28))=0,0,IF($H28="","EXT",SUMIFS(Calendar!$C$16:$C$141,Calendar!$A$16:$A$141,"&gt;="&amp;MAX(AE$7,$J28),Calendar!$A$16:$A$141,"&lt;="&amp;MIN(AE$7+4,$K28))*$H28/$G28)))</x:f>
        <x:v>2</x:v>
      </x:c>
      <x:c r="AF28" s="8" t="n">
        <x:f>IF(OR(M28&lt;&gt;"Scheduled",INDEX('Team and Gates'!$C$7:$C$13,MATCH($D28,'Team and Gates'!$A$7:$A$13,0))=""),"CHECK",SUM(N28:AE28)*INDEX('Team and Gates'!$C$7:$C$13,MATCH($D28,'Team and Gates'!$A$7:$A$13,0)))</x:f>
        <x:v>720</x:v>
      </x:c>
      <x:c r="AG28" s="46" t="str">
        <x:v>After Feb 26 production release, complete monitoring, defect retests and service handover by Mar 5.</x:v>
      </x:c>
      <x:c r="AH28" s="46" t="str">
        <x:v>Hypercare Mar 1-5; production rollout and Go/No-Go are separately scheduled Feb 25-26.</x:v>
      </x:c>
    </x:row>
    <x:row r="29" ht="45" customHeight="1">
      <x:c r="A29" s="39" t="str">
        <x:v>A01</x:v>
      </x:c>
      <x:c r="B29" s="39" t="str">
        <x:v>Async / Azure</x:v>
      </x:c>
      <x:c r="C29" s="47" t="str">
        <x:v>GitHub Actions: Azure OIDC, backend image and DB migration workflow</x:v>
      </x:c>
      <x:c r="D29" s="26" t="str">
        <x:v>Dev 2</x:v>
      </x:c>
      <x:c r="E29" s="47" t="str"/>
      <x:c r="F29" s="50" t="n">
        <x:v>1</x:v>
      </x:c>
      <x:c r="G29" s="50" t="n">
        <x:v>5</x:v>
      </x:c>
      <x:c r="H29" s="51" t="n">
        <x:v>2</x:v>
      </x:c>
      <x:c r="I29" s="39" t="n">
        <x:f>IF(OR(F29="",G29=""),"",F29+G29-1)</x:f>
        <x:v>5</x:v>
      </x:c>
      <x:c r="J29" s="41" t="n">
        <x:f>IF(OR(F29="",F29&lt;1,F29&gt;Calendar!$B$9),"",INDEX(Calendar!$A$16:$A$141,MATCH(F29,Calendar!$D$16:$D$141,0)))</x:f>
        <x:v>46328</x:v>
      </x:c>
      <x:c r="K29" s="41" t="n">
        <x:f>IF(OR(I29="",I29&lt;1,I29&gt;Calendar!$B$9),"",INDEX(Calendar!$A$16:$A$141,MATCH(I29,Calendar!$D$16:$D$141,0)))</x:f>
        <x:v>46332</x:v>
      </x:c>
      <x:c r="L29" s="53" t="n">
        <x:v>0</x:v>
      </x:c>
      <x:c r="M29" s="39" t="str">
        <x:f>IF(OR(F29="",G29="",H29=""),"Missing input",IF(OR(F29&lt;1,G29&lt;1,I29&gt;Calendar!$B$9),"Outside calendar",IF(F29&lt;1,"Dependency conflict","Scheduled")))</x:f>
        <x:v>Scheduled</x:v>
      </x:c>
      <x:c r="N29" s="45" t="n">
        <x:f>IF(OR($J29="",$K29=""),"",IF(SUMIFS(Calendar!$C$16:$C$141,Calendar!$A$16:$A$141,"&gt;="&amp;MAX(N$7,$J29),Calendar!$A$16:$A$141,"&lt;="&amp;MIN(N$7+4,$K29))=0,0,IF($H29="","EXT",SUMIFS(Calendar!$C$16:$C$141,Calendar!$A$16:$A$141,"&gt;="&amp;MAX(N$7,$J29),Calendar!$A$16:$A$141,"&lt;="&amp;MIN(N$7+4,$K29))*$H29/$G29)))</x:f>
        <x:v>2</x:v>
      </x:c>
      <x:c r="O29" s="45" t="n">
        <x:f>IF(OR($J29="",$K29=""),"",IF(SUMIFS(Calendar!$C$16:$C$141,Calendar!$A$16:$A$141,"&gt;="&amp;MAX(O$7,$J29),Calendar!$A$16:$A$141,"&lt;="&amp;MIN(O$7+4,$K29))=0,0,IF($H29="","EXT",SUMIFS(Calendar!$C$16:$C$141,Calendar!$A$16:$A$141,"&gt;="&amp;MAX(O$7,$J29),Calendar!$A$16:$A$141,"&lt;="&amp;MIN(O$7+4,$K29))*$H29/$G29)))</x:f>
        <x:v>0</x:v>
      </x:c>
      <x:c r="P29" s="45" t="n">
        <x:f>IF(OR($J29="",$K29=""),"",IF(SUMIFS(Calendar!$C$16:$C$141,Calendar!$A$16:$A$141,"&gt;="&amp;MAX(P$7,$J29),Calendar!$A$16:$A$141,"&lt;="&amp;MIN(P$7+4,$K29))=0,0,IF($H29="","EXT",SUMIFS(Calendar!$C$16:$C$141,Calendar!$A$16:$A$141,"&gt;="&amp;MAX(P$7,$J29),Calendar!$A$16:$A$141,"&lt;="&amp;MIN(P$7+4,$K29))*$H29/$G29)))</x:f>
        <x:v>0</x:v>
      </x:c>
      <x:c r="Q29" s="45" t="n">
        <x:f>IF(OR($J29="",$K29=""),"",IF(SUMIFS(Calendar!$C$16:$C$141,Calendar!$A$16:$A$141,"&gt;="&amp;MAX(Q$7,$J29),Calendar!$A$16:$A$141,"&lt;="&amp;MIN(Q$7+4,$K29))=0,0,IF($H29="","EXT",SUMIFS(Calendar!$C$16:$C$141,Calendar!$A$16:$A$141,"&gt;="&amp;MAX(Q$7,$J29),Calendar!$A$16:$A$141,"&lt;="&amp;MIN(Q$7+4,$K29))*$H29/$G29)))</x:f>
        <x:v>0</x:v>
      </x:c>
      <x:c r="R29" s="45" t="n">
        <x:f>IF(OR($J29="",$K29=""),"",IF(SUMIFS(Calendar!$C$16:$C$141,Calendar!$A$16:$A$141,"&gt;="&amp;MAX(R$7,$J29),Calendar!$A$16:$A$141,"&lt;="&amp;MIN(R$7+4,$K29))=0,0,IF($H29="","EXT",SUMIFS(Calendar!$C$16:$C$141,Calendar!$A$16:$A$141,"&gt;="&amp;MAX(R$7,$J29),Calendar!$A$16:$A$141,"&lt;="&amp;MIN(R$7+4,$K29))*$H29/$G29)))</x:f>
        <x:v>0</x:v>
      </x:c>
      <x:c r="S29" s="45" t="n">
        <x:f>IF(OR($J29="",$K29=""),"",IF(SUMIFS(Calendar!$C$16:$C$141,Calendar!$A$16:$A$141,"&gt;="&amp;MAX(S$7,$J29),Calendar!$A$16:$A$141,"&lt;="&amp;MIN(S$7+4,$K29))=0,0,IF($H29="","EXT",SUMIFS(Calendar!$C$16:$C$141,Calendar!$A$16:$A$141,"&gt;="&amp;MAX(S$7,$J29),Calendar!$A$16:$A$141,"&lt;="&amp;MIN(S$7+4,$K29))*$H29/$G29)))</x:f>
        <x:v>0</x:v>
      </x:c>
      <x:c r="T29" s="45" t="n">
        <x:f>IF(OR($J29="",$K29=""),"",IF(SUMIFS(Calendar!$C$16:$C$141,Calendar!$A$16:$A$141,"&gt;="&amp;MAX(T$7,$J29),Calendar!$A$16:$A$141,"&lt;="&amp;MIN(T$7+4,$K29))=0,0,IF($H29="","EXT",SUMIFS(Calendar!$C$16:$C$141,Calendar!$A$16:$A$141,"&gt;="&amp;MAX(T$7,$J29),Calendar!$A$16:$A$141,"&lt;="&amp;MIN(T$7+4,$K29))*$H29/$G29)))</x:f>
        <x:v>0</x:v>
      </x:c>
      <x:c r="U29" s="45" t="n">
        <x:f>IF(OR($J29="",$K29=""),"",IF(SUMIFS(Calendar!$C$16:$C$141,Calendar!$A$16:$A$141,"&gt;="&amp;MAX(U$7,$J29),Calendar!$A$16:$A$141,"&lt;="&amp;MIN(U$7+4,$K29))=0,0,IF($H29="","EXT",SUMIFS(Calendar!$C$16:$C$141,Calendar!$A$16:$A$141,"&gt;="&amp;MAX(U$7,$J29),Calendar!$A$16:$A$141,"&lt;="&amp;MIN(U$7+4,$K29))*$H29/$G29)))</x:f>
        <x:v>0</x:v>
      </x:c>
      <x:c r="V29" s="45" t="n">
        <x:f>IF(OR($J29="",$K29=""),"",IF(SUMIFS(Calendar!$C$16:$C$141,Calendar!$A$16:$A$141,"&gt;="&amp;MAX(V$7,$J29),Calendar!$A$16:$A$141,"&lt;="&amp;MIN(V$7+4,$K29))=0,0,IF($H29="","EXT",SUMIFS(Calendar!$C$16:$C$141,Calendar!$A$16:$A$141,"&gt;="&amp;MAX(V$7,$J29),Calendar!$A$16:$A$141,"&lt;="&amp;MIN(V$7+4,$K29))*$H29/$G29)))</x:f>
        <x:v>0</x:v>
      </x:c>
      <x:c r="W29" s="45" t="n">
        <x:f>IF(OR($J29="",$K29=""),"",IF(SUMIFS(Calendar!$C$16:$C$141,Calendar!$A$16:$A$141,"&gt;="&amp;MAX(W$7,$J29),Calendar!$A$16:$A$141,"&lt;="&amp;MIN(W$7+4,$K29))=0,0,IF($H29="","EXT",SUMIFS(Calendar!$C$16:$C$141,Calendar!$A$16:$A$141,"&gt;="&amp;MAX(W$7,$J29),Calendar!$A$16:$A$141,"&lt;="&amp;MIN(W$7+4,$K29))*$H29/$G29)))</x:f>
        <x:v>0</x:v>
      </x:c>
      <x:c r="X29" s="45" t="n">
        <x:f>IF(OR($J29="",$K29=""),"",IF(SUMIFS(Calendar!$C$16:$C$141,Calendar!$A$16:$A$141,"&gt;="&amp;MAX(X$7,$J29),Calendar!$A$16:$A$141,"&lt;="&amp;MIN(X$7+4,$K29))=0,0,IF($H29="","EXT",SUMIFS(Calendar!$C$16:$C$141,Calendar!$A$16:$A$141,"&gt;="&amp;MAX(X$7,$J29),Calendar!$A$16:$A$141,"&lt;="&amp;MIN(X$7+4,$K29))*$H29/$G29)))</x:f>
        <x:v>0</x:v>
      </x:c>
      <x:c r="Y29" s="45" t="n">
        <x:f>IF(OR($J29="",$K29=""),"",IF(SUMIFS(Calendar!$C$16:$C$141,Calendar!$A$16:$A$141,"&gt;="&amp;MAX(Y$7,$J29),Calendar!$A$16:$A$141,"&lt;="&amp;MIN(Y$7+4,$K29))=0,0,IF($H29="","EXT",SUMIFS(Calendar!$C$16:$C$141,Calendar!$A$16:$A$141,"&gt;="&amp;MAX(Y$7,$J29),Calendar!$A$16:$A$141,"&lt;="&amp;MIN(Y$7+4,$K29))*$H29/$G29)))</x:f>
        <x:v>0</x:v>
      </x:c>
      <x:c r="Z29" s="45" t="n">
        <x:f>IF(OR($J29="",$K29=""),"",IF(SUMIFS(Calendar!$C$16:$C$141,Calendar!$A$16:$A$141,"&gt;="&amp;MAX(Z$7,$J29),Calendar!$A$16:$A$141,"&lt;="&amp;MIN(Z$7+4,$K29))=0,0,IF($H29="","EXT",SUMIFS(Calendar!$C$16:$C$141,Calendar!$A$16:$A$141,"&gt;="&amp;MAX(Z$7,$J29),Calendar!$A$16:$A$141,"&lt;="&amp;MIN(Z$7+4,$K29))*$H29/$G29)))</x:f>
        <x:v>0</x:v>
      </x:c>
      <x:c r="AA29" s="45" t="n">
        <x:f>IF(OR($J29="",$K29=""),"",IF(SUMIFS(Calendar!$C$16:$C$141,Calendar!$A$16:$A$141,"&gt;="&amp;MAX(AA$7,$J29),Calendar!$A$16:$A$141,"&lt;="&amp;MIN(AA$7+4,$K29))=0,0,IF($H29="","EXT",SUMIFS(Calendar!$C$16:$C$141,Calendar!$A$16:$A$141,"&gt;="&amp;MAX(AA$7,$J29),Calendar!$A$16:$A$141,"&lt;="&amp;MIN(AA$7+4,$K29))*$H29/$G29)))</x:f>
        <x:v>0</x:v>
      </x:c>
      <x:c r="AB29" s="45" t="n">
        <x:f>IF(OR($J29="",$K29=""),"",IF(SUMIFS(Calendar!$C$16:$C$141,Calendar!$A$16:$A$141,"&gt;="&amp;MAX(AB$7,$J29),Calendar!$A$16:$A$141,"&lt;="&amp;MIN(AB$7+4,$K29))=0,0,IF($H29="","EXT",SUMIFS(Calendar!$C$16:$C$141,Calendar!$A$16:$A$141,"&gt;="&amp;MAX(AB$7,$J29),Calendar!$A$16:$A$141,"&lt;="&amp;MIN(AB$7+4,$K29))*$H29/$G29)))</x:f>
        <x:v>0</x:v>
      </x:c>
      <x:c r="AC29" s="45" t="n">
        <x:f>IF(OR($J29="",$K29=""),"",IF(SUMIFS(Calendar!$C$16:$C$141,Calendar!$A$16:$A$141,"&gt;="&amp;MAX(AC$7,$J29),Calendar!$A$16:$A$141,"&lt;="&amp;MIN(AC$7+4,$K29))=0,0,IF($H29="","EXT",SUMIFS(Calendar!$C$16:$C$141,Calendar!$A$16:$A$141,"&gt;="&amp;MAX(AC$7,$J29),Calendar!$A$16:$A$141,"&lt;="&amp;MIN(AC$7+4,$K29))*$H29/$G29)))</x:f>
        <x:v>0</x:v>
      </x:c>
      <x:c r="AD29" s="45" t="n">
        <x:f>IF(OR($J29="",$K29=""),"",IF(SUMIFS(Calendar!$C$16:$C$141,Calendar!$A$16:$A$141,"&gt;="&amp;MAX(AD$7,$J29),Calendar!$A$16:$A$141,"&lt;="&amp;MIN(AD$7+4,$K29))=0,0,IF($H29="","EXT",SUMIFS(Calendar!$C$16:$C$141,Calendar!$A$16:$A$141,"&gt;="&amp;MAX(AD$7,$J29),Calendar!$A$16:$A$141,"&lt;="&amp;MIN(AD$7+4,$K29))*$H29/$G29)))</x:f>
        <x:v>0</x:v>
      </x:c>
      <x:c r="AE29" s="45" t="n">
        <x:f>IF(OR($J29="",$K29=""),"",IF(SUMIFS(Calendar!$C$16:$C$141,Calendar!$A$16:$A$141,"&gt;="&amp;MAX(AE$7,$J29),Calendar!$A$16:$A$141,"&lt;="&amp;MIN(AE$7+4,$K29))=0,0,IF($H29="","EXT",SUMIFS(Calendar!$C$16:$C$141,Calendar!$A$16:$A$141,"&gt;="&amp;MAX(AE$7,$J29),Calendar!$A$16:$A$141,"&lt;="&amp;MIN(AE$7+4,$K29))*$H29/$G29)))</x:f>
        <x:v>0</x:v>
      </x:c>
      <x:c r="AF29" s="8" t="n">
        <x:f>IF(OR(M29&lt;&gt;"Scheduled",INDEX('Team and Gates'!$C$7:$C$13,MATCH($D29,'Team and Gates'!$A$7:$A$13,0))=""),"CHECK",SUM(N29:AE29)*INDEX('Team and Gates'!$C$7:$C$13,MATCH($D29,'Team and Gates'!$A$7:$A$13,0)))</x:f>
        <x:v>720</x:v>
      </x:c>
      <x:c r="AG29" s="46" t="str">
        <x:v>Reviewed preparation artifact, mapped to FSD/AC and handoff checklist.</x:v>
      </x:c>
      <x:c r="AH29" s="46" t="str"/>
    </x:row>
    <x:row r="30" ht="45" customHeight="1">
      <x:c r="A30" s="2" t="str">
        <x:v>A02</x:v>
      </x:c>
      <x:c r="B30" s="2" t="str">
        <x:v>Async / Azure</x:v>
      </x:c>
      <x:c r="C30" s="46" t="str">
        <x:v>Test infrastructure, Graph/Foundry access and Spring AI spike</x:v>
      </x:c>
      <x:c r="D30" s="26" t="str">
        <x:v>Dev 2</x:v>
      </x:c>
      <x:c r="E30" s="46" t="str">
        <x:v>A01, E01</x:v>
      </x:c>
      <x:c r="F30" s="50" t="n">
        <x:v>6</x:v>
      </x:c>
      <x:c r="G30" s="50" t="n">
        <x:v>5</x:v>
      </x:c>
      <x:c r="H30" s="51" t="n">
        <x:v>2</x:v>
      </x:c>
      <x:c r="I30" s="2" t="n">
        <x:f>IF(OR(F30="",G30=""),"",F30+G30-1)</x:f>
        <x:v>10</x:v>
      </x:c>
      <x:c r="J30" s="5" t="n">
        <x:f>IF(OR(F30="",F30&lt;1,F30&gt;Calendar!$B$9),"",INDEX(Calendar!$A$16:$A$141,MATCH(F30,Calendar!$D$16:$D$141,0)))</x:f>
        <x:v>46335</x:v>
      </x:c>
      <x:c r="K30" s="5" t="n">
        <x:f>IF(OR(I30="",I30&lt;1,I30&gt;Calendar!$B$9),"",INDEX(Calendar!$A$16:$A$141,MATCH(I30,Calendar!$D$16:$D$141,0)))</x:f>
        <x:v>46339</x:v>
      </x:c>
      <x:c r="L30" s="53" t="n">
        <x:v>0</x:v>
      </x:c>
      <x:c r="M30" s="2" t="str">
        <x:f>IF(OR(F30="",G30="",H30=""),"Missing input",IF(OR(F30&lt;1,G30&lt;1,I30&gt;Calendar!$B$9),"Outside calendar",IF(F30&lt;MAX(INDEX($I$8:$I$157,MATCH("A01",$A$8:$A$157,0))+1,INDEX($I$8:$I$157,MATCH("E01",$A$8:$A$157,0))+1),"Dependency conflict","Scheduled")))</x:f>
        <x:v>Scheduled</x:v>
      </x:c>
      <x:c r="N30" s="45" t="n">
        <x:f>IF(OR($J30="",$K30=""),"",IF(SUMIFS(Calendar!$C$16:$C$141,Calendar!$A$16:$A$141,"&gt;="&amp;MAX(N$7,$J30),Calendar!$A$16:$A$141,"&lt;="&amp;MIN(N$7+4,$K30))=0,0,IF($H30="","EXT",SUMIFS(Calendar!$C$16:$C$141,Calendar!$A$16:$A$141,"&gt;="&amp;MAX(N$7,$J30),Calendar!$A$16:$A$141,"&lt;="&amp;MIN(N$7+4,$K30))*$H30/$G30)))</x:f>
        <x:v>0</x:v>
      </x:c>
      <x:c r="O30" s="45" t="n">
        <x:f>IF(OR($J30="",$K30=""),"",IF(SUMIFS(Calendar!$C$16:$C$141,Calendar!$A$16:$A$141,"&gt;="&amp;MAX(O$7,$J30),Calendar!$A$16:$A$141,"&lt;="&amp;MIN(O$7+4,$K30))=0,0,IF($H30="","EXT",SUMIFS(Calendar!$C$16:$C$141,Calendar!$A$16:$A$141,"&gt;="&amp;MAX(O$7,$J30),Calendar!$A$16:$A$141,"&lt;="&amp;MIN(O$7+4,$K30))*$H30/$G30)))</x:f>
        <x:v>2</x:v>
      </x:c>
      <x:c r="P30" s="45" t="n">
        <x:f>IF(OR($J30="",$K30=""),"",IF(SUMIFS(Calendar!$C$16:$C$141,Calendar!$A$16:$A$141,"&gt;="&amp;MAX(P$7,$J30),Calendar!$A$16:$A$141,"&lt;="&amp;MIN(P$7+4,$K30))=0,0,IF($H30="","EXT",SUMIFS(Calendar!$C$16:$C$141,Calendar!$A$16:$A$141,"&gt;="&amp;MAX(P$7,$J30),Calendar!$A$16:$A$141,"&lt;="&amp;MIN(P$7+4,$K30))*$H30/$G30)))</x:f>
        <x:v>0</x:v>
      </x:c>
      <x:c r="Q30" s="45" t="n">
        <x:f>IF(OR($J30="",$K30=""),"",IF(SUMIFS(Calendar!$C$16:$C$141,Calendar!$A$16:$A$141,"&gt;="&amp;MAX(Q$7,$J30),Calendar!$A$16:$A$141,"&lt;="&amp;MIN(Q$7+4,$K30))=0,0,IF($H30="","EXT",SUMIFS(Calendar!$C$16:$C$141,Calendar!$A$16:$A$141,"&gt;="&amp;MAX(Q$7,$J30),Calendar!$A$16:$A$141,"&lt;="&amp;MIN(Q$7+4,$K30))*$H30/$G30)))</x:f>
        <x:v>0</x:v>
      </x:c>
      <x:c r="R30" s="45" t="n">
        <x:f>IF(OR($J30="",$K30=""),"",IF(SUMIFS(Calendar!$C$16:$C$141,Calendar!$A$16:$A$141,"&gt;="&amp;MAX(R$7,$J30),Calendar!$A$16:$A$141,"&lt;="&amp;MIN(R$7+4,$K30))=0,0,IF($H30="","EXT",SUMIFS(Calendar!$C$16:$C$141,Calendar!$A$16:$A$141,"&gt;="&amp;MAX(R$7,$J30),Calendar!$A$16:$A$141,"&lt;="&amp;MIN(R$7+4,$K30))*$H30/$G30)))</x:f>
        <x:v>0</x:v>
      </x:c>
      <x:c r="S30" s="45" t="n">
        <x:f>IF(OR($J30="",$K30=""),"",IF(SUMIFS(Calendar!$C$16:$C$141,Calendar!$A$16:$A$141,"&gt;="&amp;MAX(S$7,$J30),Calendar!$A$16:$A$141,"&lt;="&amp;MIN(S$7+4,$K30))=0,0,IF($H30="","EXT",SUMIFS(Calendar!$C$16:$C$141,Calendar!$A$16:$A$141,"&gt;="&amp;MAX(S$7,$J30),Calendar!$A$16:$A$141,"&lt;="&amp;MIN(S$7+4,$K30))*$H30/$G30)))</x:f>
        <x:v>0</x:v>
      </x:c>
      <x:c r="T30" s="45" t="n">
        <x:f>IF(OR($J30="",$K30=""),"",IF(SUMIFS(Calendar!$C$16:$C$141,Calendar!$A$16:$A$141,"&gt;="&amp;MAX(T$7,$J30),Calendar!$A$16:$A$141,"&lt;="&amp;MIN(T$7+4,$K30))=0,0,IF($H30="","EXT",SUMIFS(Calendar!$C$16:$C$141,Calendar!$A$16:$A$141,"&gt;="&amp;MAX(T$7,$J30),Calendar!$A$16:$A$141,"&lt;="&amp;MIN(T$7+4,$K30))*$H30/$G30)))</x:f>
        <x:v>0</x:v>
      </x:c>
      <x:c r="U30" s="45" t="n">
        <x:f>IF(OR($J30="",$K30=""),"",IF(SUMIFS(Calendar!$C$16:$C$141,Calendar!$A$16:$A$141,"&gt;="&amp;MAX(U$7,$J30),Calendar!$A$16:$A$141,"&lt;="&amp;MIN(U$7+4,$K30))=0,0,IF($H30="","EXT",SUMIFS(Calendar!$C$16:$C$141,Calendar!$A$16:$A$141,"&gt;="&amp;MAX(U$7,$J30),Calendar!$A$16:$A$141,"&lt;="&amp;MIN(U$7+4,$K30))*$H30/$G30)))</x:f>
        <x:v>0</x:v>
      </x:c>
      <x:c r="V30" s="45" t="n">
        <x:f>IF(OR($J30="",$K30=""),"",IF(SUMIFS(Calendar!$C$16:$C$141,Calendar!$A$16:$A$141,"&gt;="&amp;MAX(V$7,$J30),Calendar!$A$16:$A$141,"&lt;="&amp;MIN(V$7+4,$K30))=0,0,IF($H30="","EXT",SUMIFS(Calendar!$C$16:$C$141,Calendar!$A$16:$A$141,"&gt;="&amp;MAX(V$7,$J30),Calendar!$A$16:$A$141,"&lt;="&amp;MIN(V$7+4,$K30))*$H30/$G30)))</x:f>
        <x:v>0</x:v>
      </x:c>
      <x:c r="W30" s="45" t="n">
        <x:f>IF(OR($J30="",$K30=""),"",IF(SUMIFS(Calendar!$C$16:$C$141,Calendar!$A$16:$A$141,"&gt;="&amp;MAX(W$7,$J30),Calendar!$A$16:$A$141,"&lt;="&amp;MIN(W$7+4,$K30))=0,0,IF($H30="","EXT",SUMIFS(Calendar!$C$16:$C$141,Calendar!$A$16:$A$141,"&gt;="&amp;MAX(W$7,$J30),Calendar!$A$16:$A$141,"&lt;="&amp;MIN(W$7+4,$K30))*$H30/$G30)))</x:f>
        <x:v>0</x:v>
      </x:c>
      <x:c r="X30" s="45" t="n">
        <x:f>IF(OR($J30="",$K30=""),"",IF(SUMIFS(Calendar!$C$16:$C$141,Calendar!$A$16:$A$141,"&gt;="&amp;MAX(X$7,$J30),Calendar!$A$16:$A$141,"&lt;="&amp;MIN(X$7+4,$K30))=0,0,IF($H30="","EXT",SUMIFS(Calendar!$C$16:$C$141,Calendar!$A$16:$A$141,"&gt;="&amp;MAX(X$7,$J30),Calendar!$A$16:$A$141,"&lt;="&amp;MIN(X$7+4,$K30))*$H30/$G30)))</x:f>
        <x:v>0</x:v>
      </x:c>
      <x:c r="Y30" s="45" t="n">
        <x:f>IF(OR($J30="",$K30=""),"",IF(SUMIFS(Calendar!$C$16:$C$141,Calendar!$A$16:$A$141,"&gt;="&amp;MAX(Y$7,$J30),Calendar!$A$16:$A$141,"&lt;="&amp;MIN(Y$7+4,$K30))=0,0,IF($H30="","EXT",SUMIFS(Calendar!$C$16:$C$141,Calendar!$A$16:$A$141,"&gt;="&amp;MAX(Y$7,$J30),Calendar!$A$16:$A$141,"&lt;="&amp;MIN(Y$7+4,$K30))*$H30/$G30)))</x:f>
        <x:v>0</x:v>
      </x:c>
      <x:c r="Z30" s="45" t="n">
        <x:f>IF(OR($J30="",$K30=""),"",IF(SUMIFS(Calendar!$C$16:$C$141,Calendar!$A$16:$A$141,"&gt;="&amp;MAX(Z$7,$J30),Calendar!$A$16:$A$141,"&lt;="&amp;MIN(Z$7+4,$K30))=0,0,IF($H30="","EXT",SUMIFS(Calendar!$C$16:$C$141,Calendar!$A$16:$A$141,"&gt;="&amp;MAX(Z$7,$J30),Calendar!$A$16:$A$141,"&lt;="&amp;MIN(Z$7+4,$K30))*$H30/$G30)))</x:f>
        <x:v>0</x:v>
      </x:c>
      <x:c r="AA30" s="45" t="n">
        <x:f>IF(OR($J30="",$K30=""),"",IF(SUMIFS(Calendar!$C$16:$C$141,Calendar!$A$16:$A$141,"&gt;="&amp;MAX(AA$7,$J30),Calendar!$A$16:$A$141,"&lt;="&amp;MIN(AA$7+4,$K30))=0,0,IF($H30="","EXT",SUMIFS(Calendar!$C$16:$C$141,Calendar!$A$16:$A$141,"&gt;="&amp;MAX(AA$7,$J30),Calendar!$A$16:$A$141,"&lt;="&amp;MIN(AA$7+4,$K30))*$H30/$G30)))</x:f>
        <x:v>0</x:v>
      </x:c>
      <x:c r="AB30" s="45" t="n">
        <x:f>IF(OR($J30="",$K30=""),"",IF(SUMIFS(Calendar!$C$16:$C$141,Calendar!$A$16:$A$141,"&gt;="&amp;MAX(AB$7,$J30),Calendar!$A$16:$A$141,"&lt;="&amp;MIN(AB$7+4,$K30))=0,0,IF($H30="","EXT",SUMIFS(Calendar!$C$16:$C$141,Calendar!$A$16:$A$141,"&gt;="&amp;MAX(AB$7,$J30),Calendar!$A$16:$A$141,"&lt;="&amp;MIN(AB$7+4,$K30))*$H30/$G30)))</x:f>
        <x:v>0</x:v>
      </x:c>
      <x:c r="AC30" s="45" t="n">
        <x:f>IF(OR($J30="",$K30=""),"",IF(SUMIFS(Calendar!$C$16:$C$141,Calendar!$A$16:$A$141,"&gt;="&amp;MAX(AC$7,$J30),Calendar!$A$16:$A$141,"&lt;="&amp;MIN(AC$7+4,$K30))=0,0,IF($H30="","EXT",SUMIFS(Calendar!$C$16:$C$141,Calendar!$A$16:$A$141,"&gt;="&amp;MAX(AC$7,$J30),Calendar!$A$16:$A$141,"&lt;="&amp;MIN(AC$7+4,$K30))*$H30/$G30)))</x:f>
        <x:v>0</x:v>
      </x:c>
      <x:c r="AD30" s="45" t="n">
        <x:f>IF(OR($J30="",$K30=""),"",IF(SUMIFS(Calendar!$C$16:$C$141,Calendar!$A$16:$A$141,"&gt;="&amp;MAX(AD$7,$J30),Calendar!$A$16:$A$141,"&lt;="&amp;MIN(AD$7+4,$K30))=0,0,IF($H30="","EXT",SUMIFS(Calendar!$C$16:$C$141,Calendar!$A$16:$A$141,"&gt;="&amp;MAX(AD$7,$J30),Calendar!$A$16:$A$141,"&lt;="&amp;MIN(AD$7+4,$K30))*$H30/$G30)))</x:f>
        <x:v>0</x:v>
      </x:c>
      <x:c r="AE30" s="45" t="n">
        <x:f>IF(OR($J30="",$K30=""),"",IF(SUMIFS(Calendar!$C$16:$C$141,Calendar!$A$16:$A$141,"&gt;="&amp;MAX(AE$7,$J30),Calendar!$A$16:$A$141,"&lt;="&amp;MIN(AE$7+4,$K30))=0,0,IF($H30="","EXT",SUMIFS(Calendar!$C$16:$C$141,Calendar!$A$16:$A$141,"&gt;="&amp;MAX(AE$7,$J30),Calendar!$A$16:$A$141,"&lt;="&amp;MIN(AE$7+4,$K30))*$H30/$G30)))</x:f>
        <x:v>0</x:v>
      </x:c>
      <x:c r="AF30" s="8" t="n">
        <x:f>IF(OR(M30&lt;&gt;"Scheduled",INDEX('Team and Gates'!$C$7:$C$13,MATCH($D30,'Team and Gates'!$A$7:$A$13,0))=""),"CHECK",SUM(N30:AE30)*INDEX('Team and Gates'!$C$7:$C$13,MATCH($D30,'Team and Gates'!$A$7:$A$13,0)))</x:f>
        <x:v>720</x:v>
      </x:c>
      <x:c r="AG30" s="46" t="str">
        <x:v>Reviewed preparation artifact, mapped to FSD/AC and handoff checklist.</x:v>
      </x:c>
      <x:c r="AH30" s="46" t="str"/>
    </x:row>
    <x:row r="31" ht="45" customHeight="1">
      <x:c r="A31" s="39" t="str">
        <x:v>A03</x:v>
      </x:c>
      <x:c r="B31" s="39" t="str">
        <x:v>Async / Azure</x:v>
      </x:c>
      <x:c r="C31" s="47" t="str">
        <x:v>Environment promotion, rollback pipeline and durable-job foundation</x:v>
      </x:c>
      <x:c r="D31" s="26" t="str">
        <x:v>Dev 2</x:v>
      </x:c>
      <x:c r="E31" s="47" t="str">
        <x:v>A02</x:v>
      </x:c>
      <x:c r="F31" s="50" t="n">
        <x:v>11</x:v>
      </x:c>
      <x:c r="G31" s="50" t="n">
        <x:v>5</x:v>
      </x:c>
      <x:c r="H31" s="51" t="n">
        <x:v>1</x:v>
      </x:c>
      <x:c r="I31" s="39" t="n">
        <x:f>IF(OR(F31="",G31=""),"",F31+G31-1)</x:f>
        <x:v>15</x:v>
      </x:c>
      <x:c r="J31" s="41" t="n">
        <x:f>IF(OR(F31="",F31&lt;1,F31&gt;Calendar!$B$9),"",INDEX(Calendar!$A$16:$A$141,MATCH(F31,Calendar!$D$16:$D$141,0)))</x:f>
        <x:v>46342</x:v>
      </x:c>
      <x:c r="K31" s="41" t="n">
        <x:f>IF(OR(I31="",I31&lt;1,I31&gt;Calendar!$B$9),"",INDEX(Calendar!$A$16:$A$141,MATCH(I31,Calendar!$D$16:$D$141,0)))</x:f>
        <x:v>46346</x:v>
      </x:c>
      <x:c r="L31" s="53" t="n">
        <x:v>0</x:v>
      </x:c>
      <x:c r="M31" s="39" t="str">
        <x:f>IF(OR(F31="",G31="",H31=""),"Missing input",IF(OR(F31&lt;1,G31&lt;1,I31&gt;Calendar!$B$9),"Outside calendar",IF(F31&lt;MAX(INDEX($I$8:$I$157,MATCH("A02",$A$8:$A$157,0))+1),"Dependency conflict","Scheduled")))</x:f>
        <x:v>Scheduled</x:v>
      </x:c>
      <x:c r="N31" s="45" t="n">
        <x:f>IF(OR($J31="",$K31=""),"",IF(SUMIFS(Calendar!$C$16:$C$141,Calendar!$A$16:$A$141,"&gt;="&amp;MAX(N$7,$J31),Calendar!$A$16:$A$141,"&lt;="&amp;MIN(N$7+4,$K31))=0,0,IF($H31="","EXT",SUMIFS(Calendar!$C$16:$C$141,Calendar!$A$16:$A$141,"&gt;="&amp;MAX(N$7,$J31),Calendar!$A$16:$A$141,"&lt;="&amp;MIN(N$7+4,$K31))*$H31/$G31)))</x:f>
        <x:v>0</x:v>
      </x:c>
      <x:c r="O31" s="45" t="n">
        <x:f>IF(OR($J31="",$K31=""),"",IF(SUMIFS(Calendar!$C$16:$C$141,Calendar!$A$16:$A$141,"&gt;="&amp;MAX(O$7,$J31),Calendar!$A$16:$A$141,"&lt;="&amp;MIN(O$7+4,$K31))=0,0,IF($H31="","EXT",SUMIFS(Calendar!$C$16:$C$141,Calendar!$A$16:$A$141,"&gt;="&amp;MAX(O$7,$J31),Calendar!$A$16:$A$141,"&lt;="&amp;MIN(O$7+4,$K31))*$H31/$G31)))</x:f>
        <x:v>0</x:v>
      </x:c>
      <x:c r="P31" s="45" t="n">
        <x:f>IF(OR($J31="",$K31=""),"",IF(SUMIFS(Calendar!$C$16:$C$141,Calendar!$A$16:$A$141,"&gt;="&amp;MAX(P$7,$J31),Calendar!$A$16:$A$141,"&lt;="&amp;MIN(P$7+4,$K31))=0,0,IF($H31="","EXT",SUMIFS(Calendar!$C$16:$C$141,Calendar!$A$16:$A$141,"&gt;="&amp;MAX(P$7,$J31),Calendar!$A$16:$A$141,"&lt;="&amp;MIN(P$7+4,$K31))*$H31/$G31)))</x:f>
        <x:v>1</x:v>
      </x:c>
      <x:c r="Q31" s="45" t="n">
        <x:f>IF(OR($J31="",$K31=""),"",IF(SUMIFS(Calendar!$C$16:$C$141,Calendar!$A$16:$A$141,"&gt;="&amp;MAX(Q$7,$J31),Calendar!$A$16:$A$141,"&lt;="&amp;MIN(Q$7+4,$K31))=0,0,IF($H31="","EXT",SUMIFS(Calendar!$C$16:$C$141,Calendar!$A$16:$A$141,"&gt;="&amp;MAX(Q$7,$J31),Calendar!$A$16:$A$141,"&lt;="&amp;MIN(Q$7+4,$K31))*$H31/$G31)))</x:f>
        <x:v>0</x:v>
      </x:c>
      <x:c r="R31" s="45" t="n">
        <x:f>IF(OR($J31="",$K31=""),"",IF(SUMIFS(Calendar!$C$16:$C$141,Calendar!$A$16:$A$141,"&gt;="&amp;MAX(R$7,$J31),Calendar!$A$16:$A$141,"&lt;="&amp;MIN(R$7+4,$K31))=0,0,IF($H31="","EXT",SUMIFS(Calendar!$C$16:$C$141,Calendar!$A$16:$A$141,"&gt;="&amp;MAX(R$7,$J31),Calendar!$A$16:$A$141,"&lt;="&amp;MIN(R$7+4,$K31))*$H31/$G31)))</x:f>
        <x:v>0</x:v>
      </x:c>
      <x:c r="S31" s="45" t="n">
        <x:f>IF(OR($J31="",$K31=""),"",IF(SUMIFS(Calendar!$C$16:$C$141,Calendar!$A$16:$A$141,"&gt;="&amp;MAX(S$7,$J31),Calendar!$A$16:$A$141,"&lt;="&amp;MIN(S$7+4,$K31))=0,0,IF($H31="","EXT",SUMIFS(Calendar!$C$16:$C$141,Calendar!$A$16:$A$141,"&gt;="&amp;MAX(S$7,$J31),Calendar!$A$16:$A$141,"&lt;="&amp;MIN(S$7+4,$K31))*$H31/$G31)))</x:f>
        <x:v>0</x:v>
      </x:c>
      <x:c r="T31" s="45" t="n">
        <x:f>IF(OR($J31="",$K31=""),"",IF(SUMIFS(Calendar!$C$16:$C$141,Calendar!$A$16:$A$141,"&gt;="&amp;MAX(T$7,$J31),Calendar!$A$16:$A$141,"&lt;="&amp;MIN(T$7+4,$K31))=0,0,IF($H31="","EXT",SUMIFS(Calendar!$C$16:$C$141,Calendar!$A$16:$A$141,"&gt;="&amp;MAX(T$7,$J31),Calendar!$A$16:$A$141,"&lt;="&amp;MIN(T$7+4,$K31))*$H31/$G31)))</x:f>
        <x:v>0</x:v>
      </x:c>
      <x:c r="U31" s="45" t="n">
        <x:f>IF(OR($J31="",$K31=""),"",IF(SUMIFS(Calendar!$C$16:$C$141,Calendar!$A$16:$A$141,"&gt;="&amp;MAX(U$7,$J31),Calendar!$A$16:$A$141,"&lt;="&amp;MIN(U$7+4,$K31))=0,0,IF($H31="","EXT",SUMIFS(Calendar!$C$16:$C$141,Calendar!$A$16:$A$141,"&gt;="&amp;MAX(U$7,$J31),Calendar!$A$16:$A$141,"&lt;="&amp;MIN(U$7+4,$K31))*$H31/$G31)))</x:f>
        <x:v>0</x:v>
      </x:c>
      <x:c r="V31" s="45" t="n">
        <x:f>IF(OR($J31="",$K31=""),"",IF(SUMIFS(Calendar!$C$16:$C$141,Calendar!$A$16:$A$141,"&gt;="&amp;MAX(V$7,$J31),Calendar!$A$16:$A$141,"&lt;="&amp;MIN(V$7+4,$K31))=0,0,IF($H31="","EXT",SUMIFS(Calendar!$C$16:$C$141,Calendar!$A$16:$A$141,"&gt;="&amp;MAX(V$7,$J31),Calendar!$A$16:$A$141,"&lt;="&amp;MIN(V$7+4,$K31))*$H31/$G31)))</x:f>
        <x:v>0</x:v>
      </x:c>
      <x:c r="W31" s="45" t="n">
        <x:f>IF(OR($J31="",$K31=""),"",IF(SUMIFS(Calendar!$C$16:$C$141,Calendar!$A$16:$A$141,"&gt;="&amp;MAX(W$7,$J31),Calendar!$A$16:$A$141,"&lt;="&amp;MIN(W$7+4,$K31))=0,0,IF($H31="","EXT",SUMIFS(Calendar!$C$16:$C$141,Calendar!$A$16:$A$141,"&gt;="&amp;MAX(W$7,$J31),Calendar!$A$16:$A$141,"&lt;="&amp;MIN(W$7+4,$K31))*$H31/$G31)))</x:f>
        <x:v>0</x:v>
      </x:c>
      <x:c r="X31" s="45" t="n">
        <x:f>IF(OR($J31="",$K31=""),"",IF(SUMIFS(Calendar!$C$16:$C$141,Calendar!$A$16:$A$141,"&gt;="&amp;MAX(X$7,$J31),Calendar!$A$16:$A$141,"&lt;="&amp;MIN(X$7+4,$K31))=0,0,IF($H31="","EXT",SUMIFS(Calendar!$C$16:$C$141,Calendar!$A$16:$A$141,"&gt;="&amp;MAX(X$7,$J31),Calendar!$A$16:$A$141,"&lt;="&amp;MIN(X$7+4,$K31))*$H31/$G31)))</x:f>
        <x:v>0</x:v>
      </x:c>
      <x:c r="Y31" s="45" t="n">
        <x:f>IF(OR($J31="",$K31=""),"",IF(SUMIFS(Calendar!$C$16:$C$141,Calendar!$A$16:$A$141,"&gt;="&amp;MAX(Y$7,$J31),Calendar!$A$16:$A$141,"&lt;="&amp;MIN(Y$7+4,$K31))=0,0,IF($H31="","EXT",SUMIFS(Calendar!$C$16:$C$141,Calendar!$A$16:$A$141,"&gt;="&amp;MAX(Y$7,$J31),Calendar!$A$16:$A$141,"&lt;="&amp;MIN(Y$7+4,$K31))*$H31/$G31)))</x:f>
        <x:v>0</x:v>
      </x:c>
      <x:c r="Z31" s="45" t="n">
        <x:f>IF(OR($J31="",$K31=""),"",IF(SUMIFS(Calendar!$C$16:$C$141,Calendar!$A$16:$A$141,"&gt;="&amp;MAX(Z$7,$J31),Calendar!$A$16:$A$141,"&lt;="&amp;MIN(Z$7+4,$K31))=0,0,IF($H31="","EXT",SUMIFS(Calendar!$C$16:$C$141,Calendar!$A$16:$A$141,"&gt;="&amp;MAX(Z$7,$J31),Calendar!$A$16:$A$141,"&lt;="&amp;MIN(Z$7+4,$K31))*$H31/$G31)))</x:f>
        <x:v>0</x:v>
      </x:c>
      <x:c r="AA31" s="45" t="n">
        <x:f>IF(OR($J31="",$K31=""),"",IF(SUMIFS(Calendar!$C$16:$C$141,Calendar!$A$16:$A$141,"&gt;="&amp;MAX(AA$7,$J31),Calendar!$A$16:$A$141,"&lt;="&amp;MIN(AA$7+4,$K31))=0,0,IF($H31="","EXT",SUMIFS(Calendar!$C$16:$C$141,Calendar!$A$16:$A$141,"&gt;="&amp;MAX(AA$7,$J31),Calendar!$A$16:$A$141,"&lt;="&amp;MIN(AA$7+4,$K31))*$H31/$G31)))</x:f>
        <x:v>0</x:v>
      </x:c>
      <x:c r="AB31" s="45" t="n">
        <x:f>IF(OR($J31="",$K31=""),"",IF(SUMIFS(Calendar!$C$16:$C$141,Calendar!$A$16:$A$141,"&gt;="&amp;MAX(AB$7,$J31),Calendar!$A$16:$A$141,"&lt;="&amp;MIN(AB$7+4,$K31))=0,0,IF($H31="","EXT",SUMIFS(Calendar!$C$16:$C$141,Calendar!$A$16:$A$141,"&gt;="&amp;MAX(AB$7,$J31),Calendar!$A$16:$A$141,"&lt;="&amp;MIN(AB$7+4,$K31))*$H31/$G31)))</x:f>
        <x:v>0</x:v>
      </x:c>
      <x:c r="AC31" s="45" t="n">
        <x:f>IF(OR($J31="",$K31=""),"",IF(SUMIFS(Calendar!$C$16:$C$141,Calendar!$A$16:$A$141,"&gt;="&amp;MAX(AC$7,$J31),Calendar!$A$16:$A$141,"&lt;="&amp;MIN(AC$7+4,$K31))=0,0,IF($H31="","EXT",SUMIFS(Calendar!$C$16:$C$141,Calendar!$A$16:$A$141,"&gt;="&amp;MAX(AC$7,$J31),Calendar!$A$16:$A$141,"&lt;="&amp;MIN(AC$7+4,$K31))*$H31/$G31)))</x:f>
        <x:v>0</x:v>
      </x:c>
      <x:c r="AD31" s="45" t="n">
        <x:f>IF(OR($J31="",$K31=""),"",IF(SUMIFS(Calendar!$C$16:$C$141,Calendar!$A$16:$A$141,"&gt;="&amp;MAX(AD$7,$J31),Calendar!$A$16:$A$141,"&lt;="&amp;MIN(AD$7+4,$K31))=0,0,IF($H31="","EXT",SUMIFS(Calendar!$C$16:$C$141,Calendar!$A$16:$A$141,"&gt;="&amp;MAX(AD$7,$J31),Calendar!$A$16:$A$141,"&lt;="&amp;MIN(AD$7+4,$K31))*$H31/$G31)))</x:f>
        <x:v>0</x:v>
      </x:c>
      <x:c r="AE31" s="45" t="n">
        <x:f>IF(OR($J31="",$K31=""),"",IF(SUMIFS(Calendar!$C$16:$C$141,Calendar!$A$16:$A$141,"&gt;="&amp;MAX(AE$7,$J31),Calendar!$A$16:$A$141,"&lt;="&amp;MIN(AE$7+4,$K31))=0,0,IF($H31="","EXT",SUMIFS(Calendar!$C$16:$C$141,Calendar!$A$16:$A$141,"&gt;="&amp;MAX(AE$7,$J31),Calendar!$A$16:$A$141,"&lt;="&amp;MIN(AE$7+4,$K31))*$H31/$G31)))</x:f>
        <x:v>0</x:v>
      </x:c>
      <x:c r="AF31" s="8" t="n">
        <x:f>IF(OR(M31&lt;&gt;"Scheduled",INDEX('Team and Gates'!$C$7:$C$13,MATCH($D31,'Team and Gates'!$A$7:$A$13,0))=""),"CHECK",SUM(N31:AE31)*INDEX('Team and Gates'!$C$7:$C$13,MATCH($D31,'Team and Gates'!$A$7:$A$13,0)))</x:f>
        <x:v>360</x:v>
      </x:c>
      <x:c r="AG31" s="46" t="str">
        <x:v>GitHub Actions builds one Java image, deploys test, exercises failure propagation and rollback with Azure OIDC.</x:v>
      </x:c>
      <x:c r="AH31" s="46" t="str"/>
    </x:row>
    <x:row r="32" ht="45" customHeight="1">
      <x:c r="A32" s="2" t="str">
        <x:v>A04</x:v>
      </x:c>
      <x:c r="B32" s="2" t="str">
        <x:v>Async / Azure</x:v>
      </x:c>
      <x:c r="C32" s="46" t="str">
        <x:v>AI-assisted coding: mailbox delta sync, deduplication and job leases</x:v>
      </x:c>
      <x:c r="D32" s="26" t="str">
        <x:v>Dev 2</x:v>
      </x:c>
      <x:c r="E32" s="46" t="str">
        <x:v>BA03, F03</x:v>
      </x:c>
      <x:c r="F32" s="50" t="n">
        <x:v>11</x:v>
      </x:c>
      <x:c r="G32" s="50" t="n">
        <x:v>5</x:v>
      </x:c>
      <x:c r="H32" s="51" t="n">
        <x:v>3</x:v>
      </x:c>
      <x:c r="I32" s="2" t="n">
        <x:f>IF(OR(F32="",G32=""),"",F32+G32-1)</x:f>
        <x:v>15</x:v>
      </x:c>
      <x:c r="J32" s="5" t="n">
        <x:f>IF(OR(F32="",F32&lt;1,F32&gt;Calendar!$B$9),"",INDEX(Calendar!$A$16:$A$141,MATCH(F32,Calendar!$D$16:$D$141,0)))</x:f>
        <x:v>46342</x:v>
      </x:c>
      <x:c r="K32" s="5" t="n">
        <x:f>IF(OR(I32="",I32&lt;1,I32&gt;Calendar!$B$9),"",INDEX(Calendar!$A$16:$A$141,MATCH(I32,Calendar!$D$16:$D$141,0)))</x:f>
        <x:v>46346</x:v>
      </x:c>
      <x:c r="L32" s="53" t="n">
        <x:v>0</x:v>
      </x:c>
      <x:c r="M32" s="2" t="str">
        <x:f>IF(OR(F32="",G32="",H32=""),"Missing input",IF(OR(F32&lt;1,G32&lt;1,I32&gt;Calendar!$B$9),"Outside calendar",IF(F32&lt;MAX(INDEX($I$8:$I$157,MATCH("BA03",$A$8:$A$157,0))+1,INDEX($I$8:$I$157,MATCH("F03",$A$8:$A$157,0))+1),"Dependency conflict","Scheduled")))</x:f>
        <x:v>Scheduled</x:v>
      </x:c>
      <x:c r="N32" s="45" t="n">
        <x:f>IF(OR($J32="",$K32=""),"",IF(SUMIFS(Calendar!$C$16:$C$141,Calendar!$A$16:$A$141,"&gt;="&amp;MAX(N$7,$J32),Calendar!$A$16:$A$141,"&lt;="&amp;MIN(N$7+4,$K32))=0,0,IF($H32="","EXT",SUMIFS(Calendar!$C$16:$C$141,Calendar!$A$16:$A$141,"&gt;="&amp;MAX(N$7,$J32),Calendar!$A$16:$A$141,"&lt;="&amp;MIN(N$7+4,$K32))*$H32/$G32)))</x:f>
        <x:v>0</x:v>
      </x:c>
      <x:c r="O32" s="45" t="n">
        <x:f>IF(OR($J32="",$K32=""),"",IF(SUMIFS(Calendar!$C$16:$C$141,Calendar!$A$16:$A$141,"&gt;="&amp;MAX(O$7,$J32),Calendar!$A$16:$A$141,"&lt;="&amp;MIN(O$7+4,$K32))=0,0,IF($H32="","EXT",SUMIFS(Calendar!$C$16:$C$141,Calendar!$A$16:$A$141,"&gt;="&amp;MAX(O$7,$J32),Calendar!$A$16:$A$141,"&lt;="&amp;MIN(O$7+4,$K32))*$H32/$G32)))</x:f>
        <x:v>0</x:v>
      </x:c>
      <x:c r="P32" s="45" t="n">
        <x:f>IF(OR($J32="",$K32=""),"",IF(SUMIFS(Calendar!$C$16:$C$141,Calendar!$A$16:$A$141,"&gt;="&amp;MAX(P$7,$J32),Calendar!$A$16:$A$141,"&lt;="&amp;MIN(P$7+4,$K32))=0,0,IF($H32="","EXT",SUMIFS(Calendar!$C$16:$C$141,Calendar!$A$16:$A$141,"&gt;="&amp;MAX(P$7,$J32),Calendar!$A$16:$A$141,"&lt;="&amp;MIN(P$7+4,$K32))*$H32/$G32)))</x:f>
        <x:v>3</x:v>
      </x:c>
      <x:c r="Q32" s="45" t="n">
        <x:f>IF(OR($J32="",$K32=""),"",IF(SUMIFS(Calendar!$C$16:$C$141,Calendar!$A$16:$A$141,"&gt;="&amp;MAX(Q$7,$J32),Calendar!$A$16:$A$141,"&lt;="&amp;MIN(Q$7+4,$K32))=0,0,IF($H32="","EXT",SUMIFS(Calendar!$C$16:$C$141,Calendar!$A$16:$A$141,"&gt;="&amp;MAX(Q$7,$J32),Calendar!$A$16:$A$141,"&lt;="&amp;MIN(Q$7+4,$K32))*$H32/$G32)))</x:f>
        <x:v>0</x:v>
      </x:c>
      <x:c r="R32" s="45" t="n">
        <x:f>IF(OR($J32="",$K32=""),"",IF(SUMIFS(Calendar!$C$16:$C$141,Calendar!$A$16:$A$141,"&gt;="&amp;MAX(R$7,$J32),Calendar!$A$16:$A$141,"&lt;="&amp;MIN(R$7+4,$K32))=0,0,IF($H32="","EXT",SUMIFS(Calendar!$C$16:$C$141,Calendar!$A$16:$A$141,"&gt;="&amp;MAX(R$7,$J32),Calendar!$A$16:$A$141,"&lt;="&amp;MIN(R$7+4,$K32))*$H32/$G32)))</x:f>
        <x:v>0</x:v>
      </x:c>
      <x:c r="S32" s="45" t="n">
        <x:f>IF(OR($J32="",$K32=""),"",IF(SUMIFS(Calendar!$C$16:$C$141,Calendar!$A$16:$A$141,"&gt;="&amp;MAX(S$7,$J32),Calendar!$A$16:$A$141,"&lt;="&amp;MIN(S$7+4,$K32))=0,0,IF($H32="","EXT",SUMIFS(Calendar!$C$16:$C$141,Calendar!$A$16:$A$141,"&gt;="&amp;MAX(S$7,$J32),Calendar!$A$16:$A$141,"&lt;="&amp;MIN(S$7+4,$K32))*$H32/$G32)))</x:f>
        <x:v>0</x:v>
      </x:c>
      <x:c r="T32" s="45" t="n">
        <x:f>IF(OR($J32="",$K32=""),"",IF(SUMIFS(Calendar!$C$16:$C$141,Calendar!$A$16:$A$141,"&gt;="&amp;MAX(T$7,$J32),Calendar!$A$16:$A$141,"&lt;="&amp;MIN(T$7+4,$K32))=0,0,IF($H32="","EXT",SUMIFS(Calendar!$C$16:$C$141,Calendar!$A$16:$A$141,"&gt;="&amp;MAX(T$7,$J32),Calendar!$A$16:$A$141,"&lt;="&amp;MIN(T$7+4,$K32))*$H32/$G32)))</x:f>
        <x:v>0</x:v>
      </x:c>
      <x:c r="U32" s="45" t="n">
        <x:f>IF(OR($J32="",$K32=""),"",IF(SUMIFS(Calendar!$C$16:$C$141,Calendar!$A$16:$A$141,"&gt;="&amp;MAX(U$7,$J32),Calendar!$A$16:$A$141,"&lt;="&amp;MIN(U$7+4,$K32))=0,0,IF($H32="","EXT",SUMIFS(Calendar!$C$16:$C$141,Calendar!$A$16:$A$141,"&gt;="&amp;MAX(U$7,$J32),Calendar!$A$16:$A$141,"&lt;="&amp;MIN(U$7+4,$K32))*$H32/$G32)))</x:f>
        <x:v>0</x:v>
      </x:c>
      <x:c r="V32" s="45" t="n">
        <x:f>IF(OR($J32="",$K32=""),"",IF(SUMIFS(Calendar!$C$16:$C$141,Calendar!$A$16:$A$141,"&gt;="&amp;MAX(V$7,$J32),Calendar!$A$16:$A$141,"&lt;="&amp;MIN(V$7+4,$K32))=0,0,IF($H32="","EXT",SUMIFS(Calendar!$C$16:$C$141,Calendar!$A$16:$A$141,"&gt;="&amp;MAX(V$7,$J32),Calendar!$A$16:$A$141,"&lt;="&amp;MIN(V$7+4,$K32))*$H32/$G32)))</x:f>
        <x:v>0</x:v>
      </x:c>
      <x:c r="W32" s="45" t="n">
        <x:f>IF(OR($J32="",$K32=""),"",IF(SUMIFS(Calendar!$C$16:$C$141,Calendar!$A$16:$A$141,"&gt;="&amp;MAX(W$7,$J32),Calendar!$A$16:$A$141,"&lt;="&amp;MIN(W$7+4,$K32))=0,0,IF($H32="","EXT",SUMIFS(Calendar!$C$16:$C$141,Calendar!$A$16:$A$141,"&gt;="&amp;MAX(W$7,$J32),Calendar!$A$16:$A$141,"&lt;="&amp;MIN(W$7+4,$K32))*$H32/$G32)))</x:f>
        <x:v>0</x:v>
      </x:c>
      <x:c r="X32" s="45" t="n">
        <x:f>IF(OR($J32="",$K32=""),"",IF(SUMIFS(Calendar!$C$16:$C$141,Calendar!$A$16:$A$141,"&gt;="&amp;MAX(X$7,$J32),Calendar!$A$16:$A$141,"&lt;="&amp;MIN(X$7+4,$K32))=0,0,IF($H32="","EXT",SUMIFS(Calendar!$C$16:$C$141,Calendar!$A$16:$A$141,"&gt;="&amp;MAX(X$7,$J32),Calendar!$A$16:$A$141,"&lt;="&amp;MIN(X$7+4,$K32))*$H32/$G32)))</x:f>
        <x:v>0</x:v>
      </x:c>
      <x:c r="Y32" s="45" t="n">
        <x:f>IF(OR($J32="",$K32=""),"",IF(SUMIFS(Calendar!$C$16:$C$141,Calendar!$A$16:$A$141,"&gt;="&amp;MAX(Y$7,$J32),Calendar!$A$16:$A$141,"&lt;="&amp;MIN(Y$7+4,$K32))=0,0,IF($H32="","EXT",SUMIFS(Calendar!$C$16:$C$141,Calendar!$A$16:$A$141,"&gt;="&amp;MAX(Y$7,$J32),Calendar!$A$16:$A$141,"&lt;="&amp;MIN(Y$7+4,$K32))*$H32/$G32)))</x:f>
        <x:v>0</x:v>
      </x:c>
      <x:c r="Z32" s="45" t="n">
        <x:f>IF(OR($J32="",$K32=""),"",IF(SUMIFS(Calendar!$C$16:$C$141,Calendar!$A$16:$A$141,"&gt;="&amp;MAX(Z$7,$J32),Calendar!$A$16:$A$141,"&lt;="&amp;MIN(Z$7+4,$K32))=0,0,IF($H32="","EXT",SUMIFS(Calendar!$C$16:$C$141,Calendar!$A$16:$A$141,"&gt;="&amp;MAX(Z$7,$J32),Calendar!$A$16:$A$141,"&lt;="&amp;MIN(Z$7+4,$K32))*$H32/$G32)))</x:f>
        <x:v>0</x:v>
      </x:c>
      <x:c r="AA32" s="45" t="n">
        <x:f>IF(OR($J32="",$K32=""),"",IF(SUMIFS(Calendar!$C$16:$C$141,Calendar!$A$16:$A$141,"&gt;="&amp;MAX(AA$7,$J32),Calendar!$A$16:$A$141,"&lt;="&amp;MIN(AA$7+4,$K32))=0,0,IF($H32="","EXT",SUMIFS(Calendar!$C$16:$C$141,Calendar!$A$16:$A$141,"&gt;="&amp;MAX(AA$7,$J32),Calendar!$A$16:$A$141,"&lt;="&amp;MIN(AA$7+4,$K32))*$H32/$G32)))</x:f>
        <x:v>0</x:v>
      </x:c>
      <x:c r="AB32" s="45" t="n">
        <x:f>IF(OR($J32="",$K32=""),"",IF(SUMIFS(Calendar!$C$16:$C$141,Calendar!$A$16:$A$141,"&gt;="&amp;MAX(AB$7,$J32),Calendar!$A$16:$A$141,"&lt;="&amp;MIN(AB$7+4,$K32))=0,0,IF($H32="","EXT",SUMIFS(Calendar!$C$16:$C$141,Calendar!$A$16:$A$141,"&gt;="&amp;MAX(AB$7,$J32),Calendar!$A$16:$A$141,"&lt;="&amp;MIN(AB$7+4,$K32))*$H32/$G32)))</x:f>
        <x:v>0</x:v>
      </x:c>
      <x:c r="AC32" s="45" t="n">
        <x:f>IF(OR($J32="",$K32=""),"",IF(SUMIFS(Calendar!$C$16:$C$141,Calendar!$A$16:$A$141,"&gt;="&amp;MAX(AC$7,$J32),Calendar!$A$16:$A$141,"&lt;="&amp;MIN(AC$7+4,$K32))=0,0,IF($H32="","EXT",SUMIFS(Calendar!$C$16:$C$141,Calendar!$A$16:$A$141,"&gt;="&amp;MAX(AC$7,$J32),Calendar!$A$16:$A$141,"&lt;="&amp;MIN(AC$7+4,$K32))*$H32/$G32)))</x:f>
        <x:v>0</x:v>
      </x:c>
      <x:c r="AD32" s="45" t="n">
        <x:f>IF(OR($J32="",$K32=""),"",IF(SUMIFS(Calendar!$C$16:$C$141,Calendar!$A$16:$A$141,"&gt;="&amp;MAX(AD$7,$J32),Calendar!$A$16:$A$141,"&lt;="&amp;MIN(AD$7+4,$K32))=0,0,IF($H32="","EXT",SUMIFS(Calendar!$C$16:$C$141,Calendar!$A$16:$A$141,"&gt;="&amp;MAX(AD$7,$J32),Calendar!$A$16:$A$141,"&lt;="&amp;MIN(AD$7+4,$K32))*$H32/$G32)))</x:f>
        <x:v>0</x:v>
      </x:c>
      <x:c r="AE32" s="45" t="n">
        <x:f>IF(OR($J32="",$K32=""),"",IF(SUMIFS(Calendar!$C$16:$C$141,Calendar!$A$16:$A$141,"&gt;="&amp;MAX(AE$7,$J32),Calendar!$A$16:$A$141,"&lt;="&amp;MIN(AE$7+4,$K32))=0,0,IF($H32="","EXT",SUMIFS(Calendar!$C$16:$C$141,Calendar!$A$16:$A$141,"&gt;="&amp;MAX(AE$7,$J32),Calendar!$A$16:$A$141,"&lt;="&amp;MIN(AE$7+4,$K32))*$H32/$G32)))</x:f>
        <x:v>0</x:v>
      </x:c>
      <x:c r="AF32" s="8" t="n">
        <x:f>IF(OR(M32&lt;&gt;"Scheduled",INDEX('Team and Gates'!$C$7:$C$13,MATCH($D32,'Team and Gates'!$A$7:$A$13,0))=""),"CHECK",SUM(N32:AE32)*INDEX('Team and Gates'!$C$7:$C$13,MATCH($D32,'Team and Gates'!$A$7:$A$13,0)))</x:f>
        <x:v>1080</x:v>
      </x:c>
      <x:c r="AG32" s="46" t="str">
        <x:v>Developer checks and positive/negative acceptance examples pass; review AI-generated code before handoff.</x:v>
      </x:c>
      <x:c r="AH32" s="46" t="str">
        <x:v>Three-week feature implementation window after FSD signoff; use Codex with developer review and continuous tests.</x:v>
      </x:c>
    </x:row>
    <x:row r="33" ht="45" customHeight="1">
      <x:c r="A33" s="39" t="str">
        <x:v>A05</x:v>
      </x:c>
      <x:c r="B33" s="39" t="str">
        <x:v>Async / Azure</x:v>
      </x:c>
      <x:c r="C33" s="47" t="str">
        <x:v>AI-assisted coding: intent/Case matching and Foundry adapters</x:v>
      </x:c>
      <x:c r="D33" s="26" t="str">
        <x:v>Dev 2</x:v>
      </x:c>
      <x:c r="E33" s="47" t="str">
        <x:v>A04</x:v>
      </x:c>
      <x:c r="F33" s="50" t="n">
        <x:v>16</x:v>
      </x:c>
      <x:c r="G33" s="50" t="n">
        <x:v>5</x:v>
      </x:c>
      <x:c r="H33" s="51" t="n">
        <x:v>4</x:v>
      </x:c>
      <x:c r="I33" s="39" t="n">
        <x:f>IF(OR(F33="",G33=""),"",F33+G33-1)</x:f>
        <x:v>20</x:v>
      </x:c>
      <x:c r="J33" s="41" t="n">
        <x:f>IF(OR(F33="",F33&lt;1,F33&gt;Calendar!$B$9),"",INDEX(Calendar!$A$16:$A$141,MATCH(F33,Calendar!$D$16:$D$141,0)))</x:f>
        <x:v>46349</x:v>
      </x:c>
      <x:c r="K33" s="41" t="n">
        <x:f>IF(OR(I33="",I33&lt;1,I33&gt;Calendar!$B$9),"",INDEX(Calendar!$A$16:$A$141,MATCH(I33,Calendar!$D$16:$D$141,0)))</x:f>
        <x:v>46353</x:v>
      </x:c>
      <x:c r="L33" s="53" t="n">
        <x:v>0</x:v>
      </x:c>
      <x:c r="M33" s="39" t="str">
        <x:f>IF(OR(F33="",G33="",H33=""),"Missing input",IF(OR(F33&lt;1,G33&lt;1,I33&gt;Calendar!$B$9),"Outside calendar",IF(F33&lt;MAX(INDEX($I$8:$I$157,MATCH("A04",$A$8:$A$157,0))+1),"Dependency conflict","Scheduled")))</x:f>
        <x:v>Scheduled</x:v>
      </x:c>
      <x:c r="N33" s="45" t="n">
        <x:f>IF(OR($J33="",$K33=""),"",IF(SUMIFS(Calendar!$C$16:$C$141,Calendar!$A$16:$A$141,"&gt;="&amp;MAX(N$7,$J33),Calendar!$A$16:$A$141,"&lt;="&amp;MIN(N$7+4,$K33))=0,0,IF($H33="","EXT",SUMIFS(Calendar!$C$16:$C$141,Calendar!$A$16:$A$141,"&gt;="&amp;MAX(N$7,$J33),Calendar!$A$16:$A$141,"&lt;="&amp;MIN(N$7+4,$K33))*$H33/$G33)))</x:f>
        <x:v>0</x:v>
      </x:c>
      <x:c r="O33" s="45" t="n">
        <x:f>IF(OR($J33="",$K33=""),"",IF(SUMIFS(Calendar!$C$16:$C$141,Calendar!$A$16:$A$141,"&gt;="&amp;MAX(O$7,$J33),Calendar!$A$16:$A$141,"&lt;="&amp;MIN(O$7+4,$K33))=0,0,IF($H33="","EXT",SUMIFS(Calendar!$C$16:$C$141,Calendar!$A$16:$A$141,"&gt;="&amp;MAX(O$7,$J33),Calendar!$A$16:$A$141,"&lt;="&amp;MIN(O$7+4,$K33))*$H33/$G33)))</x:f>
        <x:v>0</x:v>
      </x:c>
      <x:c r="P33" s="45" t="n">
        <x:f>IF(OR($J33="",$K33=""),"",IF(SUMIFS(Calendar!$C$16:$C$141,Calendar!$A$16:$A$141,"&gt;="&amp;MAX(P$7,$J33),Calendar!$A$16:$A$141,"&lt;="&amp;MIN(P$7+4,$K33))=0,0,IF($H33="","EXT",SUMIFS(Calendar!$C$16:$C$141,Calendar!$A$16:$A$141,"&gt;="&amp;MAX(P$7,$J33),Calendar!$A$16:$A$141,"&lt;="&amp;MIN(P$7+4,$K33))*$H33/$G33)))</x:f>
        <x:v>0</x:v>
      </x:c>
      <x:c r="Q33" s="45" t="n">
        <x:f>IF(OR($J33="",$K33=""),"",IF(SUMIFS(Calendar!$C$16:$C$141,Calendar!$A$16:$A$141,"&gt;="&amp;MAX(Q$7,$J33),Calendar!$A$16:$A$141,"&lt;="&amp;MIN(Q$7+4,$K33))=0,0,IF($H33="","EXT",SUMIFS(Calendar!$C$16:$C$141,Calendar!$A$16:$A$141,"&gt;="&amp;MAX(Q$7,$J33),Calendar!$A$16:$A$141,"&lt;="&amp;MIN(Q$7+4,$K33))*$H33/$G33)))</x:f>
        <x:v>4</x:v>
      </x:c>
      <x:c r="R33" s="45" t="n">
        <x:f>IF(OR($J33="",$K33=""),"",IF(SUMIFS(Calendar!$C$16:$C$141,Calendar!$A$16:$A$141,"&gt;="&amp;MAX(R$7,$J33),Calendar!$A$16:$A$141,"&lt;="&amp;MIN(R$7+4,$K33))=0,0,IF($H33="","EXT",SUMIFS(Calendar!$C$16:$C$141,Calendar!$A$16:$A$141,"&gt;="&amp;MAX(R$7,$J33),Calendar!$A$16:$A$141,"&lt;="&amp;MIN(R$7+4,$K33))*$H33/$G33)))</x:f>
        <x:v>0</x:v>
      </x:c>
      <x:c r="S33" s="45" t="n">
        <x:f>IF(OR($J33="",$K33=""),"",IF(SUMIFS(Calendar!$C$16:$C$141,Calendar!$A$16:$A$141,"&gt;="&amp;MAX(S$7,$J33),Calendar!$A$16:$A$141,"&lt;="&amp;MIN(S$7+4,$K33))=0,0,IF($H33="","EXT",SUMIFS(Calendar!$C$16:$C$141,Calendar!$A$16:$A$141,"&gt;="&amp;MAX(S$7,$J33),Calendar!$A$16:$A$141,"&lt;="&amp;MIN(S$7+4,$K33))*$H33/$G33)))</x:f>
        <x:v>0</x:v>
      </x:c>
      <x:c r="T33" s="45" t="n">
        <x:f>IF(OR($J33="",$K33=""),"",IF(SUMIFS(Calendar!$C$16:$C$141,Calendar!$A$16:$A$141,"&gt;="&amp;MAX(T$7,$J33),Calendar!$A$16:$A$141,"&lt;="&amp;MIN(T$7+4,$K33))=0,0,IF($H33="","EXT",SUMIFS(Calendar!$C$16:$C$141,Calendar!$A$16:$A$141,"&gt;="&amp;MAX(T$7,$J33),Calendar!$A$16:$A$141,"&lt;="&amp;MIN(T$7+4,$K33))*$H33/$G33)))</x:f>
        <x:v>0</x:v>
      </x:c>
      <x:c r="U33" s="45" t="n">
        <x:f>IF(OR($J33="",$K33=""),"",IF(SUMIFS(Calendar!$C$16:$C$141,Calendar!$A$16:$A$141,"&gt;="&amp;MAX(U$7,$J33),Calendar!$A$16:$A$141,"&lt;="&amp;MIN(U$7+4,$K33))=0,0,IF($H33="","EXT",SUMIFS(Calendar!$C$16:$C$141,Calendar!$A$16:$A$141,"&gt;="&amp;MAX(U$7,$J33),Calendar!$A$16:$A$141,"&lt;="&amp;MIN(U$7+4,$K33))*$H33/$G33)))</x:f>
        <x:v>0</x:v>
      </x:c>
      <x:c r="V33" s="45" t="n">
        <x:f>IF(OR($J33="",$K33=""),"",IF(SUMIFS(Calendar!$C$16:$C$141,Calendar!$A$16:$A$141,"&gt;="&amp;MAX(V$7,$J33),Calendar!$A$16:$A$141,"&lt;="&amp;MIN(V$7+4,$K33))=0,0,IF($H33="","EXT",SUMIFS(Calendar!$C$16:$C$141,Calendar!$A$16:$A$141,"&gt;="&amp;MAX(V$7,$J33),Calendar!$A$16:$A$141,"&lt;="&amp;MIN(V$7+4,$K33))*$H33/$G33)))</x:f>
        <x:v>0</x:v>
      </x:c>
      <x:c r="W33" s="45" t="n">
        <x:f>IF(OR($J33="",$K33=""),"",IF(SUMIFS(Calendar!$C$16:$C$141,Calendar!$A$16:$A$141,"&gt;="&amp;MAX(W$7,$J33),Calendar!$A$16:$A$141,"&lt;="&amp;MIN(W$7+4,$K33))=0,0,IF($H33="","EXT",SUMIFS(Calendar!$C$16:$C$141,Calendar!$A$16:$A$141,"&gt;="&amp;MAX(W$7,$J33),Calendar!$A$16:$A$141,"&lt;="&amp;MIN(W$7+4,$K33))*$H33/$G33)))</x:f>
        <x:v>0</x:v>
      </x:c>
      <x:c r="X33" s="45" t="n">
        <x:f>IF(OR($J33="",$K33=""),"",IF(SUMIFS(Calendar!$C$16:$C$141,Calendar!$A$16:$A$141,"&gt;="&amp;MAX(X$7,$J33),Calendar!$A$16:$A$141,"&lt;="&amp;MIN(X$7+4,$K33))=0,0,IF($H33="","EXT",SUMIFS(Calendar!$C$16:$C$141,Calendar!$A$16:$A$141,"&gt;="&amp;MAX(X$7,$J33),Calendar!$A$16:$A$141,"&lt;="&amp;MIN(X$7+4,$K33))*$H33/$G33)))</x:f>
        <x:v>0</x:v>
      </x:c>
      <x:c r="Y33" s="45" t="n">
        <x:f>IF(OR($J33="",$K33=""),"",IF(SUMIFS(Calendar!$C$16:$C$141,Calendar!$A$16:$A$141,"&gt;="&amp;MAX(Y$7,$J33),Calendar!$A$16:$A$141,"&lt;="&amp;MIN(Y$7+4,$K33))=0,0,IF($H33="","EXT",SUMIFS(Calendar!$C$16:$C$141,Calendar!$A$16:$A$141,"&gt;="&amp;MAX(Y$7,$J33),Calendar!$A$16:$A$141,"&lt;="&amp;MIN(Y$7+4,$K33))*$H33/$G33)))</x:f>
        <x:v>0</x:v>
      </x:c>
      <x:c r="Z33" s="45" t="n">
        <x:f>IF(OR($J33="",$K33=""),"",IF(SUMIFS(Calendar!$C$16:$C$141,Calendar!$A$16:$A$141,"&gt;="&amp;MAX(Z$7,$J33),Calendar!$A$16:$A$141,"&lt;="&amp;MIN(Z$7+4,$K33))=0,0,IF($H33="","EXT",SUMIFS(Calendar!$C$16:$C$141,Calendar!$A$16:$A$141,"&gt;="&amp;MAX(Z$7,$J33),Calendar!$A$16:$A$141,"&lt;="&amp;MIN(Z$7+4,$K33))*$H33/$G33)))</x:f>
        <x:v>0</x:v>
      </x:c>
      <x:c r="AA33" s="45" t="n">
        <x:f>IF(OR($J33="",$K33=""),"",IF(SUMIFS(Calendar!$C$16:$C$141,Calendar!$A$16:$A$141,"&gt;="&amp;MAX(AA$7,$J33),Calendar!$A$16:$A$141,"&lt;="&amp;MIN(AA$7+4,$K33))=0,0,IF($H33="","EXT",SUMIFS(Calendar!$C$16:$C$141,Calendar!$A$16:$A$141,"&gt;="&amp;MAX(AA$7,$J33),Calendar!$A$16:$A$141,"&lt;="&amp;MIN(AA$7+4,$K33))*$H33/$G33)))</x:f>
        <x:v>0</x:v>
      </x:c>
      <x:c r="AB33" s="45" t="n">
        <x:f>IF(OR($J33="",$K33=""),"",IF(SUMIFS(Calendar!$C$16:$C$141,Calendar!$A$16:$A$141,"&gt;="&amp;MAX(AB$7,$J33),Calendar!$A$16:$A$141,"&lt;="&amp;MIN(AB$7+4,$K33))=0,0,IF($H33="","EXT",SUMIFS(Calendar!$C$16:$C$141,Calendar!$A$16:$A$141,"&gt;="&amp;MAX(AB$7,$J33),Calendar!$A$16:$A$141,"&lt;="&amp;MIN(AB$7+4,$K33))*$H33/$G33)))</x:f>
        <x:v>0</x:v>
      </x:c>
      <x:c r="AC33" s="45" t="n">
        <x:f>IF(OR($J33="",$K33=""),"",IF(SUMIFS(Calendar!$C$16:$C$141,Calendar!$A$16:$A$141,"&gt;="&amp;MAX(AC$7,$J33),Calendar!$A$16:$A$141,"&lt;="&amp;MIN(AC$7+4,$K33))=0,0,IF($H33="","EXT",SUMIFS(Calendar!$C$16:$C$141,Calendar!$A$16:$A$141,"&gt;="&amp;MAX(AC$7,$J33),Calendar!$A$16:$A$141,"&lt;="&amp;MIN(AC$7+4,$K33))*$H33/$G33)))</x:f>
        <x:v>0</x:v>
      </x:c>
      <x:c r="AD33" s="45" t="n">
        <x:f>IF(OR($J33="",$K33=""),"",IF(SUMIFS(Calendar!$C$16:$C$141,Calendar!$A$16:$A$141,"&gt;="&amp;MAX(AD$7,$J33),Calendar!$A$16:$A$141,"&lt;="&amp;MIN(AD$7+4,$K33))=0,0,IF($H33="","EXT",SUMIFS(Calendar!$C$16:$C$141,Calendar!$A$16:$A$141,"&gt;="&amp;MAX(AD$7,$J33),Calendar!$A$16:$A$141,"&lt;="&amp;MIN(AD$7+4,$K33))*$H33/$G33)))</x:f>
        <x:v>0</x:v>
      </x:c>
      <x:c r="AE33" s="45" t="n">
        <x:f>IF(OR($J33="",$K33=""),"",IF(SUMIFS(Calendar!$C$16:$C$141,Calendar!$A$16:$A$141,"&gt;="&amp;MAX(AE$7,$J33),Calendar!$A$16:$A$141,"&lt;="&amp;MIN(AE$7+4,$K33))=0,0,IF($H33="","EXT",SUMIFS(Calendar!$C$16:$C$141,Calendar!$A$16:$A$141,"&gt;="&amp;MAX(AE$7,$J33),Calendar!$A$16:$A$141,"&lt;="&amp;MIN(AE$7+4,$K33))*$H33/$G33)))</x:f>
        <x:v>0</x:v>
      </x:c>
      <x:c r="AF33" s="8" t="n">
        <x:f>IF(OR(M33&lt;&gt;"Scheduled",INDEX('Team and Gates'!$C$7:$C$13,MATCH($D33,'Team and Gates'!$A$7:$A$13,0))=""),"CHECK",SUM(N33:AE33)*INDEX('Team and Gates'!$C$7:$C$13,MATCH($D33,'Team and Gates'!$A$7:$A$13,0)))</x:f>
        <x:v>1440</x:v>
      </x:c>
      <x:c r="AG33" s="46" t="str">
        <x:v>Developer checks and positive/negative acceptance examples pass; review AI-generated code before handoff.</x:v>
      </x:c>
      <x:c r="AH33" s="46" t="str">
        <x:v>Three-week feature implementation window after FSD signoff; use Codex with developer review and continuous tests.</x:v>
      </x:c>
    </x:row>
    <x:row r="34" ht="45" customHeight="1">
      <x:c r="A34" s="2" t="str">
        <x:v>A06</x:v>
      </x:c>
      <x:c r="B34" s="2" t="str">
        <x:v>Async / Azure</x:v>
      </x:c>
      <x:c r="C34" s="46" t="str">
        <x:v>AI-assisted coding: async reply/Playbook generation and approved sending</x:v>
      </x:c>
      <x:c r="D34" s="26" t="str">
        <x:v>Dev 2</x:v>
      </x:c>
      <x:c r="E34" s="46" t="str">
        <x:v>A05</x:v>
      </x:c>
      <x:c r="F34" s="50" t="n">
        <x:v>21</x:v>
      </x:c>
      <x:c r="G34" s="50" t="n">
        <x:v>2</x:v>
      </x:c>
      <x:c r="H34" s="51" t="n">
        <x:v>1.6</x:v>
      </x:c>
      <x:c r="I34" s="2" t="n">
        <x:f>IF(OR(F34="",G34=""),"",F34+G34-1)</x:f>
        <x:v>22</x:v>
      </x:c>
      <x:c r="J34" s="5" t="n">
        <x:f>IF(OR(F34="",F34&lt;1,F34&gt;Calendar!$B$9),"",INDEX(Calendar!$A$16:$A$141,MATCH(F34,Calendar!$D$16:$D$141,0)))</x:f>
        <x:v>46356</x:v>
      </x:c>
      <x:c r="K34" s="5" t="n">
        <x:f>IF(OR(I34="",I34&lt;1,I34&gt;Calendar!$B$9),"",INDEX(Calendar!$A$16:$A$141,MATCH(I34,Calendar!$D$16:$D$141,0)))</x:f>
        <x:v>46357</x:v>
      </x:c>
      <x:c r="L34" s="53" t="n">
        <x:v>0</x:v>
      </x:c>
      <x:c r="M34" s="2" t="str">
        <x:f>IF(OR(F34="",G34="",H34=""),"Missing input",IF(OR(F34&lt;1,G34&lt;1,I34&gt;Calendar!$B$9),"Outside calendar",IF(F34&lt;MAX(INDEX($I$8:$I$157,MATCH("A05",$A$8:$A$157,0))+1),"Dependency conflict","Scheduled")))</x:f>
        <x:v>Scheduled</x:v>
      </x:c>
      <x:c r="N34" s="45" t="n">
        <x:f>IF(OR($J34="",$K34=""),"",IF(SUMIFS(Calendar!$C$16:$C$141,Calendar!$A$16:$A$141,"&gt;="&amp;MAX(N$7,$J34),Calendar!$A$16:$A$141,"&lt;="&amp;MIN(N$7+4,$K34))=0,0,IF($H34="","EXT",SUMIFS(Calendar!$C$16:$C$141,Calendar!$A$16:$A$141,"&gt;="&amp;MAX(N$7,$J34),Calendar!$A$16:$A$141,"&lt;="&amp;MIN(N$7+4,$K34))*$H34/$G34)))</x:f>
        <x:v>0</x:v>
      </x:c>
      <x:c r="O34" s="45" t="n">
        <x:f>IF(OR($J34="",$K34=""),"",IF(SUMIFS(Calendar!$C$16:$C$141,Calendar!$A$16:$A$141,"&gt;="&amp;MAX(O$7,$J34),Calendar!$A$16:$A$141,"&lt;="&amp;MIN(O$7+4,$K34))=0,0,IF($H34="","EXT",SUMIFS(Calendar!$C$16:$C$141,Calendar!$A$16:$A$141,"&gt;="&amp;MAX(O$7,$J34),Calendar!$A$16:$A$141,"&lt;="&amp;MIN(O$7+4,$K34))*$H34/$G34)))</x:f>
        <x:v>0</x:v>
      </x:c>
      <x:c r="P34" s="45" t="n">
        <x:f>IF(OR($J34="",$K34=""),"",IF(SUMIFS(Calendar!$C$16:$C$141,Calendar!$A$16:$A$141,"&gt;="&amp;MAX(P$7,$J34),Calendar!$A$16:$A$141,"&lt;="&amp;MIN(P$7+4,$K34))=0,0,IF($H34="","EXT",SUMIFS(Calendar!$C$16:$C$141,Calendar!$A$16:$A$141,"&gt;="&amp;MAX(P$7,$J34),Calendar!$A$16:$A$141,"&lt;="&amp;MIN(P$7+4,$K34))*$H34/$G34)))</x:f>
        <x:v>0</x:v>
      </x:c>
      <x:c r="Q34" s="45" t="n">
        <x:f>IF(OR($J34="",$K34=""),"",IF(SUMIFS(Calendar!$C$16:$C$141,Calendar!$A$16:$A$141,"&gt;="&amp;MAX(Q$7,$J34),Calendar!$A$16:$A$141,"&lt;="&amp;MIN(Q$7+4,$K34))=0,0,IF($H34="","EXT",SUMIFS(Calendar!$C$16:$C$141,Calendar!$A$16:$A$141,"&gt;="&amp;MAX(Q$7,$J34),Calendar!$A$16:$A$141,"&lt;="&amp;MIN(Q$7+4,$K34))*$H34/$G34)))</x:f>
        <x:v>0</x:v>
      </x:c>
      <x:c r="R34" s="45" t="n">
        <x:f>IF(OR($J34="",$K34=""),"",IF(SUMIFS(Calendar!$C$16:$C$141,Calendar!$A$16:$A$141,"&gt;="&amp;MAX(R$7,$J34),Calendar!$A$16:$A$141,"&lt;="&amp;MIN(R$7+4,$K34))=0,0,IF($H34="","EXT",SUMIFS(Calendar!$C$16:$C$141,Calendar!$A$16:$A$141,"&gt;="&amp;MAX(R$7,$J34),Calendar!$A$16:$A$141,"&lt;="&amp;MIN(R$7+4,$K34))*$H34/$G34)))</x:f>
        <x:v>1.6</x:v>
      </x:c>
      <x:c r="S34" s="45" t="n">
        <x:f>IF(OR($J34="",$K34=""),"",IF(SUMIFS(Calendar!$C$16:$C$141,Calendar!$A$16:$A$141,"&gt;="&amp;MAX(S$7,$J34),Calendar!$A$16:$A$141,"&lt;="&amp;MIN(S$7+4,$K34))=0,0,IF($H34="","EXT",SUMIFS(Calendar!$C$16:$C$141,Calendar!$A$16:$A$141,"&gt;="&amp;MAX(S$7,$J34),Calendar!$A$16:$A$141,"&lt;="&amp;MIN(S$7+4,$K34))*$H34/$G34)))</x:f>
        <x:v>0</x:v>
      </x:c>
      <x:c r="T34" s="45" t="n">
        <x:f>IF(OR($J34="",$K34=""),"",IF(SUMIFS(Calendar!$C$16:$C$141,Calendar!$A$16:$A$141,"&gt;="&amp;MAX(T$7,$J34),Calendar!$A$16:$A$141,"&lt;="&amp;MIN(T$7+4,$K34))=0,0,IF($H34="","EXT",SUMIFS(Calendar!$C$16:$C$141,Calendar!$A$16:$A$141,"&gt;="&amp;MAX(T$7,$J34),Calendar!$A$16:$A$141,"&lt;="&amp;MIN(T$7+4,$K34))*$H34/$G34)))</x:f>
        <x:v>0</x:v>
      </x:c>
      <x:c r="U34" s="45" t="n">
        <x:f>IF(OR($J34="",$K34=""),"",IF(SUMIFS(Calendar!$C$16:$C$141,Calendar!$A$16:$A$141,"&gt;="&amp;MAX(U$7,$J34),Calendar!$A$16:$A$141,"&lt;="&amp;MIN(U$7+4,$K34))=0,0,IF($H34="","EXT",SUMIFS(Calendar!$C$16:$C$141,Calendar!$A$16:$A$141,"&gt;="&amp;MAX(U$7,$J34),Calendar!$A$16:$A$141,"&lt;="&amp;MIN(U$7+4,$K34))*$H34/$G34)))</x:f>
        <x:v>0</x:v>
      </x:c>
      <x:c r="V34" s="45" t="n">
        <x:f>IF(OR($J34="",$K34=""),"",IF(SUMIFS(Calendar!$C$16:$C$141,Calendar!$A$16:$A$141,"&gt;="&amp;MAX(V$7,$J34),Calendar!$A$16:$A$141,"&lt;="&amp;MIN(V$7+4,$K34))=0,0,IF($H34="","EXT",SUMIFS(Calendar!$C$16:$C$141,Calendar!$A$16:$A$141,"&gt;="&amp;MAX(V$7,$J34),Calendar!$A$16:$A$141,"&lt;="&amp;MIN(V$7+4,$K34))*$H34/$G34)))</x:f>
        <x:v>0</x:v>
      </x:c>
      <x:c r="W34" s="45" t="n">
        <x:f>IF(OR($J34="",$K34=""),"",IF(SUMIFS(Calendar!$C$16:$C$141,Calendar!$A$16:$A$141,"&gt;="&amp;MAX(W$7,$J34),Calendar!$A$16:$A$141,"&lt;="&amp;MIN(W$7+4,$K34))=0,0,IF($H34="","EXT",SUMIFS(Calendar!$C$16:$C$141,Calendar!$A$16:$A$141,"&gt;="&amp;MAX(W$7,$J34),Calendar!$A$16:$A$141,"&lt;="&amp;MIN(W$7+4,$K34))*$H34/$G34)))</x:f>
        <x:v>0</x:v>
      </x:c>
      <x:c r="X34" s="45" t="n">
        <x:f>IF(OR($J34="",$K34=""),"",IF(SUMIFS(Calendar!$C$16:$C$141,Calendar!$A$16:$A$141,"&gt;="&amp;MAX(X$7,$J34),Calendar!$A$16:$A$141,"&lt;="&amp;MIN(X$7+4,$K34))=0,0,IF($H34="","EXT",SUMIFS(Calendar!$C$16:$C$141,Calendar!$A$16:$A$141,"&gt;="&amp;MAX(X$7,$J34),Calendar!$A$16:$A$141,"&lt;="&amp;MIN(X$7+4,$K34))*$H34/$G34)))</x:f>
        <x:v>0</x:v>
      </x:c>
      <x:c r="Y34" s="45" t="n">
        <x:f>IF(OR($J34="",$K34=""),"",IF(SUMIFS(Calendar!$C$16:$C$141,Calendar!$A$16:$A$141,"&gt;="&amp;MAX(Y$7,$J34),Calendar!$A$16:$A$141,"&lt;="&amp;MIN(Y$7+4,$K34))=0,0,IF($H34="","EXT",SUMIFS(Calendar!$C$16:$C$141,Calendar!$A$16:$A$141,"&gt;="&amp;MAX(Y$7,$J34),Calendar!$A$16:$A$141,"&lt;="&amp;MIN(Y$7+4,$K34))*$H34/$G34)))</x:f>
        <x:v>0</x:v>
      </x:c>
      <x:c r="Z34" s="45" t="n">
        <x:f>IF(OR($J34="",$K34=""),"",IF(SUMIFS(Calendar!$C$16:$C$141,Calendar!$A$16:$A$141,"&gt;="&amp;MAX(Z$7,$J34),Calendar!$A$16:$A$141,"&lt;="&amp;MIN(Z$7+4,$K34))=0,0,IF($H34="","EXT",SUMIFS(Calendar!$C$16:$C$141,Calendar!$A$16:$A$141,"&gt;="&amp;MAX(Z$7,$J34),Calendar!$A$16:$A$141,"&lt;="&amp;MIN(Z$7+4,$K34))*$H34/$G34)))</x:f>
        <x:v>0</x:v>
      </x:c>
      <x:c r="AA34" s="45" t="n">
        <x:f>IF(OR($J34="",$K34=""),"",IF(SUMIFS(Calendar!$C$16:$C$141,Calendar!$A$16:$A$141,"&gt;="&amp;MAX(AA$7,$J34),Calendar!$A$16:$A$141,"&lt;="&amp;MIN(AA$7+4,$K34))=0,0,IF($H34="","EXT",SUMIFS(Calendar!$C$16:$C$141,Calendar!$A$16:$A$141,"&gt;="&amp;MAX(AA$7,$J34),Calendar!$A$16:$A$141,"&lt;="&amp;MIN(AA$7+4,$K34))*$H34/$G34)))</x:f>
        <x:v>0</x:v>
      </x:c>
      <x:c r="AB34" s="45" t="n">
        <x:f>IF(OR($J34="",$K34=""),"",IF(SUMIFS(Calendar!$C$16:$C$141,Calendar!$A$16:$A$141,"&gt;="&amp;MAX(AB$7,$J34),Calendar!$A$16:$A$141,"&lt;="&amp;MIN(AB$7+4,$K34))=0,0,IF($H34="","EXT",SUMIFS(Calendar!$C$16:$C$141,Calendar!$A$16:$A$141,"&gt;="&amp;MAX(AB$7,$J34),Calendar!$A$16:$A$141,"&lt;="&amp;MIN(AB$7+4,$K34))*$H34/$G34)))</x:f>
        <x:v>0</x:v>
      </x:c>
      <x:c r="AC34" s="45" t="n">
        <x:f>IF(OR($J34="",$K34=""),"",IF(SUMIFS(Calendar!$C$16:$C$141,Calendar!$A$16:$A$141,"&gt;="&amp;MAX(AC$7,$J34),Calendar!$A$16:$A$141,"&lt;="&amp;MIN(AC$7+4,$K34))=0,0,IF($H34="","EXT",SUMIFS(Calendar!$C$16:$C$141,Calendar!$A$16:$A$141,"&gt;="&amp;MAX(AC$7,$J34),Calendar!$A$16:$A$141,"&lt;="&amp;MIN(AC$7+4,$K34))*$H34/$G34)))</x:f>
        <x:v>0</x:v>
      </x:c>
      <x:c r="AD34" s="45" t="n">
        <x:f>IF(OR($J34="",$K34=""),"",IF(SUMIFS(Calendar!$C$16:$C$141,Calendar!$A$16:$A$141,"&gt;="&amp;MAX(AD$7,$J34),Calendar!$A$16:$A$141,"&lt;="&amp;MIN(AD$7+4,$K34))=0,0,IF($H34="","EXT",SUMIFS(Calendar!$C$16:$C$141,Calendar!$A$16:$A$141,"&gt;="&amp;MAX(AD$7,$J34),Calendar!$A$16:$A$141,"&lt;="&amp;MIN(AD$7+4,$K34))*$H34/$G34)))</x:f>
        <x:v>0</x:v>
      </x:c>
      <x:c r="AE34" s="45" t="n">
        <x:f>IF(OR($J34="",$K34=""),"",IF(SUMIFS(Calendar!$C$16:$C$141,Calendar!$A$16:$A$141,"&gt;="&amp;MAX(AE$7,$J34),Calendar!$A$16:$A$141,"&lt;="&amp;MIN(AE$7+4,$K34))=0,0,IF($H34="","EXT",SUMIFS(Calendar!$C$16:$C$141,Calendar!$A$16:$A$141,"&gt;="&amp;MAX(AE$7,$J34),Calendar!$A$16:$A$141,"&lt;="&amp;MIN(AE$7+4,$K34))*$H34/$G34)))</x:f>
        <x:v>0</x:v>
      </x:c>
      <x:c r="AF34" s="8" t="n">
        <x:f>IF(OR(M34&lt;&gt;"Scheduled",INDEX('Team and Gates'!$C$7:$C$13,MATCH($D34,'Team and Gates'!$A$7:$A$13,0))=""),"CHECK",SUM(N34:AE34)*INDEX('Team and Gates'!$C$7:$C$13,MATCH($D34,'Team and Gates'!$A$7:$A$13,0)))</x:f>
        <x:v>576</x:v>
      </x:c>
      <x:c r="AG34" s="46" t="str">
        <x:v>Developer checks and positive/negative acceptance examples pass; review AI-generated code before handoff.</x:v>
      </x:c>
      <x:c r="AH34" s="46" t="str">
        <x:v>Three-week feature implementation window after FSD signoff; use Codex with developer review and continuous tests.</x:v>
      </x:c>
    </x:row>
    <x:row r="35" ht="45" customHeight="1">
      <x:c r="A35" s="39" t="str">
        <x:v>A07</x:v>
      </x:c>
      <x:c r="B35" s="39" t="str">
        <x:v>Async / Azure</x:v>
      </x:c>
      <x:c r="C35" s="47" t="str">
        <x:v>Complete send reconciliation, replicas, observability and integrations</x:v>
      </x:c>
      <x:c r="D35" s="26" t="str">
        <x:v>Dev 2</x:v>
      </x:c>
      <x:c r="E35" s="47" t="str">
        <x:v>A06</x:v>
      </x:c>
      <x:c r="F35" s="50" t="n">
        <x:v>23</x:v>
      </x:c>
      <x:c r="G35" s="50" t="n">
        <x:v>3</x:v>
      </x:c>
      <x:c r="H35" s="51" t="n">
        <x:v>2.4</x:v>
      </x:c>
      <x:c r="I35" s="39" t="n">
        <x:f>IF(OR(F35="",G35=""),"",F35+G35-1)</x:f>
        <x:v>25</x:v>
      </x:c>
      <x:c r="J35" s="41" t="n">
        <x:f>IF(OR(F35="",F35&lt;1,F35&gt;Calendar!$B$9),"",INDEX(Calendar!$A$16:$A$141,MATCH(F35,Calendar!$D$16:$D$141,0)))</x:f>
        <x:v>46358</x:v>
      </x:c>
      <x:c r="K35" s="41" t="n">
        <x:f>IF(OR(I35="",I35&lt;1,I35&gt;Calendar!$B$9),"",INDEX(Calendar!$A$16:$A$141,MATCH(I35,Calendar!$D$16:$D$141,0)))</x:f>
        <x:v>46360</x:v>
      </x:c>
      <x:c r="L35" s="53" t="n">
        <x:v>0</x:v>
      </x:c>
      <x:c r="M35" s="39" t="str">
        <x:f>IF(OR(F35="",G35="",H35=""),"Missing input",IF(OR(F35&lt;1,G35&lt;1,I35&gt;Calendar!$B$9),"Outside calendar",IF(F35&lt;MAX(INDEX($I$8:$I$157,MATCH("A06",$A$8:$A$157,0))+1),"Dependency conflict","Scheduled")))</x:f>
        <x:v>Scheduled</x:v>
      </x:c>
      <x:c r="N35" s="45" t="n">
        <x:f>IF(OR($J35="",$K35=""),"",IF(SUMIFS(Calendar!$C$16:$C$141,Calendar!$A$16:$A$141,"&gt;="&amp;MAX(N$7,$J35),Calendar!$A$16:$A$141,"&lt;="&amp;MIN(N$7+4,$K35))=0,0,IF($H35="","EXT",SUMIFS(Calendar!$C$16:$C$141,Calendar!$A$16:$A$141,"&gt;="&amp;MAX(N$7,$J35),Calendar!$A$16:$A$141,"&lt;="&amp;MIN(N$7+4,$K35))*$H35/$G35)))</x:f>
        <x:v>0</x:v>
      </x:c>
      <x:c r="O35" s="45" t="n">
        <x:f>IF(OR($J35="",$K35=""),"",IF(SUMIFS(Calendar!$C$16:$C$141,Calendar!$A$16:$A$141,"&gt;="&amp;MAX(O$7,$J35),Calendar!$A$16:$A$141,"&lt;="&amp;MIN(O$7+4,$K35))=0,0,IF($H35="","EXT",SUMIFS(Calendar!$C$16:$C$141,Calendar!$A$16:$A$141,"&gt;="&amp;MAX(O$7,$J35),Calendar!$A$16:$A$141,"&lt;="&amp;MIN(O$7+4,$K35))*$H35/$G35)))</x:f>
        <x:v>0</x:v>
      </x:c>
      <x:c r="P35" s="45" t="n">
        <x:f>IF(OR($J35="",$K35=""),"",IF(SUMIFS(Calendar!$C$16:$C$141,Calendar!$A$16:$A$141,"&gt;="&amp;MAX(P$7,$J35),Calendar!$A$16:$A$141,"&lt;="&amp;MIN(P$7+4,$K35))=0,0,IF($H35="","EXT",SUMIFS(Calendar!$C$16:$C$141,Calendar!$A$16:$A$141,"&gt;="&amp;MAX(P$7,$J35),Calendar!$A$16:$A$141,"&lt;="&amp;MIN(P$7+4,$K35))*$H35/$G35)))</x:f>
        <x:v>0</x:v>
      </x:c>
      <x:c r="Q35" s="45" t="n">
        <x:f>IF(OR($J35="",$K35=""),"",IF(SUMIFS(Calendar!$C$16:$C$141,Calendar!$A$16:$A$141,"&gt;="&amp;MAX(Q$7,$J35),Calendar!$A$16:$A$141,"&lt;="&amp;MIN(Q$7+4,$K35))=0,0,IF($H35="","EXT",SUMIFS(Calendar!$C$16:$C$141,Calendar!$A$16:$A$141,"&gt;="&amp;MAX(Q$7,$J35),Calendar!$A$16:$A$141,"&lt;="&amp;MIN(Q$7+4,$K35))*$H35/$G35)))</x:f>
        <x:v>0</x:v>
      </x:c>
      <x:c r="R35" s="45" t="n">
        <x:f>IF(OR($J35="",$K35=""),"",IF(SUMIFS(Calendar!$C$16:$C$141,Calendar!$A$16:$A$141,"&gt;="&amp;MAX(R$7,$J35),Calendar!$A$16:$A$141,"&lt;="&amp;MIN(R$7+4,$K35))=0,0,IF($H35="","EXT",SUMIFS(Calendar!$C$16:$C$141,Calendar!$A$16:$A$141,"&gt;="&amp;MAX(R$7,$J35),Calendar!$A$16:$A$141,"&lt;="&amp;MIN(R$7+4,$K35))*$H35/$G35)))</x:f>
        <x:v>2.4</x:v>
      </x:c>
      <x:c r="S35" s="45" t="n">
        <x:f>IF(OR($J35="",$K35=""),"",IF(SUMIFS(Calendar!$C$16:$C$141,Calendar!$A$16:$A$141,"&gt;="&amp;MAX(S$7,$J35),Calendar!$A$16:$A$141,"&lt;="&amp;MIN(S$7+4,$K35))=0,0,IF($H35="","EXT",SUMIFS(Calendar!$C$16:$C$141,Calendar!$A$16:$A$141,"&gt;="&amp;MAX(S$7,$J35),Calendar!$A$16:$A$141,"&lt;="&amp;MIN(S$7+4,$K35))*$H35/$G35)))</x:f>
        <x:v>0</x:v>
      </x:c>
      <x:c r="T35" s="45" t="n">
        <x:f>IF(OR($J35="",$K35=""),"",IF(SUMIFS(Calendar!$C$16:$C$141,Calendar!$A$16:$A$141,"&gt;="&amp;MAX(T$7,$J35),Calendar!$A$16:$A$141,"&lt;="&amp;MIN(T$7+4,$K35))=0,0,IF($H35="","EXT",SUMIFS(Calendar!$C$16:$C$141,Calendar!$A$16:$A$141,"&gt;="&amp;MAX(T$7,$J35),Calendar!$A$16:$A$141,"&lt;="&amp;MIN(T$7+4,$K35))*$H35/$G35)))</x:f>
        <x:v>0</x:v>
      </x:c>
      <x:c r="U35" s="45" t="n">
        <x:f>IF(OR($J35="",$K35=""),"",IF(SUMIFS(Calendar!$C$16:$C$141,Calendar!$A$16:$A$141,"&gt;="&amp;MAX(U$7,$J35),Calendar!$A$16:$A$141,"&lt;="&amp;MIN(U$7+4,$K35))=0,0,IF($H35="","EXT",SUMIFS(Calendar!$C$16:$C$141,Calendar!$A$16:$A$141,"&gt;="&amp;MAX(U$7,$J35),Calendar!$A$16:$A$141,"&lt;="&amp;MIN(U$7+4,$K35))*$H35/$G35)))</x:f>
        <x:v>0</x:v>
      </x:c>
      <x:c r="V35" s="45" t="n">
        <x:f>IF(OR($J35="",$K35=""),"",IF(SUMIFS(Calendar!$C$16:$C$141,Calendar!$A$16:$A$141,"&gt;="&amp;MAX(V$7,$J35),Calendar!$A$16:$A$141,"&lt;="&amp;MIN(V$7+4,$K35))=0,0,IF($H35="","EXT",SUMIFS(Calendar!$C$16:$C$141,Calendar!$A$16:$A$141,"&gt;="&amp;MAX(V$7,$J35),Calendar!$A$16:$A$141,"&lt;="&amp;MIN(V$7+4,$K35))*$H35/$G35)))</x:f>
        <x:v>0</x:v>
      </x:c>
      <x:c r="W35" s="45" t="n">
        <x:f>IF(OR($J35="",$K35=""),"",IF(SUMIFS(Calendar!$C$16:$C$141,Calendar!$A$16:$A$141,"&gt;="&amp;MAX(W$7,$J35),Calendar!$A$16:$A$141,"&lt;="&amp;MIN(W$7+4,$K35))=0,0,IF($H35="","EXT",SUMIFS(Calendar!$C$16:$C$141,Calendar!$A$16:$A$141,"&gt;="&amp;MAX(W$7,$J35),Calendar!$A$16:$A$141,"&lt;="&amp;MIN(W$7+4,$K35))*$H35/$G35)))</x:f>
        <x:v>0</x:v>
      </x:c>
      <x:c r="X35" s="45" t="n">
        <x:f>IF(OR($J35="",$K35=""),"",IF(SUMIFS(Calendar!$C$16:$C$141,Calendar!$A$16:$A$141,"&gt;="&amp;MAX(X$7,$J35),Calendar!$A$16:$A$141,"&lt;="&amp;MIN(X$7+4,$K35))=0,0,IF($H35="","EXT",SUMIFS(Calendar!$C$16:$C$141,Calendar!$A$16:$A$141,"&gt;="&amp;MAX(X$7,$J35),Calendar!$A$16:$A$141,"&lt;="&amp;MIN(X$7+4,$K35))*$H35/$G35)))</x:f>
        <x:v>0</x:v>
      </x:c>
      <x:c r="Y35" s="45" t="n">
        <x:f>IF(OR($J35="",$K35=""),"",IF(SUMIFS(Calendar!$C$16:$C$141,Calendar!$A$16:$A$141,"&gt;="&amp;MAX(Y$7,$J35),Calendar!$A$16:$A$141,"&lt;="&amp;MIN(Y$7+4,$K35))=0,0,IF($H35="","EXT",SUMIFS(Calendar!$C$16:$C$141,Calendar!$A$16:$A$141,"&gt;="&amp;MAX(Y$7,$J35),Calendar!$A$16:$A$141,"&lt;="&amp;MIN(Y$7+4,$K35))*$H35/$G35)))</x:f>
        <x:v>0</x:v>
      </x:c>
      <x:c r="Z35" s="45" t="n">
        <x:f>IF(OR($J35="",$K35=""),"",IF(SUMIFS(Calendar!$C$16:$C$141,Calendar!$A$16:$A$141,"&gt;="&amp;MAX(Z$7,$J35),Calendar!$A$16:$A$141,"&lt;="&amp;MIN(Z$7+4,$K35))=0,0,IF($H35="","EXT",SUMIFS(Calendar!$C$16:$C$141,Calendar!$A$16:$A$141,"&gt;="&amp;MAX(Z$7,$J35),Calendar!$A$16:$A$141,"&lt;="&amp;MIN(Z$7+4,$K35))*$H35/$G35)))</x:f>
        <x:v>0</x:v>
      </x:c>
      <x:c r="AA35" s="45" t="n">
        <x:f>IF(OR($J35="",$K35=""),"",IF(SUMIFS(Calendar!$C$16:$C$141,Calendar!$A$16:$A$141,"&gt;="&amp;MAX(AA$7,$J35),Calendar!$A$16:$A$141,"&lt;="&amp;MIN(AA$7+4,$K35))=0,0,IF($H35="","EXT",SUMIFS(Calendar!$C$16:$C$141,Calendar!$A$16:$A$141,"&gt;="&amp;MAX(AA$7,$J35),Calendar!$A$16:$A$141,"&lt;="&amp;MIN(AA$7+4,$K35))*$H35/$G35)))</x:f>
        <x:v>0</x:v>
      </x:c>
      <x:c r="AB35" s="45" t="n">
        <x:f>IF(OR($J35="",$K35=""),"",IF(SUMIFS(Calendar!$C$16:$C$141,Calendar!$A$16:$A$141,"&gt;="&amp;MAX(AB$7,$J35),Calendar!$A$16:$A$141,"&lt;="&amp;MIN(AB$7+4,$K35))=0,0,IF($H35="","EXT",SUMIFS(Calendar!$C$16:$C$141,Calendar!$A$16:$A$141,"&gt;="&amp;MAX(AB$7,$J35),Calendar!$A$16:$A$141,"&lt;="&amp;MIN(AB$7+4,$K35))*$H35/$G35)))</x:f>
        <x:v>0</x:v>
      </x:c>
      <x:c r="AC35" s="45" t="n">
        <x:f>IF(OR($J35="",$K35=""),"",IF(SUMIFS(Calendar!$C$16:$C$141,Calendar!$A$16:$A$141,"&gt;="&amp;MAX(AC$7,$J35),Calendar!$A$16:$A$141,"&lt;="&amp;MIN(AC$7+4,$K35))=0,0,IF($H35="","EXT",SUMIFS(Calendar!$C$16:$C$141,Calendar!$A$16:$A$141,"&gt;="&amp;MAX(AC$7,$J35),Calendar!$A$16:$A$141,"&lt;="&amp;MIN(AC$7+4,$K35))*$H35/$G35)))</x:f>
        <x:v>0</x:v>
      </x:c>
      <x:c r="AD35" s="45" t="n">
        <x:f>IF(OR($J35="",$K35=""),"",IF(SUMIFS(Calendar!$C$16:$C$141,Calendar!$A$16:$A$141,"&gt;="&amp;MAX(AD$7,$J35),Calendar!$A$16:$A$141,"&lt;="&amp;MIN(AD$7+4,$K35))=0,0,IF($H35="","EXT",SUMIFS(Calendar!$C$16:$C$141,Calendar!$A$16:$A$141,"&gt;="&amp;MAX(AD$7,$J35),Calendar!$A$16:$A$141,"&lt;="&amp;MIN(AD$7+4,$K35))*$H35/$G35)))</x:f>
        <x:v>0</x:v>
      </x:c>
      <x:c r="AE35" s="45" t="n">
        <x:f>IF(OR($J35="",$K35=""),"",IF(SUMIFS(Calendar!$C$16:$C$141,Calendar!$A$16:$A$141,"&gt;="&amp;MAX(AE$7,$J35),Calendar!$A$16:$A$141,"&lt;="&amp;MIN(AE$7+4,$K35))=0,0,IF($H35="","EXT",SUMIFS(Calendar!$C$16:$C$141,Calendar!$A$16:$A$141,"&gt;="&amp;MAX(AE$7,$J35),Calendar!$A$16:$A$141,"&lt;="&amp;MIN(AE$7+4,$K35))*$H35/$G35)))</x:f>
        <x:v>0</x:v>
      </x:c>
      <x:c r="AF35" s="8" t="n">
        <x:f>IF(OR(M35&lt;&gt;"Scheduled",INDEX('Team and Gates'!$C$7:$C$13,MATCH($D35,'Team and Gates'!$A$7:$A$13,0))=""),"CHECK",SUM(N35:AE35)*INDEX('Team and Gates'!$C$7:$C$13,MATCH($D35,'Team and Gates'!$A$7:$A$13,0)))</x:f>
        <x:v>864</x:v>
      </x:c>
      <x:c r="AG35" s="46" t="str">
        <x:v>Developer checks and positive/negative acceptance examples pass; review AI-generated code before handoff.</x:v>
      </x:c>
      <x:c r="AH35" s="46" t="str">
        <x:v>Three-week feature implementation window after FSD signoff; use Codex with developer review and continuous tests.</x:v>
      </x:c>
    </x:row>
    <x:row r="36" ht="45" customHeight="1">
      <x:c r="A36" s="2" t="str">
        <x:v>A08</x:v>
      </x:c>
      <x:c r="B36" s="2" t="str">
        <x:v>Async / Azure</x:v>
      </x:c>
      <x:c r="C36" s="46" t="str">
        <x:v>SIT fixes: intent jobs, lease recovery and provider throttling</x:v>
      </x:c>
      <x:c r="D36" s="26" t="str">
        <x:v>Dev 2</x:v>
      </x:c>
      <x:c r="E36" s="46" t="str">
        <x:v>A07</x:v>
      </x:c>
      <x:c r="F36" s="50" t="n">
        <x:v>26</x:v>
      </x:c>
      <x:c r="G36" s="50" t="n">
        <x:v>5</x:v>
      </x:c>
      <x:c r="H36" s="51" t="n">
        <x:v>4</x:v>
      </x:c>
      <x:c r="I36" s="2" t="n">
        <x:f>IF(OR(F36="",G36=""),"",F36+G36-1)</x:f>
        <x:v>30</x:v>
      </x:c>
      <x:c r="J36" s="5" t="n">
        <x:f>IF(OR(F36="",F36&lt;1,F36&gt;Calendar!$B$9),"",INDEX(Calendar!$A$16:$A$141,MATCH(F36,Calendar!$D$16:$D$141,0)))</x:f>
        <x:v>46363</x:v>
      </x:c>
      <x:c r="K36" s="5" t="n">
        <x:f>IF(OR(I36="",I36&lt;1,I36&gt;Calendar!$B$9),"",INDEX(Calendar!$A$16:$A$141,MATCH(I36,Calendar!$D$16:$D$141,0)))</x:f>
        <x:v>46367</x:v>
      </x:c>
      <x:c r="L36" s="53" t="n">
        <x:v>0</x:v>
      </x:c>
      <x:c r="M36" s="2" t="str">
        <x:f>IF(OR(F36="",G36="",H36=""),"Missing input",IF(OR(F36&lt;1,G36&lt;1,I36&gt;Calendar!$B$9),"Outside calendar",IF(F36&lt;MAX(INDEX($I$8:$I$157,MATCH("A07",$A$8:$A$157,0))+1),"Dependency conflict","Scheduled")))</x:f>
        <x:v>Scheduled</x:v>
      </x:c>
      <x:c r="N36" s="45" t="n">
        <x:f>IF(OR($J36="",$K36=""),"",IF(SUMIFS(Calendar!$C$16:$C$141,Calendar!$A$16:$A$141,"&gt;="&amp;MAX(N$7,$J36),Calendar!$A$16:$A$141,"&lt;="&amp;MIN(N$7+4,$K36))=0,0,IF($H36="","EXT",SUMIFS(Calendar!$C$16:$C$141,Calendar!$A$16:$A$141,"&gt;="&amp;MAX(N$7,$J36),Calendar!$A$16:$A$141,"&lt;="&amp;MIN(N$7+4,$K36))*$H36/$G36)))</x:f>
        <x:v>0</x:v>
      </x:c>
      <x:c r="O36" s="45" t="n">
        <x:f>IF(OR($J36="",$K36=""),"",IF(SUMIFS(Calendar!$C$16:$C$141,Calendar!$A$16:$A$141,"&gt;="&amp;MAX(O$7,$J36),Calendar!$A$16:$A$141,"&lt;="&amp;MIN(O$7+4,$K36))=0,0,IF($H36="","EXT",SUMIFS(Calendar!$C$16:$C$141,Calendar!$A$16:$A$141,"&gt;="&amp;MAX(O$7,$J36),Calendar!$A$16:$A$141,"&lt;="&amp;MIN(O$7+4,$K36))*$H36/$G36)))</x:f>
        <x:v>0</x:v>
      </x:c>
      <x:c r="P36" s="45" t="n">
        <x:f>IF(OR($J36="",$K36=""),"",IF(SUMIFS(Calendar!$C$16:$C$141,Calendar!$A$16:$A$141,"&gt;="&amp;MAX(P$7,$J36),Calendar!$A$16:$A$141,"&lt;="&amp;MIN(P$7+4,$K36))=0,0,IF($H36="","EXT",SUMIFS(Calendar!$C$16:$C$141,Calendar!$A$16:$A$141,"&gt;="&amp;MAX(P$7,$J36),Calendar!$A$16:$A$141,"&lt;="&amp;MIN(P$7+4,$K36))*$H36/$G36)))</x:f>
        <x:v>0</x:v>
      </x:c>
      <x:c r="Q36" s="45" t="n">
        <x:f>IF(OR($J36="",$K36=""),"",IF(SUMIFS(Calendar!$C$16:$C$141,Calendar!$A$16:$A$141,"&gt;="&amp;MAX(Q$7,$J36),Calendar!$A$16:$A$141,"&lt;="&amp;MIN(Q$7+4,$K36))=0,0,IF($H36="","EXT",SUMIFS(Calendar!$C$16:$C$141,Calendar!$A$16:$A$141,"&gt;="&amp;MAX(Q$7,$J36),Calendar!$A$16:$A$141,"&lt;="&amp;MIN(Q$7+4,$K36))*$H36/$G36)))</x:f>
        <x:v>0</x:v>
      </x:c>
      <x:c r="R36" s="45" t="n">
        <x:f>IF(OR($J36="",$K36=""),"",IF(SUMIFS(Calendar!$C$16:$C$141,Calendar!$A$16:$A$141,"&gt;="&amp;MAX(R$7,$J36),Calendar!$A$16:$A$141,"&lt;="&amp;MIN(R$7+4,$K36))=0,0,IF($H36="","EXT",SUMIFS(Calendar!$C$16:$C$141,Calendar!$A$16:$A$141,"&gt;="&amp;MAX(R$7,$J36),Calendar!$A$16:$A$141,"&lt;="&amp;MIN(R$7+4,$K36))*$H36/$G36)))</x:f>
        <x:v>0</x:v>
      </x:c>
      <x:c r="S36" s="45" t="n">
        <x:f>IF(OR($J36="",$K36=""),"",IF(SUMIFS(Calendar!$C$16:$C$141,Calendar!$A$16:$A$141,"&gt;="&amp;MAX(S$7,$J36),Calendar!$A$16:$A$141,"&lt;="&amp;MIN(S$7+4,$K36))=0,0,IF($H36="","EXT",SUMIFS(Calendar!$C$16:$C$141,Calendar!$A$16:$A$141,"&gt;="&amp;MAX(S$7,$J36),Calendar!$A$16:$A$141,"&lt;="&amp;MIN(S$7+4,$K36))*$H36/$G36)))</x:f>
        <x:v>4</x:v>
      </x:c>
      <x:c r="T36" s="45" t="n">
        <x:f>IF(OR($J36="",$K36=""),"",IF(SUMIFS(Calendar!$C$16:$C$141,Calendar!$A$16:$A$141,"&gt;="&amp;MAX(T$7,$J36),Calendar!$A$16:$A$141,"&lt;="&amp;MIN(T$7+4,$K36))=0,0,IF($H36="","EXT",SUMIFS(Calendar!$C$16:$C$141,Calendar!$A$16:$A$141,"&gt;="&amp;MAX(T$7,$J36),Calendar!$A$16:$A$141,"&lt;="&amp;MIN(T$7+4,$K36))*$H36/$G36)))</x:f>
        <x:v>0</x:v>
      </x:c>
      <x:c r="U36" s="45" t="n">
        <x:f>IF(OR($J36="",$K36=""),"",IF(SUMIFS(Calendar!$C$16:$C$141,Calendar!$A$16:$A$141,"&gt;="&amp;MAX(U$7,$J36),Calendar!$A$16:$A$141,"&lt;="&amp;MIN(U$7+4,$K36))=0,0,IF($H36="","EXT",SUMIFS(Calendar!$C$16:$C$141,Calendar!$A$16:$A$141,"&gt;="&amp;MAX(U$7,$J36),Calendar!$A$16:$A$141,"&lt;="&amp;MIN(U$7+4,$K36))*$H36/$G36)))</x:f>
        <x:v>0</x:v>
      </x:c>
      <x:c r="V36" s="45" t="n">
        <x:f>IF(OR($J36="",$K36=""),"",IF(SUMIFS(Calendar!$C$16:$C$141,Calendar!$A$16:$A$141,"&gt;="&amp;MAX(V$7,$J36),Calendar!$A$16:$A$141,"&lt;="&amp;MIN(V$7+4,$K36))=0,0,IF($H36="","EXT",SUMIFS(Calendar!$C$16:$C$141,Calendar!$A$16:$A$141,"&gt;="&amp;MAX(V$7,$J36),Calendar!$A$16:$A$141,"&lt;="&amp;MIN(V$7+4,$K36))*$H36/$G36)))</x:f>
        <x:v>0</x:v>
      </x:c>
      <x:c r="W36" s="45" t="n">
        <x:f>IF(OR($J36="",$K36=""),"",IF(SUMIFS(Calendar!$C$16:$C$141,Calendar!$A$16:$A$141,"&gt;="&amp;MAX(W$7,$J36),Calendar!$A$16:$A$141,"&lt;="&amp;MIN(W$7+4,$K36))=0,0,IF($H36="","EXT",SUMIFS(Calendar!$C$16:$C$141,Calendar!$A$16:$A$141,"&gt;="&amp;MAX(W$7,$J36),Calendar!$A$16:$A$141,"&lt;="&amp;MIN(W$7+4,$K36))*$H36/$G36)))</x:f>
        <x:v>0</x:v>
      </x:c>
      <x:c r="X36" s="45" t="n">
        <x:f>IF(OR($J36="",$K36=""),"",IF(SUMIFS(Calendar!$C$16:$C$141,Calendar!$A$16:$A$141,"&gt;="&amp;MAX(X$7,$J36),Calendar!$A$16:$A$141,"&lt;="&amp;MIN(X$7+4,$K36))=0,0,IF($H36="","EXT",SUMIFS(Calendar!$C$16:$C$141,Calendar!$A$16:$A$141,"&gt;="&amp;MAX(X$7,$J36),Calendar!$A$16:$A$141,"&lt;="&amp;MIN(X$7+4,$K36))*$H36/$G36)))</x:f>
        <x:v>0</x:v>
      </x:c>
      <x:c r="Y36" s="45" t="n">
        <x:f>IF(OR($J36="",$K36=""),"",IF(SUMIFS(Calendar!$C$16:$C$141,Calendar!$A$16:$A$141,"&gt;="&amp;MAX(Y$7,$J36),Calendar!$A$16:$A$141,"&lt;="&amp;MIN(Y$7+4,$K36))=0,0,IF($H36="","EXT",SUMIFS(Calendar!$C$16:$C$141,Calendar!$A$16:$A$141,"&gt;="&amp;MAX(Y$7,$J36),Calendar!$A$16:$A$141,"&lt;="&amp;MIN(Y$7+4,$K36))*$H36/$G36)))</x:f>
        <x:v>0</x:v>
      </x:c>
      <x:c r="Z36" s="45" t="n">
        <x:f>IF(OR($J36="",$K36=""),"",IF(SUMIFS(Calendar!$C$16:$C$141,Calendar!$A$16:$A$141,"&gt;="&amp;MAX(Z$7,$J36),Calendar!$A$16:$A$141,"&lt;="&amp;MIN(Z$7+4,$K36))=0,0,IF($H36="","EXT",SUMIFS(Calendar!$C$16:$C$141,Calendar!$A$16:$A$141,"&gt;="&amp;MAX(Z$7,$J36),Calendar!$A$16:$A$141,"&lt;="&amp;MIN(Z$7+4,$K36))*$H36/$G36)))</x:f>
        <x:v>0</x:v>
      </x:c>
      <x:c r="AA36" s="45" t="n">
        <x:f>IF(OR($J36="",$K36=""),"",IF(SUMIFS(Calendar!$C$16:$C$141,Calendar!$A$16:$A$141,"&gt;="&amp;MAX(AA$7,$J36),Calendar!$A$16:$A$141,"&lt;="&amp;MIN(AA$7+4,$K36))=0,0,IF($H36="","EXT",SUMIFS(Calendar!$C$16:$C$141,Calendar!$A$16:$A$141,"&gt;="&amp;MAX(AA$7,$J36),Calendar!$A$16:$A$141,"&lt;="&amp;MIN(AA$7+4,$K36))*$H36/$G36)))</x:f>
        <x:v>0</x:v>
      </x:c>
      <x:c r="AB36" s="45" t="n">
        <x:f>IF(OR($J36="",$K36=""),"",IF(SUMIFS(Calendar!$C$16:$C$141,Calendar!$A$16:$A$141,"&gt;="&amp;MAX(AB$7,$J36),Calendar!$A$16:$A$141,"&lt;="&amp;MIN(AB$7+4,$K36))=0,0,IF($H36="","EXT",SUMIFS(Calendar!$C$16:$C$141,Calendar!$A$16:$A$141,"&gt;="&amp;MAX(AB$7,$J36),Calendar!$A$16:$A$141,"&lt;="&amp;MIN(AB$7+4,$K36))*$H36/$G36)))</x:f>
        <x:v>0</x:v>
      </x:c>
      <x:c r="AC36" s="45" t="n">
        <x:f>IF(OR($J36="",$K36=""),"",IF(SUMIFS(Calendar!$C$16:$C$141,Calendar!$A$16:$A$141,"&gt;="&amp;MAX(AC$7,$J36),Calendar!$A$16:$A$141,"&lt;="&amp;MIN(AC$7+4,$K36))=0,0,IF($H36="","EXT",SUMIFS(Calendar!$C$16:$C$141,Calendar!$A$16:$A$141,"&gt;="&amp;MAX(AC$7,$J36),Calendar!$A$16:$A$141,"&lt;="&amp;MIN(AC$7+4,$K36))*$H36/$G36)))</x:f>
        <x:v>0</x:v>
      </x:c>
      <x:c r="AD36" s="45" t="n">
        <x:f>IF(OR($J36="",$K36=""),"",IF(SUMIFS(Calendar!$C$16:$C$141,Calendar!$A$16:$A$141,"&gt;="&amp;MAX(AD$7,$J36),Calendar!$A$16:$A$141,"&lt;="&amp;MIN(AD$7+4,$K36))=0,0,IF($H36="","EXT",SUMIFS(Calendar!$C$16:$C$141,Calendar!$A$16:$A$141,"&gt;="&amp;MAX(AD$7,$J36),Calendar!$A$16:$A$141,"&lt;="&amp;MIN(AD$7+4,$K36))*$H36/$G36)))</x:f>
        <x:v>0</x:v>
      </x:c>
      <x:c r="AE36" s="45" t="n">
        <x:f>IF(OR($J36="",$K36=""),"",IF(SUMIFS(Calendar!$C$16:$C$141,Calendar!$A$16:$A$141,"&gt;="&amp;MAX(AE$7,$J36),Calendar!$A$16:$A$141,"&lt;="&amp;MIN(AE$7+4,$K36))=0,0,IF($H36="","EXT",SUMIFS(Calendar!$C$16:$C$141,Calendar!$A$16:$A$141,"&gt;="&amp;MAX(AE$7,$J36),Calendar!$A$16:$A$141,"&lt;="&amp;MIN(AE$7+4,$K36))*$H36/$G36)))</x:f>
        <x:v>0</x:v>
      </x:c>
      <x:c r="AF36" s="8" t="n">
        <x:f>IF(OR(M36&lt;&gt;"Scheduled",INDEX('Team and Gates'!$C$7:$C$13,MATCH($D36,'Team and Gates'!$A$7:$A$13,0))=""),"CHECK",SUM(N36:AE36)*INDEX('Team and Gates'!$C$7:$C$13,MATCH($D36,'Team and Gates'!$A$7:$A$13,0)))</x:f>
        <x:v>1440</x:v>
      </x:c>
      <x:c r="AG36" s="46" t="str">
        <x:v>Reproducible SIT evidence, defect disposition and affected-path retesting are recorded.</x:v>
      </x:c>
      <x:c r="AH36" s="46" t="str">
        <x:v>Protect extended SIT, tuning and post-holiday UAT time. If quality gates slip, reduce scope or replan; do not assume more AI coding fixes quality.</x:v>
      </x:c>
    </x:row>
    <x:row r="37" ht="45" customHeight="1">
      <x:c r="A37" s="39" t="str">
        <x:v>A09</x:v>
      </x:c>
      <x:c r="B37" s="39" t="str">
        <x:v>Async / Azure</x:v>
      </x:c>
      <x:c r="C37" s="47" t="str">
        <x:v>SIT fixes: draft latency, approved sends and uncertain-send recovery</x:v>
      </x:c>
      <x:c r="D37" s="26" t="str">
        <x:v>Dev 2</x:v>
      </x:c>
      <x:c r="E37" s="47" t="str">
        <x:v>A08</x:v>
      </x:c>
      <x:c r="F37" s="50" t="n">
        <x:v>31</x:v>
      </x:c>
      <x:c r="G37" s="50" t="n">
        <x:v>5</x:v>
      </x:c>
      <x:c r="H37" s="51" t="n">
        <x:v>4</x:v>
      </x:c>
      <x:c r="I37" s="39" t="n">
        <x:f>IF(OR(F37="",G37=""),"",F37+G37-1)</x:f>
        <x:v>35</x:v>
      </x:c>
      <x:c r="J37" s="41" t="n">
        <x:f>IF(OR(F37="",F37&lt;1,F37&gt;Calendar!$B$9),"",INDEX(Calendar!$A$16:$A$141,MATCH(F37,Calendar!$D$16:$D$141,0)))</x:f>
        <x:v>46370</x:v>
      </x:c>
      <x:c r="K37" s="41" t="n">
        <x:f>IF(OR(I37="",I37&lt;1,I37&gt;Calendar!$B$9),"",INDEX(Calendar!$A$16:$A$141,MATCH(I37,Calendar!$D$16:$D$141,0)))</x:f>
        <x:v>46374</x:v>
      </x:c>
      <x:c r="L37" s="53" t="n">
        <x:v>0</x:v>
      </x:c>
      <x:c r="M37" s="39" t="str">
        <x:f>IF(OR(F37="",G37="",H37=""),"Missing input",IF(OR(F37&lt;1,G37&lt;1,I37&gt;Calendar!$B$9),"Outside calendar",IF(F37&lt;MAX(INDEX($I$8:$I$157,MATCH("A08",$A$8:$A$157,0))+1),"Dependency conflict","Scheduled")))</x:f>
        <x:v>Scheduled</x:v>
      </x:c>
      <x:c r="N37" s="45" t="n">
        <x:f>IF(OR($J37="",$K37=""),"",IF(SUMIFS(Calendar!$C$16:$C$141,Calendar!$A$16:$A$141,"&gt;="&amp;MAX(N$7,$J37),Calendar!$A$16:$A$141,"&lt;="&amp;MIN(N$7+4,$K37))=0,0,IF($H37="","EXT",SUMIFS(Calendar!$C$16:$C$141,Calendar!$A$16:$A$141,"&gt;="&amp;MAX(N$7,$J37),Calendar!$A$16:$A$141,"&lt;="&amp;MIN(N$7+4,$K37))*$H37/$G37)))</x:f>
        <x:v>0</x:v>
      </x:c>
      <x:c r="O37" s="45" t="n">
        <x:f>IF(OR($J37="",$K37=""),"",IF(SUMIFS(Calendar!$C$16:$C$141,Calendar!$A$16:$A$141,"&gt;="&amp;MAX(O$7,$J37),Calendar!$A$16:$A$141,"&lt;="&amp;MIN(O$7+4,$K37))=0,0,IF($H37="","EXT",SUMIFS(Calendar!$C$16:$C$141,Calendar!$A$16:$A$141,"&gt;="&amp;MAX(O$7,$J37),Calendar!$A$16:$A$141,"&lt;="&amp;MIN(O$7+4,$K37))*$H37/$G37)))</x:f>
        <x:v>0</x:v>
      </x:c>
      <x:c r="P37" s="45" t="n">
        <x:f>IF(OR($J37="",$K37=""),"",IF(SUMIFS(Calendar!$C$16:$C$141,Calendar!$A$16:$A$141,"&gt;="&amp;MAX(P$7,$J37),Calendar!$A$16:$A$141,"&lt;="&amp;MIN(P$7+4,$K37))=0,0,IF($H37="","EXT",SUMIFS(Calendar!$C$16:$C$141,Calendar!$A$16:$A$141,"&gt;="&amp;MAX(P$7,$J37),Calendar!$A$16:$A$141,"&lt;="&amp;MIN(P$7+4,$K37))*$H37/$G37)))</x:f>
        <x:v>0</x:v>
      </x:c>
      <x:c r="Q37" s="45" t="n">
        <x:f>IF(OR($J37="",$K37=""),"",IF(SUMIFS(Calendar!$C$16:$C$141,Calendar!$A$16:$A$141,"&gt;="&amp;MAX(Q$7,$J37),Calendar!$A$16:$A$141,"&lt;="&amp;MIN(Q$7+4,$K37))=0,0,IF($H37="","EXT",SUMIFS(Calendar!$C$16:$C$141,Calendar!$A$16:$A$141,"&gt;="&amp;MAX(Q$7,$J37),Calendar!$A$16:$A$141,"&lt;="&amp;MIN(Q$7+4,$K37))*$H37/$G37)))</x:f>
        <x:v>0</x:v>
      </x:c>
      <x:c r="R37" s="45" t="n">
        <x:f>IF(OR($J37="",$K37=""),"",IF(SUMIFS(Calendar!$C$16:$C$141,Calendar!$A$16:$A$141,"&gt;="&amp;MAX(R$7,$J37),Calendar!$A$16:$A$141,"&lt;="&amp;MIN(R$7+4,$K37))=0,0,IF($H37="","EXT",SUMIFS(Calendar!$C$16:$C$141,Calendar!$A$16:$A$141,"&gt;="&amp;MAX(R$7,$J37),Calendar!$A$16:$A$141,"&lt;="&amp;MIN(R$7+4,$K37))*$H37/$G37)))</x:f>
        <x:v>0</x:v>
      </x:c>
      <x:c r="S37" s="45" t="n">
        <x:f>IF(OR($J37="",$K37=""),"",IF(SUMIFS(Calendar!$C$16:$C$141,Calendar!$A$16:$A$141,"&gt;="&amp;MAX(S$7,$J37),Calendar!$A$16:$A$141,"&lt;="&amp;MIN(S$7+4,$K37))=0,0,IF($H37="","EXT",SUMIFS(Calendar!$C$16:$C$141,Calendar!$A$16:$A$141,"&gt;="&amp;MAX(S$7,$J37),Calendar!$A$16:$A$141,"&lt;="&amp;MIN(S$7+4,$K37))*$H37/$G37)))</x:f>
        <x:v>0</x:v>
      </x:c>
      <x:c r="T37" s="45" t="n">
        <x:f>IF(OR($J37="",$K37=""),"",IF(SUMIFS(Calendar!$C$16:$C$141,Calendar!$A$16:$A$141,"&gt;="&amp;MAX(T$7,$J37),Calendar!$A$16:$A$141,"&lt;="&amp;MIN(T$7+4,$K37))=0,0,IF($H37="","EXT",SUMIFS(Calendar!$C$16:$C$141,Calendar!$A$16:$A$141,"&gt;="&amp;MAX(T$7,$J37),Calendar!$A$16:$A$141,"&lt;="&amp;MIN(T$7+4,$K37))*$H37/$G37)))</x:f>
        <x:v>4</x:v>
      </x:c>
      <x:c r="U37" s="45" t="n">
        <x:f>IF(OR($J37="",$K37=""),"",IF(SUMIFS(Calendar!$C$16:$C$141,Calendar!$A$16:$A$141,"&gt;="&amp;MAX(U$7,$J37),Calendar!$A$16:$A$141,"&lt;="&amp;MIN(U$7+4,$K37))=0,0,IF($H37="","EXT",SUMIFS(Calendar!$C$16:$C$141,Calendar!$A$16:$A$141,"&gt;="&amp;MAX(U$7,$J37),Calendar!$A$16:$A$141,"&lt;="&amp;MIN(U$7+4,$K37))*$H37/$G37)))</x:f>
        <x:v>0</x:v>
      </x:c>
      <x:c r="V37" s="45" t="n">
        <x:f>IF(OR($J37="",$K37=""),"",IF(SUMIFS(Calendar!$C$16:$C$141,Calendar!$A$16:$A$141,"&gt;="&amp;MAX(V$7,$J37),Calendar!$A$16:$A$141,"&lt;="&amp;MIN(V$7+4,$K37))=0,0,IF($H37="","EXT",SUMIFS(Calendar!$C$16:$C$141,Calendar!$A$16:$A$141,"&gt;="&amp;MAX(V$7,$J37),Calendar!$A$16:$A$141,"&lt;="&amp;MIN(V$7+4,$K37))*$H37/$G37)))</x:f>
        <x:v>0</x:v>
      </x:c>
      <x:c r="W37" s="45" t="n">
        <x:f>IF(OR($J37="",$K37=""),"",IF(SUMIFS(Calendar!$C$16:$C$141,Calendar!$A$16:$A$141,"&gt;="&amp;MAX(W$7,$J37),Calendar!$A$16:$A$141,"&lt;="&amp;MIN(W$7+4,$K37))=0,0,IF($H37="","EXT",SUMIFS(Calendar!$C$16:$C$141,Calendar!$A$16:$A$141,"&gt;="&amp;MAX(W$7,$J37),Calendar!$A$16:$A$141,"&lt;="&amp;MIN(W$7+4,$K37))*$H37/$G37)))</x:f>
        <x:v>0</x:v>
      </x:c>
      <x:c r="X37" s="45" t="n">
        <x:f>IF(OR($J37="",$K37=""),"",IF(SUMIFS(Calendar!$C$16:$C$141,Calendar!$A$16:$A$141,"&gt;="&amp;MAX(X$7,$J37),Calendar!$A$16:$A$141,"&lt;="&amp;MIN(X$7+4,$K37))=0,0,IF($H37="","EXT",SUMIFS(Calendar!$C$16:$C$141,Calendar!$A$16:$A$141,"&gt;="&amp;MAX(X$7,$J37),Calendar!$A$16:$A$141,"&lt;="&amp;MIN(X$7+4,$K37))*$H37/$G37)))</x:f>
        <x:v>0</x:v>
      </x:c>
      <x:c r="Y37" s="45" t="n">
        <x:f>IF(OR($J37="",$K37=""),"",IF(SUMIFS(Calendar!$C$16:$C$141,Calendar!$A$16:$A$141,"&gt;="&amp;MAX(Y$7,$J37),Calendar!$A$16:$A$141,"&lt;="&amp;MIN(Y$7+4,$K37))=0,0,IF($H37="","EXT",SUMIFS(Calendar!$C$16:$C$141,Calendar!$A$16:$A$141,"&gt;="&amp;MAX(Y$7,$J37),Calendar!$A$16:$A$141,"&lt;="&amp;MIN(Y$7+4,$K37))*$H37/$G37)))</x:f>
        <x:v>0</x:v>
      </x:c>
      <x:c r="Z37" s="45" t="n">
        <x:f>IF(OR($J37="",$K37=""),"",IF(SUMIFS(Calendar!$C$16:$C$141,Calendar!$A$16:$A$141,"&gt;="&amp;MAX(Z$7,$J37),Calendar!$A$16:$A$141,"&lt;="&amp;MIN(Z$7+4,$K37))=0,0,IF($H37="","EXT",SUMIFS(Calendar!$C$16:$C$141,Calendar!$A$16:$A$141,"&gt;="&amp;MAX(Z$7,$J37),Calendar!$A$16:$A$141,"&lt;="&amp;MIN(Z$7+4,$K37))*$H37/$G37)))</x:f>
        <x:v>0</x:v>
      </x:c>
      <x:c r="AA37" s="45" t="n">
        <x:f>IF(OR($J37="",$K37=""),"",IF(SUMIFS(Calendar!$C$16:$C$141,Calendar!$A$16:$A$141,"&gt;="&amp;MAX(AA$7,$J37),Calendar!$A$16:$A$141,"&lt;="&amp;MIN(AA$7+4,$K37))=0,0,IF($H37="","EXT",SUMIFS(Calendar!$C$16:$C$141,Calendar!$A$16:$A$141,"&gt;="&amp;MAX(AA$7,$J37),Calendar!$A$16:$A$141,"&lt;="&amp;MIN(AA$7+4,$K37))*$H37/$G37)))</x:f>
        <x:v>0</x:v>
      </x:c>
      <x:c r="AB37" s="45" t="n">
        <x:f>IF(OR($J37="",$K37=""),"",IF(SUMIFS(Calendar!$C$16:$C$141,Calendar!$A$16:$A$141,"&gt;="&amp;MAX(AB$7,$J37),Calendar!$A$16:$A$141,"&lt;="&amp;MIN(AB$7+4,$K37))=0,0,IF($H37="","EXT",SUMIFS(Calendar!$C$16:$C$141,Calendar!$A$16:$A$141,"&gt;="&amp;MAX(AB$7,$J37),Calendar!$A$16:$A$141,"&lt;="&amp;MIN(AB$7+4,$K37))*$H37/$G37)))</x:f>
        <x:v>0</x:v>
      </x:c>
      <x:c r="AC37" s="45" t="n">
        <x:f>IF(OR($J37="",$K37=""),"",IF(SUMIFS(Calendar!$C$16:$C$141,Calendar!$A$16:$A$141,"&gt;="&amp;MAX(AC$7,$J37),Calendar!$A$16:$A$141,"&lt;="&amp;MIN(AC$7+4,$K37))=0,0,IF($H37="","EXT",SUMIFS(Calendar!$C$16:$C$141,Calendar!$A$16:$A$141,"&gt;="&amp;MAX(AC$7,$J37),Calendar!$A$16:$A$141,"&lt;="&amp;MIN(AC$7+4,$K37))*$H37/$G37)))</x:f>
        <x:v>0</x:v>
      </x:c>
      <x:c r="AD37" s="45" t="n">
        <x:f>IF(OR($J37="",$K37=""),"",IF(SUMIFS(Calendar!$C$16:$C$141,Calendar!$A$16:$A$141,"&gt;="&amp;MAX(AD$7,$J37),Calendar!$A$16:$A$141,"&lt;="&amp;MIN(AD$7+4,$K37))=0,0,IF($H37="","EXT",SUMIFS(Calendar!$C$16:$C$141,Calendar!$A$16:$A$141,"&gt;="&amp;MAX(AD$7,$J37),Calendar!$A$16:$A$141,"&lt;="&amp;MIN(AD$7+4,$K37))*$H37/$G37)))</x:f>
        <x:v>0</x:v>
      </x:c>
      <x:c r="AE37" s="45" t="n">
        <x:f>IF(OR($J37="",$K37=""),"",IF(SUMIFS(Calendar!$C$16:$C$141,Calendar!$A$16:$A$141,"&gt;="&amp;MAX(AE$7,$J37),Calendar!$A$16:$A$141,"&lt;="&amp;MIN(AE$7+4,$K37))=0,0,IF($H37="","EXT",SUMIFS(Calendar!$C$16:$C$141,Calendar!$A$16:$A$141,"&gt;="&amp;MAX(AE$7,$J37),Calendar!$A$16:$A$141,"&lt;="&amp;MIN(AE$7+4,$K37))*$H37/$G37)))</x:f>
        <x:v>0</x:v>
      </x:c>
      <x:c r="AF37" s="8" t="n">
        <x:f>IF(OR(M37&lt;&gt;"Scheduled",INDEX('Team and Gates'!$C$7:$C$13,MATCH($D37,'Team and Gates'!$A$7:$A$13,0))=""),"CHECK",SUM(N37:AE37)*INDEX('Team and Gates'!$C$7:$C$13,MATCH($D37,'Team and Gates'!$A$7:$A$13,0)))</x:f>
        <x:v>1440</x:v>
      </x:c>
      <x:c r="AG37" s="46" t="str">
        <x:v>Reproducible SIT evidence, defect disposition and affected-path retesting are recorded.</x:v>
      </x:c>
      <x:c r="AH37" s="46" t="str">
        <x:v>Protect extended SIT, tuning and post-holiday UAT time. If quality gates slip, reduce scope or replan; do not assume more AI coding fixes quality.</x:v>
      </x:c>
    </x:row>
    <x:row r="38" ht="45" customHeight="1">
      <x:c r="A38" s="2" t="str">
        <x:v>A10</x:v>
      </x:c>
      <x:c r="B38" s="2" t="str">
        <x:v>Async / Azure</x:v>
      </x:c>
      <x:c r="C38" s="46" t="str">
        <x:v>SIT fixes: Playbook jobs, concurrency and bounded executor isolation</x:v>
      </x:c>
      <x:c r="D38" s="26" t="str">
        <x:v>Dev 2</x:v>
      </x:c>
      <x:c r="E38" s="46" t="str">
        <x:v>A09</x:v>
      </x:c>
      <x:c r="F38" s="50" t="n">
        <x:v>36</x:v>
      </x:c>
      <x:c r="G38" s="50" t="n">
        <x:v>5</x:v>
      </x:c>
      <x:c r="H38" s="51" t="n">
        <x:v>4</x:v>
      </x:c>
      <x:c r="I38" s="2" t="n">
        <x:f>IF(OR(F38="",G38=""),"",F38+G38-1)</x:f>
        <x:v>40</x:v>
      </x:c>
      <x:c r="J38" s="5" t="n">
        <x:f>IF(OR(F38="",F38&lt;1,F38&gt;Calendar!$B$9),"",INDEX(Calendar!$A$16:$A$141,MATCH(F38,Calendar!$D$16:$D$141,0)))</x:f>
        <x:v>46377</x:v>
      </x:c>
      <x:c r="K38" s="5" t="n">
        <x:f>IF(OR(I38="",I38&lt;1,I38&gt;Calendar!$B$9),"",INDEX(Calendar!$A$16:$A$141,MATCH(I38,Calendar!$D$16:$D$141,0)))</x:f>
        <x:v>46381</x:v>
      </x:c>
      <x:c r="L38" s="53" t="n">
        <x:v>0</x:v>
      </x:c>
      <x:c r="M38" s="2" t="str">
        <x:f>IF(OR(F38="",G38="",H38=""),"Missing input",IF(OR(F38&lt;1,G38&lt;1,I38&gt;Calendar!$B$9),"Outside calendar",IF(F38&lt;MAX(INDEX($I$8:$I$157,MATCH("A09",$A$8:$A$157,0))+1),"Dependency conflict","Scheduled")))</x:f>
        <x:v>Scheduled</x:v>
      </x:c>
      <x:c r="N38" s="45" t="n">
        <x:f>IF(OR($J38="",$K38=""),"",IF(SUMIFS(Calendar!$C$16:$C$141,Calendar!$A$16:$A$141,"&gt;="&amp;MAX(N$7,$J38),Calendar!$A$16:$A$141,"&lt;="&amp;MIN(N$7+4,$K38))=0,0,IF($H38="","EXT",SUMIFS(Calendar!$C$16:$C$141,Calendar!$A$16:$A$141,"&gt;="&amp;MAX(N$7,$J38),Calendar!$A$16:$A$141,"&lt;="&amp;MIN(N$7+4,$K38))*$H38/$G38)))</x:f>
        <x:v>0</x:v>
      </x:c>
      <x:c r="O38" s="45" t="n">
        <x:f>IF(OR($J38="",$K38=""),"",IF(SUMIFS(Calendar!$C$16:$C$141,Calendar!$A$16:$A$141,"&gt;="&amp;MAX(O$7,$J38),Calendar!$A$16:$A$141,"&lt;="&amp;MIN(O$7+4,$K38))=0,0,IF($H38="","EXT",SUMIFS(Calendar!$C$16:$C$141,Calendar!$A$16:$A$141,"&gt;="&amp;MAX(O$7,$J38),Calendar!$A$16:$A$141,"&lt;="&amp;MIN(O$7+4,$K38))*$H38/$G38)))</x:f>
        <x:v>0</x:v>
      </x:c>
      <x:c r="P38" s="45" t="n">
        <x:f>IF(OR($J38="",$K38=""),"",IF(SUMIFS(Calendar!$C$16:$C$141,Calendar!$A$16:$A$141,"&gt;="&amp;MAX(P$7,$J38),Calendar!$A$16:$A$141,"&lt;="&amp;MIN(P$7+4,$K38))=0,0,IF($H38="","EXT",SUMIFS(Calendar!$C$16:$C$141,Calendar!$A$16:$A$141,"&gt;="&amp;MAX(P$7,$J38),Calendar!$A$16:$A$141,"&lt;="&amp;MIN(P$7+4,$K38))*$H38/$G38)))</x:f>
        <x:v>0</x:v>
      </x:c>
      <x:c r="Q38" s="45" t="n">
        <x:f>IF(OR($J38="",$K38=""),"",IF(SUMIFS(Calendar!$C$16:$C$141,Calendar!$A$16:$A$141,"&gt;="&amp;MAX(Q$7,$J38),Calendar!$A$16:$A$141,"&lt;="&amp;MIN(Q$7+4,$K38))=0,0,IF($H38="","EXT",SUMIFS(Calendar!$C$16:$C$141,Calendar!$A$16:$A$141,"&gt;="&amp;MAX(Q$7,$J38),Calendar!$A$16:$A$141,"&lt;="&amp;MIN(Q$7+4,$K38))*$H38/$G38)))</x:f>
        <x:v>0</x:v>
      </x:c>
      <x:c r="R38" s="45" t="n">
        <x:f>IF(OR($J38="",$K38=""),"",IF(SUMIFS(Calendar!$C$16:$C$141,Calendar!$A$16:$A$141,"&gt;="&amp;MAX(R$7,$J38),Calendar!$A$16:$A$141,"&lt;="&amp;MIN(R$7+4,$K38))=0,0,IF($H38="","EXT",SUMIFS(Calendar!$C$16:$C$141,Calendar!$A$16:$A$141,"&gt;="&amp;MAX(R$7,$J38),Calendar!$A$16:$A$141,"&lt;="&amp;MIN(R$7+4,$K38))*$H38/$G38)))</x:f>
        <x:v>0</x:v>
      </x:c>
      <x:c r="S38" s="45" t="n">
        <x:f>IF(OR($J38="",$K38=""),"",IF(SUMIFS(Calendar!$C$16:$C$141,Calendar!$A$16:$A$141,"&gt;="&amp;MAX(S$7,$J38),Calendar!$A$16:$A$141,"&lt;="&amp;MIN(S$7+4,$K38))=0,0,IF($H38="","EXT",SUMIFS(Calendar!$C$16:$C$141,Calendar!$A$16:$A$141,"&gt;="&amp;MAX(S$7,$J38),Calendar!$A$16:$A$141,"&lt;="&amp;MIN(S$7+4,$K38))*$H38/$G38)))</x:f>
        <x:v>0</x:v>
      </x:c>
      <x:c r="T38" s="45" t="n">
        <x:f>IF(OR($J38="",$K38=""),"",IF(SUMIFS(Calendar!$C$16:$C$141,Calendar!$A$16:$A$141,"&gt;="&amp;MAX(T$7,$J38),Calendar!$A$16:$A$141,"&lt;="&amp;MIN(T$7+4,$K38))=0,0,IF($H38="","EXT",SUMIFS(Calendar!$C$16:$C$141,Calendar!$A$16:$A$141,"&gt;="&amp;MAX(T$7,$J38),Calendar!$A$16:$A$141,"&lt;="&amp;MIN(T$7+4,$K38))*$H38/$G38)))</x:f>
        <x:v>0</x:v>
      </x:c>
      <x:c r="U38" s="45" t="n">
        <x:f>IF(OR($J38="",$K38=""),"",IF(SUMIFS(Calendar!$C$16:$C$141,Calendar!$A$16:$A$141,"&gt;="&amp;MAX(U$7,$J38),Calendar!$A$16:$A$141,"&lt;="&amp;MIN(U$7+4,$K38))=0,0,IF($H38="","EXT",SUMIFS(Calendar!$C$16:$C$141,Calendar!$A$16:$A$141,"&gt;="&amp;MAX(U$7,$J38),Calendar!$A$16:$A$141,"&lt;="&amp;MIN(U$7+4,$K38))*$H38/$G38)))</x:f>
        <x:v>4</x:v>
      </x:c>
      <x:c r="V38" s="45" t="n">
        <x:f>IF(OR($J38="",$K38=""),"",IF(SUMIFS(Calendar!$C$16:$C$141,Calendar!$A$16:$A$141,"&gt;="&amp;MAX(V$7,$J38),Calendar!$A$16:$A$141,"&lt;="&amp;MIN(V$7+4,$K38))=0,0,IF($H38="","EXT",SUMIFS(Calendar!$C$16:$C$141,Calendar!$A$16:$A$141,"&gt;="&amp;MAX(V$7,$J38),Calendar!$A$16:$A$141,"&lt;="&amp;MIN(V$7+4,$K38))*$H38/$G38)))</x:f>
        <x:v>0</x:v>
      </x:c>
      <x:c r="W38" s="45" t="n">
        <x:f>IF(OR($J38="",$K38=""),"",IF(SUMIFS(Calendar!$C$16:$C$141,Calendar!$A$16:$A$141,"&gt;="&amp;MAX(W$7,$J38),Calendar!$A$16:$A$141,"&lt;="&amp;MIN(W$7+4,$K38))=0,0,IF($H38="","EXT",SUMIFS(Calendar!$C$16:$C$141,Calendar!$A$16:$A$141,"&gt;="&amp;MAX(W$7,$J38),Calendar!$A$16:$A$141,"&lt;="&amp;MIN(W$7+4,$K38))*$H38/$G38)))</x:f>
        <x:v>0</x:v>
      </x:c>
      <x:c r="X38" s="45" t="n">
        <x:f>IF(OR($J38="",$K38=""),"",IF(SUMIFS(Calendar!$C$16:$C$141,Calendar!$A$16:$A$141,"&gt;="&amp;MAX(X$7,$J38),Calendar!$A$16:$A$141,"&lt;="&amp;MIN(X$7+4,$K38))=0,0,IF($H38="","EXT",SUMIFS(Calendar!$C$16:$C$141,Calendar!$A$16:$A$141,"&gt;="&amp;MAX(X$7,$J38),Calendar!$A$16:$A$141,"&lt;="&amp;MIN(X$7+4,$K38))*$H38/$G38)))</x:f>
        <x:v>0</x:v>
      </x:c>
      <x:c r="Y38" s="45" t="n">
        <x:f>IF(OR($J38="",$K38=""),"",IF(SUMIFS(Calendar!$C$16:$C$141,Calendar!$A$16:$A$141,"&gt;="&amp;MAX(Y$7,$J38),Calendar!$A$16:$A$141,"&lt;="&amp;MIN(Y$7+4,$K38))=0,0,IF($H38="","EXT",SUMIFS(Calendar!$C$16:$C$141,Calendar!$A$16:$A$141,"&gt;="&amp;MAX(Y$7,$J38),Calendar!$A$16:$A$141,"&lt;="&amp;MIN(Y$7+4,$K38))*$H38/$G38)))</x:f>
        <x:v>0</x:v>
      </x:c>
      <x:c r="Z38" s="45" t="n">
        <x:f>IF(OR($J38="",$K38=""),"",IF(SUMIFS(Calendar!$C$16:$C$141,Calendar!$A$16:$A$141,"&gt;="&amp;MAX(Z$7,$J38),Calendar!$A$16:$A$141,"&lt;="&amp;MIN(Z$7+4,$K38))=0,0,IF($H38="","EXT",SUMIFS(Calendar!$C$16:$C$141,Calendar!$A$16:$A$141,"&gt;="&amp;MAX(Z$7,$J38),Calendar!$A$16:$A$141,"&lt;="&amp;MIN(Z$7+4,$K38))*$H38/$G38)))</x:f>
        <x:v>0</x:v>
      </x:c>
      <x:c r="AA38" s="45" t="n">
        <x:f>IF(OR($J38="",$K38=""),"",IF(SUMIFS(Calendar!$C$16:$C$141,Calendar!$A$16:$A$141,"&gt;="&amp;MAX(AA$7,$J38),Calendar!$A$16:$A$141,"&lt;="&amp;MIN(AA$7+4,$K38))=0,0,IF($H38="","EXT",SUMIFS(Calendar!$C$16:$C$141,Calendar!$A$16:$A$141,"&gt;="&amp;MAX(AA$7,$J38),Calendar!$A$16:$A$141,"&lt;="&amp;MIN(AA$7+4,$K38))*$H38/$G38)))</x:f>
        <x:v>0</x:v>
      </x:c>
      <x:c r="AB38" s="45" t="n">
        <x:f>IF(OR($J38="",$K38=""),"",IF(SUMIFS(Calendar!$C$16:$C$141,Calendar!$A$16:$A$141,"&gt;="&amp;MAX(AB$7,$J38),Calendar!$A$16:$A$141,"&lt;="&amp;MIN(AB$7+4,$K38))=0,0,IF($H38="","EXT",SUMIFS(Calendar!$C$16:$C$141,Calendar!$A$16:$A$141,"&gt;="&amp;MAX(AB$7,$J38),Calendar!$A$16:$A$141,"&lt;="&amp;MIN(AB$7+4,$K38))*$H38/$G38)))</x:f>
        <x:v>0</x:v>
      </x:c>
      <x:c r="AC38" s="45" t="n">
        <x:f>IF(OR($J38="",$K38=""),"",IF(SUMIFS(Calendar!$C$16:$C$141,Calendar!$A$16:$A$141,"&gt;="&amp;MAX(AC$7,$J38),Calendar!$A$16:$A$141,"&lt;="&amp;MIN(AC$7+4,$K38))=0,0,IF($H38="","EXT",SUMIFS(Calendar!$C$16:$C$141,Calendar!$A$16:$A$141,"&gt;="&amp;MAX(AC$7,$J38),Calendar!$A$16:$A$141,"&lt;="&amp;MIN(AC$7+4,$K38))*$H38/$G38)))</x:f>
        <x:v>0</x:v>
      </x:c>
      <x:c r="AD38" s="45" t="n">
        <x:f>IF(OR($J38="",$K38=""),"",IF(SUMIFS(Calendar!$C$16:$C$141,Calendar!$A$16:$A$141,"&gt;="&amp;MAX(AD$7,$J38),Calendar!$A$16:$A$141,"&lt;="&amp;MIN(AD$7+4,$K38))=0,0,IF($H38="","EXT",SUMIFS(Calendar!$C$16:$C$141,Calendar!$A$16:$A$141,"&gt;="&amp;MAX(AD$7,$J38),Calendar!$A$16:$A$141,"&lt;="&amp;MIN(AD$7+4,$K38))*$H38/$G38)))</x:f>
        <x:v>0</x:v>
      </x:c>
      <x:c r="AE38" s="45" t="n">
        <x:f>IF(OR($J38="",$K38=""),"",IF(SUMIFS(Calendar!$C$16:$C$141,Calendar!$A$16:$A$141,"&gt;="&amp;MAX(AE$7,$J38),Calendar!$A$16:$A$141,"&lt;="&amp;MIN(AE$7+4,$K38))=0,0,IF($H38="","EXT",SUMIFS(Calendar!$C$16:$C$141,Calendar!$A$16:$A$141,"&gt;="&amp;MAX(AE$7,$J38),Calendar!$A$16:$A$141,"&lt;="&amp;MIN(AE$7+4,$K38))*$H38/$G38)))</x:f>
        <x:v>0</x:v>
      </x:c>
      <x:c r="AF38" s="8" t="n">
        <x:f>IF(OR(M38&lt;&gt;"Scheduled",INDEX('Team and Gates'!$C$7:$C$13,MATCH($D38,'Team and Gates'!$A$7:$A$13,0))=""),"CHECK",SUM(N38:AE38)*INDEX('Team and Gates'!$C$7:$C$13,MATCH($D38,'Team and Gates'!$A$7:$A$13,0)))</x:f>
        <x:v>1440</x:v>
      </x:c>
      <x:c r="AG38" s="46" t="str">
        <x:v>Reproducible SIT evidence, defect disposition and affected-path retesting are recorded.</x:v>
      </x:c>
      <x:c r="AH38" s="46" t="str">
        <x:v>Protect extended SIT, tuning and post-holiday UAT time. If quality gates slip, reduce scope or replan; do not assume more AI coding fixes quality.</x:v>
      </x:c>
    </x:row>
    <x:row r="39" ht="45" customHeight="1">
      <x:c r="A39" s="39" t="str">
        <x:v>A11</x:v>
      </x:c>
      <x:c r="B39" s="39" t="str">
        <x:v>Async / Azure</x:v>
      </x:c>
      <x:c r="C39" s="47" t="str">
        <x:v>Restore, failover, clean deploy and backend rollback qualification</x:v>
      </x:c>
      <x:c r="D39" s="26" t="str">
        <x:v>Dev 2</x:v>
      </x:c>
      <x:c r="E39" s="47" t="str">
        <x:v>A10</x:v>
      </x:c>
      <x:c r="F39" s="50" t="n">
        <x:v>41</x:v>
      </x:c>
      <x:c r="G39" s="50" t="n">
        <x:v>5</x:v>
      </x:c>
      <x:c r="H39" s="51" t="n">
        <x:v>4</x:v>
      </x:c>
      <x:c r="I39" s="39" t="n">
        <x:f>IF(OR(F39="",G39=""),"",F39+G39-1)</x:f>
        <x:v>45</x:v>
      </x:c>
      <x:c r="J39" s="41" t="n">
        <x:f>IF(OR(F39="",F39&lt;1,F39&gt;Calendar!$B$9),"",INDEX(Calendar!$A$16:$A$141,MATCH(F39,Calendar!$D$16:$D$141,0)))</x:f>
        <x:v>46384</x:v>
      </x:c>
      <x:c r="K39" s="41" t="n">
        <x:f>IF(OR(I39="",I39&lt;1,I39&gt;Calendar!$B$9),"",INDEX(Calendar!$A$16:$A$141,MATCH(I39,Calendar!$D$16:$D$141,0)))</x:f>
        <x:v>46388</x:v>
      </x:c>
      <x:c r="L39" s="53" t="n">
        <x:v>0</x:v>
      </x:c>
      <x:c r="M39" s="39" t="str">
        <x:f>IF(OR(F39="",G39="",H39=""),"Missing input",IF(OR(F39&lt;1,G39&lt;1,I39&gt;Calendar!$B$9),"Outside calendar",IF(F39&lt;MAX(INDEX($I$8:$I$157,MATCH("A10",$A$8:$A$157,0))+1),"Dependency conflict","Scheduled")))</x:f>
        <x:v>Scheduled</x:v>
      </x:c>
      <x:c r="N39" s="45" t="n">
        <x:f>IF(OR($J39="",$K39=""),"",IF(SUMIFS(Calendar!$C$16:$C$141,Calendar!$A$16:$A$141,"&gt;="&amp;MAX(N$7,$J39),Calendar!$A$16:$A$141,"&lt;="&amp;MIN(N$7+4,$K39))=0,0,IF($H39="","EXT",SUMIFS(Calendar!$C$16:$C$141,Calendar!$A$16:$A$141,"&gt;="&amp;MAX(N$7,$J39),Calendar!$A$16:$A$141,"&lt;="&amp;MIN(N$7+4,$K39))*$H39/$G39)))</x:f>
        <x:v>0</x:v>
      </x:c>
      <x:c r="O39" s="45" t="n">
        <x:f>IF(OR($J39="",$K39=""),"",IF(SUMIFS(Calendar!$C$16:$C$141,Calendar!$A$16:$A$141,"&gt;="&amp;MAX(O$7,$J39),Calendar!$A$16:$A$141,"&lt;="&amp;MIN(O$7+4,$K39))=0,0,IF($H39="","EXT",SUMIFS(Calendar!$C$16:$C$141,Calendar!$A$16:$A$141,"&gt;="&amp;MAX(O$7,$J39),Calendar!$A$16:$A$141,"&lt;="&amp;MIN(O$7+4,$K39))*$H39/$G39)))</x:f>
        <x:v>0</x:v>
      </x:c>
      <x:c r="P39" s="45" t="n">
        <x:f>IF(OR($J39="",$K39=""),"",IF(SUMIFS(Calendar!$C$16:$C$141,Calendar!$A$16:$A$141,"&gt;="&amp;MAX(P$7,$J39),Calendar!$A$16:$A$141,"&lt;="&amp;MIN(P$7+4,$K39))=0,0,IF($H39="","EXT",SUMIFS(Calendar!$C$16:$C$141,Calendar!$A$16:$A$141,"&gt;="&amp;MAX(P$7,$J39),Calendar!$A$16:$A$141,"&lt;="&amp;MIN(P$7+4,$K39))*$H39/$G39)))</x:f>
        <x:v>0</x:v>
      </x:c>
      <x:c r="Q39" s="45" t="n">
        <x:f>IF(OR($J39="",$K39=""),"",IF(SUMIFS(Calendar!$C$16:$C$141,Calendar!$A$16:$A$141,"&gt;="&amp;MAX(Q$7,$J39),Calendar!$A$16:$A$141,"&lt;="&amp;MIN(Q$7+4,$K39))=0,0,IF($H39="","EXT",SUMIFS(Calendar!$C$16:$C$141,Calendar!$A$16:$A$141,"&gt;="&amp;MAX(Q$7,$J39),Calendar!$A$16:$A$141,"&lt;="&amp;MIN(Q$7+4,$K39))*$H39/$G39)))</x:f>
        <x:v>0</x:v>
      </x:c>
      <x:c r="R39" s="45" t="n">
        <x:f>IF(OR($J39="",$K39=""),"",IF(SUMIFS(Calendar!$C$16:$C$141,Calendar!$A$16:$A$141,"&gt;="&amp;MAX(R$7,$J39),Calendar!$A$16:$A$141,"&lt;="&amp;MIN(R$7+4,$K39))=0,0,IF($H39="","EXT",SUMIFS(Calendar!$C$16:$C$141,Calendar!$A$16:$A$141,"&gt;="&amp;MAX(R$7,$J39),Calendar!$A$16:$A$141,"&lt;="&amp;MIN(R$7+4,$K39))*$H39/$G39)))</x:f>
        <x:v>0</x:v>
      </x:c>
      <x:c r="S39" s="45" t="n">
        <x:f>IF(OR($J39="",$K39=""),"",IF(SUMIFS(Calendar!$C$16:$C$141,Calendar!$A$16:$A$141,"&gt;="&amp;MAX(S$7,$J39),Calendar!$A$16:$A$141,"&lt;="&amp;MIN(S$7+4,$K39))=0,0,IF($H39="","EXT",SUMIFS(Calendar!$C$16:$C$141,Calendar!$A$16:$A$141,"&gt;="&amp;MAX(S$7,$J39),Calendar!$A$16:$A$141,"&lt;="&amp;MIN(S$7+4,$K39))*$H39/$G39)))</x:f>
        <x:v>0</x:v>
      </x:c>
      <x:c r="T39" s="45" t="n">
        <x:f>IF(OR($J39="",$K39=""),"",IF(SUMIFS(Calendar!$C$16:$C$141,Calendar!$A$16:$A$141,"&gt;="&amp;MAX(T$7,$J39),Calendar!$A$16:$A$141,"&lt;="&amp;MIN(T$7+4,$K39))=0,0,IF($H39="","EXT",SUMIFS(Calendar!$C$16:$C$141,Calendar!$A$16:$A$141,"&gt;="&amp;MAX(T$7,$J39),Calendar!$A$16:$A$141,"&lt;="&amp;MIN(T$7+4,$K39))*$H39/$G39)))</x:f>
        <x:v>0</x:v>
      </x:c>
      <x:c r="U39" s="45" t="n">
        <x:f>IF(OR($J39="",$K39=""),"",IF(SUMIFS(Calendar!$C$16:$C$141,Calendar!$A$16:$A$141,"&gt;="&amp;MAX(U$7,$J39),Calendar!$A$16:$A$141,"&lt;="&amp;MIN(U$7+4,$K39))=0,0,IF($H39="","EXT",SUMIFS(Calendar!$C$16:$C$141,Calendar!$A$16:$A$141,"&gt;="&amp;MAX(U$7,$J39),Calendar!$A$16:$A$141,"&lt;="&amp;MIN(U$7+4,$K39))*$H39/$G39)))</x:f>
        <x:v>0</x:v>
      </x:c>
      <x:c r="V39" s="45" t="n">
        <x:f>IF(OR($J39="",$K39=""),"",IF(SUMIFS(Calendar!$C$16:$C$141,Calendar!$A$16:$A$141,"&gt;="&amp;MAX(V$7,$J39),Calendar!$A$16:$A$141,"&lt;="&amp;MIN(V$7+4,$K39))=0,0,IF($H39="","EXT",SUMIFS(Calendar!$C$16:$C$141,Calendar!$A$16:$A$141,"&gt;="&amp;MAX(V$7,$J39),Calendar!$A$16:$A$141,"&lt;="&amp;MIN(V$7+4,$K39))*$H39/$G39)))</x:f>
        <x:v>4</x:v>
      </x:c>
      <x:c r="W39" s="45" t="n">
        <x:f>IF(OR($J39="",$K39=""),"",IF(SUMIFS(Calendar!$C$16:$C$141,Calendar!$A$16:$A$141,"&gt;="&amp;MAX(W$7,$J39),Calendar!$A$16:$A$141,"&lt;="&amp;MIN(W$7+4,$K39))=0,0,IF($H39="","EXT",SUMIFS(Calendar!$C$16:$C$141,Calendar!$A$16:$A$141,"&gt;="&amp;MAX(W$7,$J39),Calendar!$A$16:$A$141,"&lt;="&amp;MIN(W$7+4,$K39))*$H39/$G39)))</x:f>
        <x:v>0</x:v>
      </x:c>
      <x:c r="X39" s="45" t="n">
        <x:f>IF(OR($J39="",$K39=""),"",IF(SUMIFS(Calendar!$C$16:$C$141,Calendar!$A$16:$A$141,"&gt;="&amp;MAX(X$7,$J39),Calendar!$A$16:$A$141,"&lt;="&amp;MIN(X$7+4,$K39))=0,0,IF($H39="","EXT",SUMIFS(Calendar!$C$16:$C$141,Calendar!$A$16:$A$141,"&gt;="&amp;MAX(X$7,$J39),Calendar!$A$16:$A$141,"&lt;="&amp;MIN(X$7+4,$K39))*$H39/$G39)))</x:f>
        <x:v>0</x:v>
      </x:c>
      <x:c r="Y39" s="45" t="n">
        <x:f>IF(OR($J39="",$K39=""),"",IF(SUMIFS(Calendar!$C$16:$C$141,Calendar!$A$16:$A$141,"&gt;="&amp;MAX(Y$7,$J39),Calendar!$A$16:$A$141,"&lt;="&amp;MIN(Y$7+4,$K39))=0,0,IF($H39="","EXT",SUMIFS(Calendar!$C$16:$C$141,Calendar!$A$16:$A$141,"&gt;="&amp;MAX(Y$7,$J39),Calendar!$A$16:$A$141,"&lt;="&amp;MIN(Y$7+4,$K39))*$H39/$G39)))</x:f>
        <x:v>0</x:v>
      </x:c>
      <x:c r="Z39" s="45" t="n">
        <x:f>IF(OR($J39="",$K39=""),"",IF(SUMIFS(Calendar!$C$16:$C$141,Calendar!$A$16:$A$141,"&gt;="&amp;MAX(Z$7,$J39),Calendar!$A$16:$A$141,"&lt;="&amp;MIN(Z$7+4,$K39))=0,0,IF($H39="","EXT",SUMIFS(Calendar!$C$16:$C$141,Calendar!$A$16:$A$141,"&gt;="&amp;MAX(Z$7,$J39),Calendar!$A$16:$A$141,"&lt;="&amp;MIN(Z$7+4,$K39))*$H39/$G39)))</x:f>
        <x:v>0</x:v>
      </x:c>
      <x:c r="AA39" s="45" t="n">
        <x:f>IF(OR($J39="",$K39=""),"",IF(SUMIFS(Calendar!$C$16:$C$141,Calendar!$A$16:$A$141,"&gt;="&amp;MAX(AA$7,$J39),Calendar!$A$16:$A$141,"&lt;="&amp;MIN(AA$7+4,$K39))=0,0,IF($H39="","EXT",SUMIFS(Calendar!$C$16:$C$141,Calendar!$A$16:$A$141,"&gt;="&amp;MAX(AA$7,$J39),Calendar!$A$16:$A$141,"&lt;="&amp;MIN(AA$7+4,$K39))*$H39/$G39)))</x:f>
        <x:v>0</x:v>
      </x:c>
      <x:c r="AB39" s="45" t="n">
        <x:f>IF(OR($J39="",$K39=""),"",IF(SUMIFS(Calendar!$C$16:$C$141,Calendar!$A$16:$A$141,"&gt;="&amp;MAX(AB$7,$J39),Calendar!$A$16:$A$141,"&lt;="&amp;MIN(AB$7+4,$K39))=0,0,IF($H39="","EXT",SUMIFS(Calendar!$C$16:$C$141,Calendar!$A$16:$A$141,"&gt;="&amp;MAX(AB$7,$J39),Calendar!$A$16:$A$141,"&lt;="&amp;MIN(AB$7+4,$K39))*$H39/$G39)))</x:f>
        <x:v>0</x:v>
      </x:c>
      <x:c r="AC39" s="45" t="n">
        <x:f>IF(OR($J39="",$K39=""),"",IF(SUMIFS(Calendar!$C$16:$C$141,Calendar!$A$16:$A$141,"&gt;="&amp;MAX(AC$7,$J39),Calendar!$A$16:$A$141,"&lt;="&amp;MIN(AC$7+4,$K39))=0,0,IF($H39="","EXT",SUMIFS(Calendar!$C$16:$C$141,Calendar!$A$16:$A$141,"&gt;="&amp;MAX(AC$7,$J39),Calendar!$A$16:$A$141,"&lt;="&amp;MIN(AC$7+4,$K39))*$H39/$G39)))</x:f>
        <x:v>0</x:v>
      </x:c>
      <x:c r="AD39" s="45" t="n">
        <x:f>IF(OR($J39="",$K39=""),"",IF(SUMIFS(Calendar!$C$16:$C$141,Calendar!$A$16:$A$141,"&gt;="&amp;MAX(AD$7,$J39),Calendar!$A$16:$A$141,"&lt;="&amp;MIN(AD$7+4,$K39))=0,0,IF($H39="","EXT",SUMIFS(Calendar!$C$16:$C$141,Calendar!$A$16:$A$141,"&gt;="&amp;MAX(AD$7,$J39),Calendar!$A$16:$A$141,"&lt;="&amp;MIN(AD$7+4,$K39))*$H39/$G39)))</x:f>
        <x:v>0</x:v>
      </x:c>
      <x:c r="AE39" s="45" t="n">
        <x:f>IF(OR($J39="",$K39=""),"",IF(SUMIFS(Calendar!$C$16:$C$141,Calendar!$A$16:$A$141,"&gt;="&amp;MAX(AE$7,$J39),Calendar!$A$16:$A$141,"&lt;="&amp;MIN(AE$7+4,$K39))=0,0,IF($H39="","EXT",SUMIFS(Calendar!$C$16:$C$141,Calendar!$A$16:$A$141,"&gt;="&amp;MAX(AE$7,$J39),Calendar!$A$16:$A$141,"&lt;="&amp;MIN(AE$7+4,$K39))*$H39/$G39)))</x:f>
        <x:v>0</x:v>
      </x:c>
      <x:c r="AF39" s="8" t="n">
        <x:f>IF(OR(M39&lt;&gt;"Scheduled",INDEX('Team and Gates'!$C$7:$C$13,MATCH($D39,'Team and Gates'!$A$7:$A$13,0))=""),"CHECK",SUM(N39:AE39)*INDEX('Team and Gates'!$C$7:$C$13,MATCH($D39,'Team and Gates'!$A$7:$A$13,0)))</x:f>
        <x:v>1440</x:v>
      </x:c>
      <x:c r="AG39" s="46" t="str">
        <x:v>Reproducible SIT evidence, defect disposition and affected-path retesting are recorded.</x:v>
      </x:c>
      <x:c r="AH39" s="46" t="str">
        <x:v>Protect extended SIT, tuning and post-holiday UAT time. If quality gates slip, reduce scope or replan; do not assume more AI coding fixes quality.</x:v>
      </x:c>
    </x:row>
    <x:row r="40" ht="45" customHeight="1">
      <x:c r="A40" s="2" t="str">
        <x:v>A-FB10</x:v>
      </x:c>
      <x:c r="B40" s="2" t="str">
        <x:v>Async / Azure</x:v>
      </x:c>
      <x:c r="C40" s="46" t="str">
        <x:v>Recovery, quotas and performance defect fixes</x:v>
      </x:c>
      <x:c r="D40" s="26" t="str">
        <x:v>Dev 2</x:v>
      </x:c>
      <x:c r="E40" s="46" t="str">
        <x:v>A11</x:v>
      </x:c>
      <x:c r="F40" s="50" t="n">
        <x:v>46</x:v>
      </x:c>
      <x:c r="G40" s="50" t="n">
        <x:v>5</x:v>
      </x:c>
      <x:c r="H40" s="51" t="n">
        <x:v>3</x:v>
      </x:c>
      <x:c r="I40" s="2" t="n">
        <x:f>IF(OR(F40="",G40=""),"",F40+G40-1)</x:f>
        <x:v>50</x:v>
      </x:c>
      <x:c r="J40" s="5" t="n">
        <x:f>IF(OR(F40="",F40&lt;1,F40&gt;Calendar!$B$9),"",INDEX(Calendar!$A$16:$A$141,MATCH(F40,Calendar!$D$16:$D$141,0)))</x:f>
        <x:v>46391</x:v>
      </x:c>
      <x:c r="K40" s="5" t="n">
        <x:f>IF(OR(I40="",I40&lt;1,I40&gt;Calendar!$B$9),"",INDEX(Calendar!$A$16:$A$141,MATCH(I40,Calendar!$D$16:$D$141,0)))</x:f>
        <x:v>46395</x:v>
      </x:c>
      <x:c r="L40" s="53" t="n">
        <x:v>0</x:v>
      </x:c>
      <x:c r="M40" s="2" t="str">
        <x:f>IF(OR(F40="",G40="",H40=""),"Missing input",IF(OR(F40&lt;1,G40&lt;1,I40&gt;Calendar!$B$9),"Outside calendar",IF(F40&lt;MAX(INDEX($I$8:$I$157,MATCH("A11",$A$8:$A$157,0))+1),"Dependency conflict","Scheduled")))</x:f>
        <x:v>Scheduled</x:v>
      </x:c>
      <x:c r="N40" s="45" t="n">
        <x:f>IF(OR($J40="",$K40=""),"",IF(SUMIFS(Calendar!$C$16:$C$141,Calendar!$A$16:$A$141,"&gt;="&amp;MAX(N$7,$J40),Calendar!$A$16:$A$141,"&lt;="&amp;MIN(N$7+4,$K40))=0,0,IF($H40="","EXT",SUMIFS(Calendar!$C$16:$C$141,Calendar!$A$16:$A$141,"&gt;="&amp;MAX(N$7,$J40),Calendar!$A$16:$A$141,"&lt;="&amp;MIN(N$7+4,$K40))*$H40/$G40)))</x:f>
        <x:v>0</x:v>
      </x:c>
      <x:c r="O40" s="45" t="n">
        <x:f>IF(OR($J40="",$K40=""),"",IF(SUMIFS(Calendar!$C$16:$C$141,Calendar!$A$16:$A$141,"&gt;="&amp;MAX(O$7,$J40),Calendar!$A$16:$A$141,"&lt;="&amp;MIN(O$7+4,$K40))=0,0,IF($H40="","EXT",SUMIFS(Calendar!$C$16:$C$141,Calendar!$A$16:$A$141,"&gt;="&amp;MAX(O$7,$J40),Calendar!$A$16:$A$141,"&lt;="&amp;MIN(O$7+4,$K40))*$H40/$G40)))</x:f>
        <x:v>0</x:v>
      </x:c>
      <x:c r="P40" s="45" t="n">
        <x:f>IF(OR($J40="",$K40=""),"",IF(SUMIFS(Calendar!$C$16:$C$141,Calendar!$A$16:$A$141,"&gt;="&amp;MAX(P$7,$J40),Calendar!$A$16:$A$141,"&lt;="&amp;MIN(P$7+4,$K40))=0,0,IF($H40="","EXT",SUMIFS(Calendar!$C$16:$C$141,Calendar!$A$16:$A$141,"&gt;="&amp;MAX(P$7,$J40),Calendar!$A$16:$A$141,"&lt;="&amp;MIN(P$7+4,$K40))*$H40/$G40)))</x:f>
        <x:v>0</x:v>
      </x:c>
      <x:c r="Q40" s="45" t="n">
        <x:f>IF(OR($J40="",$K40=""),"",IF(SUMIFS(Calendar!$C$16:$C$141,Calendar!$A$16:$A$141,"&gt;="&amp;MAX(Q$7,$J40),Calendar!$A$16:$A$141,"&lt;="&amp;MIN(Q$7+4,$K40))=0,0,IF($H40="","EXT",SUMIFS(Calendar!$C$16:$C$141,Calendar!$A$16:$A$141,"&gt;="&amp;MAX(Q$7,$J40),Calendar!$A$16:$A$141,"&lt;="&amp;MIN(Q$7+4,$K40))*$H40/$G40)))</x:f>
        <x:v>0</x:v>
      </x:c>
      <x:c r="R40" s="45" t="n">
        <x:f>IF(OR($J40="",$K40=""),"",IF(SUMIFS(Calendar!$C$16:$C$141,Calendar!$A$16:$A$141,"&gt;="&amp;MAX(R$7,$J40),Calendar!$A$16:$A$141,"&lt;="&amp;MIN(R$7+4,$K40))=0,0,IF($H40="","EXT",SUMIFS(Calendar!$C$16:$C$141,Calendar!$A$16:$A$141,"&gt;="&amp;MAX(R$7,$J40),Calendar!$A$16:$A$141,"&lt;="&amp;MIN(R$7+4,$K40))*$H40/$G40)))</x:f>
        <x:v>0</x:v>
      </x:c>
      <x:c r="S40" s="45" t="n">
        <x:f>IF(OR($J40="",$K40=""),"",IF(SUMIFS(Calendar!$C$16:$C$141,Calendar!$A$16:$A$141,"&gt;="&amp;MAX(S$7,$J40),Calendar!$A$16:$A$141,"&lt;="&amp;MIN(S$7+4,$K40))=0,0,IF($H40="","EXT",SUMIFS(Calendar!$C$16:$C$141,Calendar!$A$16:$A$141,"&gt;="&amp;MAX(S$7,$J40),Calendar!$A$16:$A$141,"&lt;="&amp;MIN(S$7+4,$K40))*$H40/$G40)))</x:f>
        <x:v>0</x:v>
      </x:c>
      <x:c r="T40" s="45" t="n">
        <x:f>IF(OR($J40="",$K40=""),"",IF(SUMIFS(Calendar!$C$16:$C$141,Calendar!$A$16:$A$141,"&gt;="&amp;MAX(T$7,$J40),Calendar!$A$16:$A$141,"&lt;="&amp;MIN(T$7+4,$K40))=0,0,IF($H40="","EXT",SUMIFS(Calendar!$C$16:$C$141,Calendar!$A$16:$A$141,"&gt;="&amp;MAX(T$7,$J40),Calendar!$A$16:$A$141,"&lt;="&amp;MIN(T$7+4,$K40))*$H40/$G40)))</x:f>
        <x:v>0</x:v>
      </x:c>
      <x:c r="U40" s="45" t="n">
        <x:f>IF(OR($J40="",$K40=""),"",IF(SUMIFS(Calendar!$C$16:$C$141,Calendar!$A$16:$A$141,"&gt;="&amp;MAX(U$7,$J40),Calendar!$A$16:$A$141,"&lt;="&amp;MIN(U$7+4,$K40))=0,0,IF($H40="","EXT",SUMIFS(Calendar!$C$16:$C$141,Calendar!$A$16:$A$141,"&gt;="&amp;MAX(U$7,$J40),Calendar!$A$16:$A$141,"&lt;="&amp;MIN(U$7+4,$K40))*$H40/$G40)))</x:f>
        <x:v>0</x:v>
      </x:c>
      <x:c r="V40" s="45" t="n">
        <x:f>IF(OR($J40="",$K40=""),"",IF(SUMIFS(Calendar!$C$16:$C$141,Calendar!$A$16:$A$141,"&gt;="&amp;MAX(V$7,$J40),Calendar!$A$16:$A$141,"&lt;="&amp;MIN(V$7+4,$K40))=0,0,IF($H40="","EXT",SUMIFS(Calendar!$C$16:$C$141,Calendar!$A$16:$A$141,"&gt;="&amp;MAX(V$7,$J40),Calendar!$A$16:$A$141,"&lt;="&amp;MIN(V$7+4,$K40))*$H40/$G40)))</x:f>
        <x:v>0</x:v>
      </x:c>
      <x:c r="W40" s="45" t="n">
        <x:f>IF(OR($J40="",$K40=""),"",IF(SUMIFS(Calendar!$C$16:$C$141,Calendar!$A$16:$A$141,"&gt;="&amp;MAX(W$7,$J40),Calendar!$A$16:$A$141,"&lt;="&amp;MIN(W$7+4,$K40))=0,0,IF($H40="","EXT",SUMIFS(Calendar!$C$16:$C$141,Calendar!$A$16:$A$141,"&gt;="&amp;MAX(W$7,$J40),Calendar!$A$16:$A$141,"&lt;="&amp;MIN(W$7+4,$K40))*$H40/$G40)))</x:f>
        <x:v>3</x:v>
      </x:c>
      <x:c r="X40" s="45" t="n">
        <x:f>IF(OR($J40="",$K40=""),"",IF(SUMIFS(Calendar!$C$16:$C$141,Calendar!$A$16:$A$141,"&gt;="&amp;MAX(X$7,$J40),Calendar!$A$16:$A$141,"&lt;="&amp;MIN(X$7+4,$K40))=0,0,IF($H40="","EXT",SUMIFS(Calendar!$C$16:$C$141,Calendar!$A$16:$A$141,"&gt;="&amp;MAX(X$7,$J40),Calendar!$A$16:$A$141,"&lt;="&amp;MIN(X$7+4,$K40))*$H40/$G40)))</x:f>
        <x:v>0</x:v>
      </x:c>
      <x:c r="Y40" s="45" t="n">
        <x:f>IF(OR($J40="",$K40=""),"",IF(SUMIFS(Calendar!$C$16:$C$141,Calendar!$A$16:$A$141,"&gt;="&amp;MAX(Y$7,$J40),Calendar!$A$16:$A$141,"&lt;="&amp;MIN(Y$7+4,$K40))=0,0,IF($H40="","EXT",SUMIFS(Calendar!$C$16:$C$141,Calendar!$A$16:$A$141,"&gt;="&amp;MAX(Y$7,$J40),Calendar!$A$16:$A$141,"&lt;="&amp;MIN(Y$7+4,$K40))*$H40/$G40)))</x:f>
        <x:v>0</x:v>
      </x:c>
      <x:c r="Z40" s="45" t="n">
        <x:f>IF(OR($J40="",$K40=""),"",IF(SUMIFS(Calendar!$C$16:$C$141,Calendar!$A$16:$A$141,"&gt;="&amp;MAX(Z$7,$J40),Calendar!$A$16:$A$141,"&lt;="&amp;MIN(Z$7+4,$K40))=0,0,IF($H40="","EXT",SUMIFS(Calendar!$C$16:$C$141,Calendar!$A$16:$A$141,"&gt;="&amp;MAX(Z$7,$J40),Calendar!$A$16:$A$141,"&lt;="&amp;MIN(Z$7+4,$K40))*$H40/$G40)))</x:f>
        <x:v>0</x:v>
      </x:c>
      <x:c r="AA40" s="45" t="n">
        <x:f>IF(OR($J40="",$K40=""),"",IF(SUMIFS(Calendar!$C$16:$C$141,Calendar!$A$16:$A$141,"&gt;="&amp;MAX(AA$7,$J40),Calendar!$A$16:$A$141,"&lt;="&amp;MIN(AA$7+4,$K40))=0,0,IF($H40="","EXT",SUMIFS(Calendar!$C$16:$C$141,Calendar!$A$16:$A$141,"&gt;="&amp;MAX(AA$7,$J40),Calendar!$A$16:$A$141,"&lt;="&amp;MIN(AA$7+4,$K40))*$H40/$G40)))</x:f>
        <x:v>0</x:v>
      </x:c>
      <x:c r="AB40" s="45" t="n">
        <x:f>IF(OR($J40="",$K40=""),"",IF(SUMIFS(Calendar!$C$16:$C$141,Calendar!$A$16:$A$141,"&gt;="&amp;MAX(AB$7,$J40),Calendar!$A$16:$A$141,"&lt;="&amp;MIN(AB$7+4,$K40))=0,0,IF($H40="","EXT",SUMIFS(Calendar!$C$16:$C$141,Calendar!$A$16:$A$141,"&gt;="&amp;MAX(AB$7,$J40),Calendar!$A$16:$A$141,"&lt;="&amp;MIN(AB$7+4,$K40))*$H40/$G40)))</x:f>
        <x:v>0</x:v>
      </x:c>
      <x:c r="AC40" s="45" t="n">
        <x:f>IF(OR($J40="",$K40=""),"",IF(SUMIFS(Calendar!$C$16:$C$141,Calendar!$A$16:$A$141,"&gt;="&amp;MAX(AC$7,$J40),Calendar!$A$16:$A$141,"&lt;="&amp;MIN(AC$7+4,$K40))=0,0,IF($H40="","EXT",SUMIFS(Calendar!$C$16:$C$141,Calendar!$A$16:$A$141,"&gt;="&amp;MAX(AC$7,$J40),Calendar!$A$16:$A$141,"&lt;="&amp;MIN(AC$7+4,$K40))*$H40/$G40)))</x:f>
        <x:v>0</x:v>
      </x:c>
      <x:c r="AD40" s="45" t="n">
        <x:f>IF(OR($J40="",$K40=""),"",IF(SUMIFS(Calendar!$C$16:$C$141,Calendar!$A$16:$A$141,"&gt;="&amp;MAX(AD$7,$J40),Calendar!$A$16:$A$141,"&lt;="&amp;MIN(AD$7+4,$K40))=0,0,IF($H40="","EXT",SUMIFS(Calendar!$C$16:$C$141,Calendar!$A$16:$A$141,"&gt;="&amp;MAX(AD$7,$J40),Calendar!$A$16:$A$141,"&lt;="&amp;MIN(AD$7+4,$K40))*$H40/$G40)))</x:f>
        <x:v>0</x:v>
      </x:c>
      <x:c r="AE40" s="45" t="n">
        <x:f>IF(OR($J40="",$K40=""),"",IF(SUMIFS(Calendar!$C$16:$C$141,Calendar!$A$16:$A$141,"&gt;="&amp;MAX(AE$7,$J40),Calendar!$A$16:$A$141,"&lt;="&amp;MIN(AE$7+4,$K40))=0,0,IF($H40="","EXT",SUMIFS(Calendar!$C$16:$C$141,Calendar!$A$16:$A$141,"&gt;="&amp;MAX(AE$7,$J40),Calendar!$A$16:$A$141,"&lt;="&amp;MIN(AE$7+4,$K40))*$H40/$G40)))</x:f>
        <x:v>0</x:v>
      </x:c>
      <x:c r="AF40" s="8" t="n">
        <x:f>IF(OR(M40&lt;&gt;"Scheduled",INDEX('Team and Gates'!$C$7:$C$13,MATCH($D40,'Team and Gates'!$A$7:$A$13,0))=""),"CHECK",SUM(N40:AE40)*INDEX('Team and Gates'!$C$7:$C$13,MATCH($D40,'Team and Gates'!$A$7:$A$13,0)))</x:f>
        <x:v>1080</x:v>
      </x:c>
      <x:c r="AG40" s="46" t="str">
        <x:v>Record versioned technical/business results, QA feedback, DS/developer fixes and affected-path retests. Business validation remains independent of DS tuning.</x:v>
      </x:c>
      <x:c r="AH40" s="46" t="str">
        <x:v>Two additional weeks of tuning, independent QA and stabilization recovered from shorter preparation/coding.</x:v>
      </x:c>
    </x:row>
    <x:row r="41" ht="45" customHeight="1">
      <x:c r="A41" s="39" t="str">
        <x:v>A-FB11</x:v>
      </x:c>
      <x:c r="B41" s="39" t="str">
        <x:v>Async / Azure</x:v>
      </x:c>
      <x:c r="C41" s="47" t="str">
        <x:v>Clean-deploy, migration and rollback qualification</x:v>
      </x:c>
      <x:c r="D41" s="26" t="str">
        <x:v>Dev 2</x:v>
      </x:c>
      <x:c r="E41" s="47" t="str">
        <x:v>A-FB10</x:v>
      </x:c>
      <x:c r="F41" s="50" t="n">
        <x:v>51</x:v>
      </x:c>
      <x:c r="G41" s="50" t="n">
        <x:v>5</x:v>
      </x:c>
      <x:c r="H41" s="51" t="n">
        <x:v>3</x:v>
      </x:c>
      <x:c r="I41" s="39" t="n">
        <x:f>IF(OR(F41="",G41=""),"",F41+G41-1)</x:f>
        <x:v>55</x:v>
      </x:c>
      <x:c r="J41" s="41" t="n">
        <x:f>IF(OR(F41="",F41&lt;1,F41&gt;Calendar!$B$9),"",INDEX(Calendar!$A$16:$A$141,MATCH(F41,Calendar!$D$16:$D$141,0)))</x:f>
        <x:v>46398</x:v>
      </x:c>
      <x:c r="K41" s="41" t="n">
        <x:f>IF(OR(I41="",I41&lt;1,I41&gt;Calendar!$B$9),"",INDEX(Calendar!$A$16:$A$141,MATCH(I41,Calendar!$D$16:$D$141,0)))</x:f>
        <x:v>46402</x:v>
      </x:c>
      <x:c r="L41" s="53" t="n">
        <x:v>0</x:v>
      </x:c>
      <x:c r="M41" s="39" t="str">
        <x:f>IF(OR(F41="",G41="",H41=""),"Missing input",IF(OR(F41&lt;1,G41&lt;1,I41&gt;Calendar!$B$9),"Outside calendar",IF(F41&lt;MAX(INDEX($I$8:$I$157,MATCH("A-FB10",$A$8:$A$157,0))+1),"Dependency conflict","Scheduled")))</x:f>
        <x:v>Scheduled</x:v>
      </x:c>
      <x:c r="N41" s="45" t="n">
        <x:f>IF(OR($J41="",$K41=""),"",IF(SUMIFS(Calendar!$C$16:$C$141,Calendar!$A$16:$A$141,"&gt;="&amp;MAX(N$7,$J41),Calendar!$A$16:$A$141,"&lt;="&amp;MIN(N$7+4,$K41))=0,0,IF($H41="","EXT",SUMIFS(Calendar!$C$16:$C$141,Calendar!$A$16:$A$141,"&gt;="&amp;MAX(N$7,$J41),Calendar!$A$16:$A$141,"&lt;="&amp;MIN(N$7+4,$K41))*$H41/$G41)))</x:f>
        <x:v>0</x:v>
      </x:c>
      <x:c r="O41" s="45" t="n">
        <x:f>IF(OR($J41="",$K41=""),"",IF(SUMIFS(Calendar!$C$16:$C$141,Calendar!$A$16:$A$141,"&gt;="&amp;MAX(O$7,$J41),Calendar!$A$16:$A$141,"&lt;="&amp;MIN(O$7+4,$K41))=0,0,IF($H41="","EXT",SUMIFS(Calendar!$C$16:$C$141,Calendar!$A$16:$A$141,"&gt;="&amp;MAX(O$7,$J41),Calendar!$A$16:$A$141,"&lt;="&amp;MIN(O$7+4,$K41))*$H41/$G41)))</x:f>
        <x:v>0</x:v>
      </x:c>
      <x:c r="P41" s="45" t="n">
        <x:f>IF(OR($J41="",$K41=""),"",IF(SUMIFS(Calendar!$C$16:$C$141,Calendar!$A$16:$A$141,"&gt;="&amp;MAX(P$7,$J41),Calendar!$A$16:$A$141,"&lt;="&amp;MIN(P$7+4,$K41))=0,0,IF($H41="","EXT",SUMIFS(Calendar!$C$16:$C$141,Calendar!$A$16:$A$141,"&gt;="&amp;MAX(P$7,$J41),Calendar!$A$16:$A$141,"&lt;="&amp;MIN(P$7+4,$K41))*$H41/$G41)))</x:f>
        <x:v>0</x:v>
      </x:c>
      <x:c r="Q41" s="45" t="n">
        <x:f>IF(OR($J41="",$K41=""),"",IF(SUMIFS(Calendar!$C$16:$C$141,Calendar!$A$16:$A$141,"&gt;="&amp;MAX(Q$7,$J41),Calendar!$A$16:$A$141,"&lt;="&amp;MIN(Q$7+4,$K41))=0,0,IF($H41="","EXT",SUMIFS(Calendar!$C$16:$C$141,Calendar!$A$16:$A$141,"&gt;="&amp;MAX(Q$7,$J41),Calendar!$A$16:$A$141,"&lt;="&amp;MIN(Q$7+4,$K41))*$H41/$G41)))</x:f>
        <x:v>0</x:v>
      </x:c>
      <x:c r="R41" s="45" t="n">
        <x:f>IF(OR($J41="",$K41=""),"",IF(SUMIFS(Calendar!$C$16:$C$141,Calendar!$A$16:$A$141,"&gt;="&amp;MAX(R$7,$J41),Calendar!$A$16:$A$141,"&lt;="&amp;MIN(R$7+4,$K41))=0,0,IF($H41="","EXT",SUMIFS(Calendar!$C$16:$C$141,Calendar!$A$16:$A$141,"&gt;="&amp;MAX(R$7,$J41),Calendar!$A$16:$A$141,"&lt;="&amp;MIN(R$7+4,$K41))*$H41/$G41)))</x:f>
        <x:v>0</x:v>
      </x:c>
      <x:c r="S41" s="45" t="n">
        <x:f>IF(OR($J41="",$K41=""),"",IF(SUMIFS(Calendar!$C$16:$C$141,Calendar!$A$16:$A$141,"&gt;="&amp;MAX(S$7,$J41),Calendar!$A$16:$A$141,"&lt;="&amp;MIN(S$7+4,$K41))=0,0,IF($H41="","EXT",SUMIFS(Calendar!$C$16:$C$141,Calendar!$A$16:$A$141,"&gt;="&amp;MAX(S$7,$J41),Calendar!$A$16:$A$141,"&lt;="&amp;MIN(S$7+4,$K41))*$H41/$G41)))</x:f>
        <x:v>0</x:v>
      </x:c>
      <x:c r="T41" s="45" t="n">
        <x:f>IF(OR($J41="",$K41=""),"",IF(SUMIFS(Calendar!$C$16:$C$141,Calendar!$A$16:$A$141,"&gt;="&amp;MAX(T$7,$J41),Calendar!$A$16:$A$141,"&lt;="&amp;MIN(T$7+4,$K41))=0,0,IF($H41="","EXT",SUMIFS(Calendar!$C$16:$C$141,Calendar!$A$16:$A$141,"&gt;="&amp;MAX(T$7,$J41),Calendar!$A$16:$A$141,"&lt;="&amp;MIN(T$7+4,$K41))*$H41/$G41)))</x:f>
        <x:v>0</x:v>
      </x:c>
      <x:c r="U41" s="45" t="n">
        <x:f>IF(OR($J41="",$K41=""),"",IF(SUMIFS(Calendar!$C$16:$C$141,Calendar!$A$16:$A$141,"&gt;="&amp;MAX(U$7,$J41),Calendar!$A$16:$A$141,"&lt;="&amp;MIN(U$7+4,$K41))=0,0,IF($H41="","EXT",SUMIFS(Calendar!$C$16:$C$141,Calendar!$A$16:$A$141,"&gt;="&amp;MAX(U$7,$J41),Calendar!$A$16:$A$141,"&lt;="&amp;MIN(U$7+4,$K41))*$H41/$G41)))</x:f>
        <x:v>0</x:v>
      </x:c>
      <x:c r="V41" s="45" t="n">
        <x:f>IF(OR($J41="",$K41=""),"",IF(SUMIFS(Calendar!$C$16:$C$141,Calendar!$A$16:$A$141,"&gt;="&amp;MAX(V$7,$J41),Calendar!$A$16:$A$141,"&lt;="&amp;MIN(V$7+4,$K41))=0,0,IF($H41="","EXT",SUMIFS(Calendar!$C$16:$C$141,Calendar!$A$16:$A$141,"&gt;="&amp;MAX(V$7,$J41),Calendar!$A$16:$A$141,"&lt;="&amp;MIN(V$7+4,$K41))*$H41/$G41)))</x:f>
        <x:v>0</x:v>
      </x:c>
      <x:c r="W41" s="45" t="n">
        <x:f>IF(OR($J41="",$K41=""),"",IF(SUMIFS(Calendar!$C$16:$C$141,Calendar!$A$16:$A$141,"&gt;="&amp;MAX(W$7,$J41),Calendar!$A$16:$A$141,"&lt;="&amp;MIN(W$7+4,$K41))=0,0,IF($H41="","EXT",SUMIFS(Calendar!$C$16:$C$141,Calendar!$A$16:$A$141,"&gt;="&amp;MAX(W$7,$J41),Calendar!$A$16:$A$141,"&lt;="&amp;MIN(W$7+4,$K41))*$H41/$G41)))</x:f>
        <x:v>0</x:v>
      </x:c>
      <x:c r="X41" s="45" t="n">
        <x:f>IF(OR($J41="",$K41=""),"",IF(SUMIFS(Calendar!$C$16:$C$141,Calendar!$A$16:$A$141,"&gt;="&amp;MAX(X$7,$J41),Calendar!$A$16:$A$141,"&lt;="&amp;MIN(X$7+4,$K41))=0,0,IF($H41="","EXT",SUMIFS(Calendar!$C$16:$C$141,Calendar!$A$16:$A$141,"&gt;="&amp;MAX(X$7,$J41),Calendar!$A$16:$A$141,"&lt;="&amp;MIN(X$7+4,$K41))*$H41/$G41)))</x:f>
        <x:v>3</x:v>
      </x:c>
      <x:c r="Y41" s="45" t="n">
        <x:f>IF(OR($J41="",$K41=""),"",IF(SUMIFS(Calendar!$C$16:$C$141,Calendar!$A$16:$A$141,"&gt;="&amp;MAX(Y$7,$J41),Calendar!$A$16:$A$141,"&lt;="&amp;MIN(Y$7+4,$K41))=0,0,IF($H41="","EXT",SUMIFS(Calendar!$C$16:$C$141,Calendar!$A$16:$A$141,"&gt;="&amp;MAX(Y$7,$J41),Calendar!$A$16:$A$141,"&lt;="&amp;MIN(Y$7+4,$K41))*$H41/$G41)))</x:f>
        <x:v>0</x:v>
      </x:c>
      <x:c r="Z41" s="45" t="n">
        <x:f>IF(OR($J41="",$K41=""),"",IF(SUMIFS(Calendar!$C$16:$C$141,Calendar!$A$16:$A$141,"&gt;="&amp;MAX(Z$7,$J41),Calendar!$A$16:$A$141,"&lt;="&amp;MIN(Z$7+4,$K41))=0,0,IF($H41="","EXT",SUMIFS(Calendar!$C$16:$C$141,Calendar!$A$16:$A$141,"&gt;="&amp;MAX(Z$7,$J41),Calendar!$A$16:$A$141,"&lt;="&amp;MIN(Z$7+4,$K41))*$H41/$G41)))</x:f>
        <x:v>0</x:v>
      </x:c>
      <x:c r="AA41" s="45" t="n">
        <x:f>IF(OR($J41="",$K41=""),"",IF(SUMIFS(Calendar!$C$16:$C$141,Calendar!$A$16:$A$141,"&gt;="&amp;MAX(AA$7,$J41),Calendar!$A$16:$A$141,"&lt;="&amp;MIN(AA$7+4,$K41))=0,0,IF($H41="","EXT",SUMIFS(Calendar!$C$16:$C$141,Calendar!$A$16:$A$141,"&gt;="&amp;MAX(AA$7,$J41),Calendar!$A$16:$A$141,"&lt;="&amp;MIN(AA$7+4,$K41))*$H41/$G41)))</x:f>
        <x:v>0</x:v>
      </x:c>
      <x:c r="AB41" s="45" t="n">
        <x:f>IF(OR($J41="",$K41=""),"",IF(SUMIFS(Calendar!$C$16:$C$141,Calendar!$A$16:$A$141,"&gt;="&amp;MAX(AB$7,$J41),Calendar!$A$16:$A$141,"&lt;="&amp;MIN(AB$7+4,$K41))=0,0,IF($H41="","EXT",SUMIFS(Calendar!$C$16:$C$141,Calendar!$A$16:$A$141,"&gt;="&amp;MAX(AB$7,$J41),Calendar!$A$16:$A$141,"&lt;="&amp;MIN(AB$7+4,$K41))*$H41/$G41)))</x:f>
        <x:v>0</x:v>
      </x:c>
      <x:c r="AC41" s="45" t="n">
        <x:f>IF(OR($J41="",$K41=""),"",IF(SUMIFS(Calendar!$C$16:$C$141,Calendar!$A$16:$A$141,"&gt;="&amp;MAX(AC$7,$J41),Calendar!$A$16:$A$141,"&lt;="&amp;MIN(AC$7+4,$K41))=0,0,IF($H41="","EXT",SUMIFS(Calendar!$C$16:$C$141,Calendar!$A$16:$A$141,"&gt;="&amp;MAX(AC$7,$J41),Calendar!$A$16:$A$141,"&lt;="&amp;MIN(AC$7+4,$K41))*$H41/$G41)))</x:f>
        <x:v>0</x:v>
      </x:c>
      <x:c r="AD41" s="45" t="n">
        <x:f>IF(OR($J41="",$K41=""),"",IF(SUMIFS(Calendar!$C$16:$C$141,Calendar!$A$16:$A$141,"&gt;="&amp;MAX(AD$7,$J41),Calendar!$A$16:$A$141,"&lt;="&amp;MIN(AD$7+4,$K41))=0,0,IF($H41="","EXT",SUMIFS(Calendar!$C$16:$C$141,Calendar!$A$16:$A$141,"&gt;="&amp;MAX(AD$7,$J41),Calendar!$A$16:$A$141,"&lt;="&amp;MIN(AD$7+4,$K41))*$H41/$G41)))</x:f>
        <x:v>0</x:v>
      </x:c>
      <x:c r="AE41" s="45" t="n">
        <x:f>IF(OR($J41="",$K41=""),"",IF(SUMIFS(Calendar!$C$16:$C$141,Calendar!$A$16:$A$141,"&gt;="&amp;MAX(AE$7,$J41),Calendar!$A$16:$A$141,"&lt;="&amp;MIN(AE$7+4,$K41))=0,0,IF($H41="","EXT",SUMIFS(Calendar!$C$16:$C$141,Calendar!$A$16:$A$141,"&gt;="&amp;MAX(AE$7,$J41),Calendar!$A$16:$A$141,"&lt;="&amp;MIN(AE$7+4,$K41))*$H41/$G41)))</x:f>
        <x:v>0</x:v>
      </x:c>
      <x:c r="AF41" s="8" t="n">
        <x:f>IF(OR(M41&lt;&gt;"Scheduled",INDEX('Team and Gates'!$C$7:$C$13,MATCH($D41,'Team and Gates'!$A$7:$A$13,0))=""),"CHECK",SUM(N41:AE41)*INDEX('Team and Gates'!$C$7:$C$13,MATCH($D41,'Team and Gates'!$A$7:$A$13,0)))</x:f>
        <x:v>1080</x:v>
      </x:c>
      <x:c r="AG41" s="46" t="str">
        <x:v>Record versioned technical/business results, QA feedback, DS/developer fixes and affected-path retests. Business validation remains independent of DS tuning.</x:v>
      </x:c>
      <x:c r="AH41" s="46" t="str">
        <x:v>Two additional weeks of tuning, independent QA and stabilization recovered from shorter preparation/coding.</x:v>
      </x:c>
    </x:row>
    <x:row r="42" ht="45" customHeight="1">
      <x:c r="A42" s="2" t="str">
        <x:v>A12</x:v>
      </x:c>
      <x:c r="B42" s="2" t="str">
        <x:v>Async / Azure</x:v>
      </x:c>
      <x:c r="C42" s="46" t="str">
        <x:v>Extended SIT integration fixes, quota/latency and recovery retests</x:v>
      </x:c>
      <x:c r="D42" s="26" t="str">
        <x:v>Dev 2</x:v>
      </x:c>
      <x:c r="E42" s="46" t="str">
        <x:v>A11, A-FB11</x:v>
      </x:c>
      <x:c r="F42" s="50" t="n">
        <x:v>56</x:v>
      </x:c>
      <x:c r="G42" s="50" t="n">
        <x:v>5</x:v>
      </x:c>
      <x:c r="H42" s="51" t="n">
        <x:v>3</x:v>
      </x:c>
      <x:c r="I42" s="2" t="n">
        <x:f>IF(OR(F42="",G42=""),"",F42+G42-1)</x:f>
        <x:v>60</x:v>
      </x:c>
      <x:c r="J42" s="5" t="n">
        <x:f>IF(OR(F42="",F42&lt;1,F42&gt;Calendar!$B$9),"",INDEX(Calendar!$A$16:$A$141,MATCH(F42,Calendar!$D$16:$D$141,0)))</x:f>
        <x:v>46405</x:v>
      </x:c>
      <x:c r="K42" s="5" t="n">
        <x:f>IF(OR(I42="",I42&lt;1,I42&gt;Calendar!$B$9),"",INDEX(Calendar!$A$16:$A$141,MATCH(I42,Calendar!$D$16:$D$141,0)))</x:f>
        <x:v>46409</x:v>
      </x:c>
      <x:c r="L42" s="53" t="n">
        <x:v>0</x:v>
      </x:c>
      <x:c r="M42" s="2" t="str">
        <x:f>IF(OR(F42="",G42="",H42=""),"Missing input",IF(OR(F42&lt;1,G42&lt;1,I42&gt;Calendar!$B$9),"Outside calendar",IF(F42&lt;MAX(INDEX($I$8:$I$157,MATCH("A11",$A$8:$A$157,0))+1,INDEX($I$8:$I$157,MATCH("A-FB11",$A$8:$A$157,0))+1),"Dependency conflict","Scheduled")))</x:f>
        <x:v>Scheduled</x:v>
      </x:c>
      <x:c r="N42" s="45" t="n">
        <x:f>IF(OR($J42="",$K42=""),"",IF(SUMIFS(Calendar!$C$16:$C$141,Calendar!$A$16:$A$141,"&gt;="&amp;MAX(N$7,$J42),Calendar!$A$16:$A$141,"&lt;="&amp;MIN(N$7+4,$K42))=0,0,IF($H42="","EXT",SUMIFS(Calendar!$C$16:$C$141,Calendar!$A$16:$A$141,"&gt;="&amp;MAX(N$7,$J42),Calendar!$A$16:$A$141,"&lt;="&amp;MIN(N$7+4,$K42))*$H42/$G42)))</x:f>
        <x:v>0</x:v>
      </x:c>
      <x:c r="O42" s="45" t="n">
        <x:f>IF(OR($J42="",$K42=""),"",IF(SUMIFS(Calendar!$C$16:$C$141,Calendar!$A$16:$A$141,"&gt;="&amp;MAX(O$7,$J42),Calendar!$A$16:$A$141,"&lt;="&amp;MIN(O$7+4,$K42))=0,0,IF($H42="","EXT",SUMIFS(Calendar!$C$16:$C$141,Calendar!$A$16:$A$141,"&gt;="&amp;MAX(O$7,$J42),Calendar!$A$16:$A$141,"&lt;="&amp;MIN(O$7+4,$K42))*$H42/$G42)))</x:f>
        <x:v>0</x:v>
      </x:c>
      <x:c r="P42" s="45" t="n">
        <x:f>IF(OR($J42="",$K42=""),"",IF(SUMIFS(Calendar!$C$16:$C$141,Calendar!$A$16:$A$141,"&gt;="&amp;MAX(P$7,$J42),Calendar!$A$16:$A$141,"&lt;="&amp;MIN(P$7+4,$K42))=0,0,IF($H42="","EXT",SUMIFS(Calendar!$C$16:$C$141,Calendar!$A$16:$A$141,"&gt;="&amp;MAX(P$7,$J42),Calendar!$A$16:$A$141,"&lt;="&amp;MIN(P$7+4,$K42))*$H42/$G42)))</x:f>
        <x:v>0</x:v>
      </x:c>
      <x:c r="Q42" s="45" t="n">
        <x:f>IF(OR($J42="",$K42=""),"",IF(SUMIFS(Calendar!$C$16:$C$141,Calendar!$A$16:$A$141,"&gt;="&amp;MAX(Q$7,$J42),Calendar!$A$16:$A$141,"&lt;="&amp;MIN(Q$7+4,$K42))=0,0,IF($H42="","EXT",SUMIFS(Calendar!$C$16:$C$141,Calendar!$A$16:$A$141,"&gt;="&amp;MAX(Q$7,$J42),Calendar!$A$16:$A$141,"&lt;="&amp;MIN(Q$7+4,$K42))*$H42/$G42)))</x:f>
        <x:v>0</x:v>
      </x:c>
      <x:c r="R42" s="45" t="n">
        <x:f>IF(OR($J42="",$K42=""),"",IF(SUMIFS(Calendar!$C$16:$C$141,Calendar!$A$16:$A$141,"&gt;="&amp;MAX(R$7,$J42),Calendar!$A$16:$A$141,"&lt;="&amp;MIN(R$7+4,$K42))=0,0,IF($H42="","EXT",SUMIFS(Calendar!$C$16:$C$141,Calendar!$A$16:$A$141,"&gt;="&amp;MAX(R$7,$J42),Calendar!$A$16:$A$141,"&lt;="&amp;MIN(R$7+4,$K42))*$H42/$G42)))</x:f>
        <x:v>0</x:v>
      </x:c>
      <x:c r="S42" s="45" t="n">
        <x:f>IF(OR($J42="",$K42=""),"",IF(SUMIFS(Calendar!$C$16:$C$141,Calendar!$A$16:$A$141,"&gt;="&amp;MAX(S$7,$J42),Calendar!$A$16:$A$141,"&lt;="&amp;MIN(S$7+4,$K42))=0,0,IF($H42="","EXT",SUMIFS(Calendar!$C$16:$C$141,Calendar!$A$16:$A$141,"&gt;="&amp;MAX(S$7,$J42),Calendar!$A$16:$A$141,"&lt;="&amp;MIN(S$7+4,$K42))*$H42/$G42)))</x:f>
        <x:v>0</x:v>
      </x:c>
      <x:c r="T42" s="45" t="n">
        <x:f>IF(OR($J42="",$K42=""),"",IF(SUMIFS(Calendar!$C$16:$C$141,Calendar!$A$16:$A$141,"&gt;="&amp;MAX(T$7,$J42),Calendar!$A$16:$A$141,"&lt;="&amp;MIN(T$7+4,$K42))=0,0,IF($H42="","EXT",SUMIFS(Calendar!$C$16:$C$141,Calendar!$A$16:$A$141,"&gt;="&amp;MAX(T$7,$J42),Calendar!$A$16:$A$141,"&lt;="&amp;MIN(T$7+4,$K42))*$H42/$G42)))</x:f>
        <x:v>0</x:v>
      </x:c>
      <x:c r="U42" s="45" t="n">
        <x:f>IF(OR($J42="",$K42=""),"",IF(SUMIFS(Calendar!$C$16:$C$141,Calendar!$A$16:$A$141,"&gt;="&amp;MAX(U$7,$J42),Calendar!$A$16:$A$141,"&lt;="&amp;MIN(U$7+4,$K42))=0,0,IF($H42="","EXT",SUMIFS(Calendar!$C$16:$C$141,Calendar!$A$16:$A$141,"&gt;="&amp;MAX(U$7,$J42),Calendar!$A$16:$A$141,"&lt;="&amp;MIN(U$7+4,$K42))*$H42/$G42)))</x:f>
        <x:v>0</x:v>
      </x:c>
      <x:c r="V42" s="45" t="n">
        <x:f>IF(OR($J42="",$K42=""),"",IF(SUMIFS(Calendar!$C$16:$C$141,Calendar!$A$16:$A$141,"&gt;="&amp;MAX(V$7,$J42),Calendar!$A$16:$A$141,"&lt;="&amp;MIN(V$7+4,$K42))=0,0,IF($H42="","EXT",SUMIFS(Calendar!$C$16:$C$141,Calendar!$A$16:$A$141,"&gt;="&amp;MAX(V$7,$J42),Calendar!$A$16:$A$141,"&lt;="&amp;MIN(V$7+4,$K42))*$H42/$G42)))</x:f>
        <x:v>0</x:v>
      </x:c>
      <x:c r="W42" s="45" t="n">
        <x:f>IF(OR($J42="",$K42=""),"",IF(SUMIFS(Calendar!$C$16:$C$141,Calendar!$A$16:$A$141,"&gt;="&amp;MAX(W$7,$J42),Calendar!$A$16:$A$141,"&lt;="&amp;MIN(W$7+4,$K42))=0,0,IF($H42="","EXT",SUMIFS(Calendar!$C$16:$C$141,Calendar!$A$16:$A$141,"&gt;="&amp;MAX(W$7,$J42),Calendar!$A$16:$A$141,"&lt;="&amp;MIN(W$7+4,$K42))*$H42/$G42)))</x:f>
        <x:v>0</x:v>
      </x:c>
      <x:c r="X42" s="45" t="n">
        <x:f>IF(OR($J42="",$K42=""),"",IF(SUMIFS(Calendar!$C$16:$C$141,Calendar!$A$16:$A$141,"&gt;="&amp;MAX(X$7,$J42),Calendar!$A$16:$A$141,"&lt;="&amp;MIN(X$7+4,$K42))=0,0,IF($H42="","EXT",SUMIFS(Calendar!$C$16:$C$141,Calendar!$A$16:$A$141,"&gt;="&amp;MAX(X$7,$J42),Calendar!$A$16:$A$141,"&lt;="&amp;MIN(X$7+4,$K42))*$H42/$G42)))</x:f>
        <x:v>0</x:v>
      </x:c>
      <x:c r="Y42" s="45" t="n">
        <x:f>IF(OR($J42="",$K42=""),"",IF(SUMIFS(Calendar!$C$16:$C$141,Calendar!$A$16:$A$141,"&gt;="&amp;MAX(Y$7,$J42),Calendar!$A$16:$A$141,"&lt;="&amp;MIN(Y$7+4,$K42))=0,0,IF($H42="","EXT",SUMIFS(Calendar!$C$16:$C$141,Calendar!$A$16:$A$141,"&gt;="&amp;MAX(Y$7,$J42),Calendar!$A$16:$A$141,"&lt;="&amp;MIN(Y$7+4,$K42))*$H42/$G42)))</x:f>
        <x:v>3</x:v>
      </x:c>
      <x:c r="Z42" s="45" t="n">
        <x:f>IF(OR($J42="",$K42=""),"",IF(SUMIFS(Calendar!$C$16:$C$141,Calendar!$A$16:$A$141,"&gt;="&amp;MAX(Z$7,$J42),Calendar!$A$16:$A$141,"&lt;="&amp;MIN(Z$7+4,$K42))=0,0,IF($H42="","EXT",SUMIFS(Calendar!$C$16:$C$141,Calendar!$A$16:$A$141,"&gt;="&amp;MAX(Z$7,$J42),Calendar!$A$16:$A$141,"&lt;="&amp;MIN(Z$7+4,$K42))*$H42/$G42)))</x:f>
        <x:v>0</x:v>
      </x:c>
      <x:c r="AA42" s="45" t="n">
        <x:f>IF(OR($J42="",$K42=""),"",IF(SUMIFS(Calendar!$C$16:$C$141,Calendar!$A$16:$A$141,"&gt;="&amp;MAX(AA$7,$J42),Calendar!$A$16:$A$141,"&lt;="&amp;MIN(AA$7+4,$K42))=0,0,IF($H42="","EXT",SUMIFS(Calendar!$C$16:$C$141,Calendar!$A$16:$A$141,"&gt;="&amp;MAX(AA$7,$J42),Calendar!$A$16:$A$141,"&lt;="&amp;MIN(AA$7+4,$K42))*$H42/$G42)))</x:f>
        <x:v>0</x:v>
      </x:c>
      <x:c r="AB42" s="45" t="n">
        <x:f>IF(OR($J42="",$K42=""),"",IF(SUMIFS(Calendar!$C$16:$C$141,Calendar!$A$16:$A$141,"&gt;="&amp;MAX(AB$7,$J42),Calendar!$A$16:$A$141,"&lt;="&amp;MIN(AB$7+4,$K42))=0,0,IF($H42="","EXT",SUMIFS(Calendar!$C$16:$C$141,Calendar!$A$16:$A$141,"&gt;="&amp;MAX(AB$7,$J42),Calendar!$A$16:$A$141,"&lt;="&amp;MIN(AB$7+4,$K42))*$H42/$G42)))</x:f>
        <x:v>0</x:v>
      </x:c>
      <x:c r="AC42" s="45" t="n">
        <x:f>IF(OR($J42="",$K42=""),"",IF(SUMIFS(Calendar!$C$16:$C$141,Calendar!$A$16:$A$141,"&gt;="&amp;MAX(AC$7,$J42),Calendar!$A$16:$A$141,"&lt;="&amp;MIN(AC$7+4,$K42))=0,0,IF($H42="","EXT",SUMIFS(Calendar!$C$16:$C$141,Calendar!$A$16:$A$141,"&gt;="&amp;MAX(AC$7,$J42),Calendar!$A$16:$A$141,"&lt;="&amp;MIN(AC$7+4,$K42))*$H42/$G42)))</x:f>
        <x:v>0</x:v>
      </x:c>
      <x:c r="AD42" s="45" t="n">
        <x:f>IF(OR($J42="",$K42=""),"",IF(SUMIFS(Calendar!$C$16:$C$141,Calendar!$A$16:$A$141,"&gt;="&amp;MAX(AD$7,$J42),Calendar!$A$16:$A$141,"&lt;="&amp;MIN(AD$7+4,$K42))=0,0,IF($H42="","EXT",SUMIFS(Calendar!$C$16:$C$141,Calendar!$A$16:$A$141,"&gt;="&amp;MAX(AD$7,$J42),Calendar!$A$16:$A$141,"&lt;="&amp;MIN(AD$7+4,$K42))*$H42/$G42)))</x:f>
        <x:v>0</x:v>
      </x:c>
      <x:c r="AE42" s="45" t="n">
        <x:f>IF(OR($J42="",$K42=""),"",IF(SUMIFS(Calendar!$C$16:$C$141,Calendar!$A$16:$A$141,"&gt;="&amp;MAX(AE$7,$J42),Calendar!$A$16:$A$141,"&lt;="&amp;MIN(AE$7+4,$K42))=0,0,IF($H42="","EXT",SUMIFS(Calendar!$C$16:$C$141,Calendar!$A$16:$A$141,"&gt;="&amp;MAX(AE$7,$J42),Calendar!$A$16:$A$141,"&lt;="&amp;MIN(AE$7+4,$K42))*$H42/$G42)))</x:f>
        <x:v>0</x:v>
      </x:c>
      <x:c r="AF42" s="8" t="n">
        <x:f>IF(OR(M42&lt;&gt;"Scheduled",INDEX('Team and Gates'!$C$7:$C$13,MATCH($D42,'Team and Gates'!$A$7:$A$13,0))=""),"CHECK",SUM(N42:AE42)*INDEX('Team and Gates'!$C$7:$C$13,MATCH($D42,'Team and Gates'!$A$7:$A$13,0)))</x:f>
        <x:v>1080</x:v>
      </x:c>
      <x:c r="AG42" s="46" t="str">
        <x:v>SIT evidence, defect retests and UAT-readiness artifacts are recorded; formal AM UAT is after the holiday.</x:v>
      </x:c>
      <x:c r="AH42" s="46" t="str">
        <x:v>Protect extended SIT, tuning and post-holiday UAT time. If quality gates slip, reduce scope or replan; do not assume more AI coding fixes quality.</x:v>
      </x:c>
    </x:row>
    <x:row r="43" ht="45" customHeight="1">
      <x:c r="A43" s="39" t="str">
        <x:v>A13</x:v>
      </x:c>
      <x:c r="B43" s="39" t="str">
        <x:v>Async / Azure</x:v>
      </x:c>
      <x:c r="C43" s="47" t="str">
        <x:v>SIT closure, UAT environment deployment and rollback rehearsal</x:v>
      </x:c>
      <x:c r="D43" s="26" t="str">
        <x:v>Dev 2</x:v>
      </x:c>
      <x:c r="E43" s="47" t="str">
        <x:v>A12</x:v>
      </x:c>
      <x:c r="F43" s="50" t="n">
        <x:v>61</x:v>
      </x:c>
      <x:c r="G43" s="50" t="n">
        <x:v>5</x:v>
      </x:c>
      <x:c r="H43" s="51" t="n">
        <x:v>3</x:v>
      </x:c>
      <x:c r="I43" s="39" t="n">
        <x:f>IF(OR(F43="",G43=""),"",F43+G43-1)</x:f>
        <x:v>65</x:v>
      </x:c>
      <x:c r="J43" s="41" t="n">
        <x:f>IF(OR(F43="",F43&lt;1,F43&gt;Calendar!$B$9),"",INDEX(Calendar!$A$16:$A$141,MATCH(F43,Calendar!$D$16:$D$141,0)))</x:f>
        <x:v>46412</x:v>
      </x:c>
      <x:c r="K43" s="41" t="n">
        <x:f>IF(OR(I43="",I43&lt;1,I43&gt;Calendar!$B$9),"",INDEX(Calendar!$A$16:$A$141,MATCH(I43,Calendar!$D$16:$D$141,0)))</x:f>
        <x:v>46416</x:v>
      </x:c>
      <x:c r="L43" s="53" t="n">
        <x:v>0</x:v>
      </x:c>
      <x:c r="M43" s="39" t="str">
        <x:f>IF(OR(F43="",G43="",H43=""),"Missing input",IF(OR(F43&lt;1,G43&lt;1,I43&gt;Calendar!$B$9),"Outside calendar",IF(F43&lt;MAX(INDEX($I$8:$I$157,MATCH("A12",$A$8:$A$157,0))+1),"Dependency conflict","Scheduled")))</x:f>
        <x:v>Scheduled</x:v>
      </x:c>
      <x:c r="N43" s="45" t="n">
        <x:f>IF(OR($J43="",$K43=""),"",IF(SUMIFS(Calendar!$C$16:$C$141,Calendar!$A$16:$A$141,"&gt;="&amp;MAX(N$7,$J43),Calendar!$A$16:$A$141,"&lt;="&amp;MIN(N$7+4,$K43))=0,0,IF($H43="","EXT",SUMIFS(Calendar!$C$16:$C$141,Calendar!$A$16:$A$141,"&gt;="&amp;MAX(N$7,$J43),Calendar!$A$16:$A$141,"&lt;="&amp;MIN(N$7+4,$K43))*$H43/$G43)))</x:f>
        <x:v>0</x:v>
      </x:c>
      <x:c r="O43" s="45" t="n">
        <x:f>IF(OR($J43="",$K43=""),"",IF(SUMIFS(Calendar!$C$16:$C$141,Calendar!$A$16:$A$141,"&gt;="&amp;MAX(O$7,$J43),Calendar!$A$16:$A$141,"&lt;="&amp;MIN(O$7+4,$K43))=0,0,IF($H43="","EXT",SUMIFS(Calendar!$C$16:$C$141,Calendar!$A$16:$A$141,"&gt;="&amp;MAX(O$7,$J43),Calendar!$A$16:$A$141,"&lt;="&amp;MIN(O$7+4,$K43))*$H43/$G43)))</x:f>
        <x:v>0</x:v>
      </x:c>
      <x:c r="P43" s="45" t="n">
        <x:f>IF(OR($J43="",$K43=""),"",IF(SUMIFS(Calendar!$C$16:$C$141,Calendar!$A$16:$A$141,"&gt;="&amp;MAX(P$7,$J43),Calendar!$A$16:$A$141,"&lt;="&amp;MIN(P$7+4,$K43))=0,0,IF($H43="","EXT",SUMIFS(Calendar!$C$16:$C$141,Calendar!$A$16:$A$141,"&gt;="&amp;MAX(P$7,$J43),Calendar!$A$16:$A$141,"&lt;="&amp;MIN(P$7+4,$K43))*$H43/$G43)))</x:f>
        <x:v>0</x:v>
      </x:c>
      <x:c r="Q43" s="45" t="n">
        <x:f>IF(OR($J43="",$K43=""),"",IF(SUMIFS(Calendar!$C$16:$C$141,Calendar!$A$16:$A$141,"&gt;="&amp;MAX(Q$7,$J43),Calendar!$A$16:$A$141,"&lt;="&amp;MIN(Q$7+4,$K43))=0,0,IF($H43="","EXT",SUMIFS(Calendar!$C$16:$C$141,Calendar!$A$16:$A$141,"&gt;="&amp;MAX(Q$7,$J43),Calendar!$A$16:$A$141,"&lt;="&amp;MIN(Q$7+4,$K43))*$H43/$G43)))</x:f>
        <x:v>0</x:v>
      </x:c>
      <x:c r="R43" s="45" t="n">
        <x:f>IF(OR($J43="",$K43=""),"",IF(SUMIFS(Calendar!$C$16:$C$141,Calendar!$A$16:$A$141,"&gt;="&amp;MAX(R$7,$J43),Calendar!$A$16:$A$141,"&lt;="&amp;MIN(R$7+4,$K43))=0,0,IF($H43="","EXT",SUMIFS(Calendar!$C$16:$C$141,Calendar!$A$16:$A$141,"&gt;="&amp;MAX(R$7,$J43),Calendar!$A$16:$A$141,"&lt;="&amp;MIN(R$7+4,$K43))*$H43/$G43)))</x:f>
        <x:v>0</x:v>
      </x:c>
      <x:c r="S43" s="45" t="n">
        <x:f>IF(OR($J43="",$K43=""),"",IF(SUMIFS(Calendar!$C$16:$C$141,Calendar!$A$16:$A$141,"&gt;="&amp;MAX(S$7,$J43),Calendar!$A$16:$A$141,"&lt;="&amp;MIN(S$7+4,$K43))=0,0,IF($H43="","EXT",SUMIFS(Calendar!$C$16:$C$141,Calendar!$A$16:$A$141,"&gt;="&amp;MAX(S$7,$J43),Calendar!$A$16:$A$141,"&lt;="&amp;MIN(S$7+4,$K43))*$H43/$G43)))</x:f>
        <x:v>0</x:v>
      </x:c>
      <x:c r="T43" s="45" t="n">
        <x:f>IF(OR($J43="",$K43=""),"",IF(SUMIFS(Calendar!$C$16:$C$141,Calendar!$A$16:$A$141,"&gt;="&amp;MAX(T$7,$J43),Calendar!$A$16:$A$141,"&lt;="&amp;MIN(T$7+4,$K43))=0,0,IF($H43="","EXT",SUMIFS(Calendar!$C$16:$C$141,Calendar!$A$16:$A$141,"&gt;="&amp;MAX(T$7,$J43),Calendar!$A$16:$A$141,"&lt;="&amp;MIN(T$7+4,$K43))*$H43/$G43)))</x:f>
        <x:v>0</x:v>
      </x:c>
      <x:c r="U43" s="45" t="n">
        <x:f>IF(OR($J43="",$K43=""),"",IF(SUMIFS(Calendar!$C$16:$C$141,Calendar!$A$16:$A$141,"&gt;="&amp;MAX(U$7,$J43),Calendar!$A$16:$A$141,"&lt;="&amp;MIN(U$7+4,$K43))=0,0,IF($H43="","EXT",SUMIFS(Calendar!$C$16:$C$141,Calendar!$A$16:$A$141,"&gt;="&amp;MAX(U$7,$J43),Calendar!$A$16:$A$141,"&lt;="&amp;MIN(U$7+4,$K43))*$H43/$G43)))</x:f>
        <x:v>0</x:v>
      </x:c>
      <x:c r="V43" s="45" t="n">
        <x:f>IF(OR($J43="",$K43=""),"",IF(SUMIFS(Calendar!$C$16:$C$141,Calendar!$A$16:$A$141,"&gt;="&amp;MAX(V$7,$J43),Calendar!$A$16:$A$141,"&lt;="&amp;MIN(V$7+4,$K43))=0,0,IF($H43="","EXT",SUMIFS(Calendar!$C$16:$C$141,Calendar!$A$16:$A$141,"&gt;="&amp;MAX(V$7,$J43),Calendar!$A$16:$A$141,"&lt;="&amp;MIN(V$7+4,$K43))*$H43/$G43)))</x:f>
        <x:v>0</x:v>
      </x:c>
      <x:c r="W43" s="45" t="n">
        <x:f>IF(OR($J43="",$K43=""),"",IF(SUMIFS(Calendar!$C$16:$C$141,Calendar!$A$16:$A$141,"&gt;="&amp;MAX(W$7,$J43),Calendar!$A$16:$A$141,"&lt;="&amp;MIN(W$7+4,$K43))=0,0,IF($H43="","EXT",SUMIFS(Calendar!$C$16:$C$141,Calendar!$A$16:$A$141,"&gt;="&amp;MAX(W$7,$J43),Calendar!$A$16:$A$141,"&lt;="&amp;MIN(W$7+4,$K43))*$H43/$G43)))</x:f>
        <x:v>0</x:v>
      </x:c>
      <x:c r="X43" s="45" t="n">
        <x:f>IF(OR($J43="",$K43=""),"",IF(SUMIFS(Calendar!$C$16:$C$141,Calendar!$A$16:$A$141,"&gt;="&amp;MAX(X$7,$J43),Calendar!$A$16:$A$141,"&lt;="&amp;MIN(X$7+4,$K43))=0,0,IF($H43="","EXT",SUMIFS(Calendar!$C$16:$C$141,Calendar!$A$16:$A$141,"&gt;="&amp;MAX(X$7,$J43),Calendar!$A$16:$A$141,"&lt;="&amp;MIN(X$7+4,$K43))*$H43/$G43)))</x:f>
        <x:v>0</x:v>
      </x:c>
      <x:c r="Y43" s="45" t="n">
        <x:f>IF(OR($J43="",$K43=""),"",IF(SUMIFS(Calendar!$C$16:$C$141,Calendar!$A$16:$A$141,"&gt;="&amp;MAX(Y$7,$J43),Calendar!$A$16:$A$141,"&lt;="&amp;MIN(Y$7+4,$K43))=0,0,IF($H43="","EXT",SUMIFS(Calendar!$C$16:$C$141,Calendar!$A$16:$A$141,"&gt;="&amp;MAX(Y$7,$J43),Calendar!$A$16:$A$141,"&lt;="&amp;MIN(Y$7+4,$K43))*$H43/$G43)))</x:f>
        <x:v>0</x:v>
      </x:c>
      <x:c r="Z43" s="45" t="n">
        <x:f>IF(OR($J43="",$K43=""),"",IF(SUMIFS(Calendar!$C$16:$C$141,Calendar!$A$16:$A$141,"&gt;="&amp;MAX(Z$7,$J43),Calendar!$A$16:$A$141,"&lt;="&amp;MIN(Z$7+4,$K43))=0,0,IF($H43="","EXT",SUMIFS(Calendar!$C$16:$C$141,Calendar!$A$16:$A$141,"&gt;="&amp;MAX(Z$7,$J43),Calendar!$A$16:$A$141,"&lt;="&amp;MIN(Z$7+4,$K43))*$H43/$G43)))</x:f>
        <x:v>3</x:v>
      </x:c>
      <x:c r="AA43" s="45" t="n">
        <x:f>IF(OR($J43="",$K43=""),"",IF(SUMIFS(Calendar!$C$16:$C$141,Calendar!$A$16:$A$141,"&gt;="&amp;MAX(AA$7,$J43),Calendar!$A$16:$A$141,"&lt;="&amp;MIN(AA$7+4,$K43))=0,0,IF($H43="","EXT",SUMIFS(Calendar!$C$16:$C$141,Calendar!$A$16:$A$141,"&gt;="&amp;MAX(AA$7,$J43),Calendar!$A$16:$A$141,"&lt;="&amp;MIN(AA$7+4,$K43))*$H43/$G43)))</x:f>
        <x:v>0</x:v>
      </x:c>
      <x:c r="AB43" s="45" t="n">
        <x:f>IF(OR($J43="",$K43=""),"",IF(SUMIFS(Calendar!$C$16:$C$141,Calendar!$A$16:$A$141,"&gt;="&amp;MAX(AB$7,$J43),Calendar!$A$16:$A$141,"&lt;="&amp;MIN(AB$7+4,$K43))=0,0,IF($H43="","EXT",SUMIFS(Calendar!$C$16:$C$141,Calendar!$A$16:$A$141,"&gt;="&amp;MAX(AB$7,$J43),Calendar!$A$16:$A$141,"&lt;="&amp;MIN(AB$7+4,$K43))*$H43/$G43)))</x:f>
        <x:v>0</x:v>
      </x:c>
      <x:c r="AC43" s="45" t="n">
        <x:f>IF(OR($J43="",$K43=""),"",IF(SUMIFS(Calendar!$C$16:$C$141,Calendar!$A$16:$A$141,"&gt;="&amp;MAX(AC$7,$J43),Calendar!$A$16:$A$141,"&lt;="&amp;MIN(AC$7+4,$K43))=0,0,IF($H43="","EXT",SUMIFS(Calendar!$C$16:$C$141,Calendar!$A$16:$A$141,"&gt;="&amp;MAX(AC$7,$J43),Calendar!$A$16:$A$141,"&lt;="&amp;MIN(AC$7+4,$K43))*$H43/$G43)))</x:f>
        <x:v>0</x:v>
      </x:c>
      <x:c r="AD43" s="45" t="n">
        <x:f>IF(OR($J43="",$K43=""),"",IF(SUMIFS(Calendar!$C$16:$C$141,Calendar!$A$16:$A$141,"&gt;="&amp;MAX(AD$7,$J43),Calendar!$A$16:$A$141,"&lt;="&amp;MIN(AD$7+4,$K43))=0,0,IF($H43="","EXT",SUMIFS(Calendar!$C$16:$C$141,Calendar!$A$16:$A$141,"&gt;="&amp;MAX(AD$7,$J43),Calendar!$A$16:$A$141,"&lt;="&amp;MIN(AD$7+4,$K43))*$H43/$G43)))</x:f>
        <x:v>0</x:v>
      </x:c>
      <x:c r="AE43" s="45" t="n">
        <x:f>IF(OR($J43="",$K43=""),"",IF(SUMIFS(Calendar!$C$16:$C$141,Calendar!$A$16:$A$141,"&gt;="&amp;MAX(AE$7,$J43),Calendar!$A$16:$A$141,"&lt;="&amp;MIN(AE$7+4,$K43))=0,0,IF($H43="","EXT",SUMIFS(Calendar!$C$16:$C$141,Calendar!$A$16:$A$141,"&gt;="&amp;MAX(AE$7,$J43),Calendar!$A$16:$A$141,"&lt;="&amp;MIN(AE$7+4,$K43))*$H43/$G43)))</x:f>
        <x:v>0</x:v>
      </x:c>
      <x:c r="AF43" s="8" t="n">
        <x:f>IF(OR(M43&lt;&gt;"Scheduled",INDEX('Team and Gates'!$C$7:$C$13,MATCH($D43,'Team and Gates'!$A$7:$A$13,0))=""),"CHECK",SUM(N43:AE43)*INDEX('Team and Gates'!$C$7:$C$13,MATCH($D43,'Team and Gates'!$A$7:$A$13,0)))</x:f>
        <x:v>1080</x:v>
      </x:c>
      <x:c r="AG43" s="46" t="str">
        <x:v>SIT evidence, defect retests and UAT-readiness artifacts are recorded; formal AM UAT is after the holiday.</x:v>
      </x:c>
      <x:c r="AH43" s="46" t="str">
        <x:v>Protect extended SIT, tuning and post-holiday UAT time. If quality gates slip, reduce scope or replan; do not assume more AI coding fixes quality.</x:v>
      </x:c>
    </x:row>
    <x:row r="44" ht="45" customHeight="1">
      <x:c r="A44" s="2" t="str">
        <x:v>A14</x:v>
      </x:c>
      <x:c r="B44" s="2" t="str">
        <x:v>Async / Azure</x:v>
      </x:c>
      <x:c r="C44" s="46" t="str">
        <x:v>UAT environment smoke, backups and pre-holiday checkpoint</x:v>
      </x:c>
      <x:c r="D44" s="26" t="str">
        <x:v>Dev 2</x:v>
      </x:c>
      <x:c r="E44" s="46" t="str">
        <x:v>A13</x:v>
      </x:c>
      <x:c r="F44" s="50" t="n">
        <x:v>66</x:v>
      </x:c>
      <x:c r="G44" s="50" t="n">
        <x:v>2</x:v>
      </x:c>
      <x:c r="H44" s="51" t="n">
        <x:v>1.5</x:v>
      </x:c>
      <x:c r="I44" s="2" t="n">
        <x:f>IF(OR(F44="",G44=""),"",F44+G44-1)</x:f>
        <x:v>67</x:v>
      </x:c>
      <x:c r="J44" s="5" t="n">
        <x:f>IF(OR(F44="",F44&lt;1,F44&gt;Calendar!$B$9),"",INDEX(Calendar!$A$16:$A$141,MATCH(F44,Calendar!$D$16:$D$141,0)))</x:f>
        <x:v>46419</x:v>
      </x:c>
      <x:c r="K44" s="5" t="n">
        <x:f>IF(OR(I44="",I44&lt;1,I44&gt;Calendar!$B$9),"",INDEX(Calendar!$A$16:$A$141,MATCH(I44,Calendar!$D$16:$D$141,0)))</x:f>
        <x:v>46420</x:v>
      </x:c>
      <x:c r="L44" s="53" t="n">
        <x:v>0</x:v>
      </x:c>
      <x:c r="M44" s="2" t="str">
        <x:f>IF(OR(F44="",G44="",H44=""),"Missing input",IF(OR(F44&lt;1,G44&lt;1,I44&gt;Calendar!$B$9),"Outside calendar",IF(F44&lt;MAX(INDEX($I$8:$I$157,MATCH("A13",$A$8:$A$157,0))+1),"Dependency conflict","Scheduled")))</x:f>
        <x:v>Scheduled</x:v>
      </x:c>
      <x:c r="N44" s="45" t="n">
        <x:f>IF(OR($J44="",$K44=""),"",IF(SUMIFS(Calendar!$C$16:$C$141,Calendar!$A$16:$A$141,"&gt;="&amp;MAX(N$7,$J44),Calendar!$A$16:$A$141,"&lt;="&amp;MIN(N$7+4,$K44))=0,0,IF($H44="","EXT",SUMIFS(Calendar!$C$16:$C$141,Calendar!$A$16:$A$141,"&gt;="&amp;MAX(N$7,$J44),Calendar!$A$16:$A$141,"&lt;="&amp;MIN(N$7+4,$K44))*$H44/$G44)))</x:f>
        <x:v>0</x:v>
      </x:c>
      <x:c r="O44" s="45" t="n">
        <x:f>IF(OR($J44="",$K44=""),"",IF(SUMIFS(Calendar!$C$16:$C$141,Calendar!$A$16:$A$141,"&gt;="&amp;MAX(O$7,$J44),Calendar!$A$16:$A$141,"&lt;="&amp;MIN(O$7+4,$K44))=0,0,IF($H44="","EXT",SUMIFS(Calendar!$C$16:$C$141,Calendar!$A$16:$A$141,"&gt;="&amp;MAX(O$7,$J44),Calendar!$A$16:$A$141,"&lt;="&amp;MIN(O$7+4,$K44))*$H44/$G44)))</x:f>
        <x:v>0</x:v>
      </x:c>
      <x:c r="P44" s="45" t="n">
        <x:f>IF(OR($J44="",$K44=""),"",IF(SUMIFS(Calendar!$C$16:$C$141,Calendar!$A$16:$A$141,"&gt;="&amp;MAX(P$7,$J44),Calendar!$A$16:$A$141,"&lt;="&amp;MIN(P$7+4,$K44))=0,0,IF($H44="","EXT",SUMIFS(Calendar!$C$16:$C$141,Calendar!$A$16:$A$141,"&gt;="&amp;MAX(P$7,$J44),Calendar!$A$16:$A$141,"&lt;="&amp;MIN(P$7+4,$K44))*$H44/$G44)))</x:f>
        <x:v>0</x:v>
      </x:c>
      <x:c r="Q44" s="45" t="n">
        <x:f>IF(OR($J44="",$K44=""),"",IF(SUMIFS(Calendar!$C$16:$C$141,Calendar!$A$16:$A$141,"&gt;="&amp;MAX(Q$7,$J44),Calendar!$A$16:$A$141,"&lt;="&amp;MIN(Q$7+4,$K44))=0,0,IF($H44="","EXT",SUMIFS(Calendar!$C$16:$C$141,Calendar!$A$16:$A$141,"&gt;="&amp;MAX(Q$7,$J44),Calendar!$A$16:$A$141,"&lt;="&amp;MIN(Q$7+4,$K44))*$H44/$G44)))</x:f>
        <x:v>0</x:v>
      </x:c>
      <x:c r="R44" s="45" t="n">
        <x:f>IF(OR($J44="",$K44=""),"",IF(SUMIFS(Calendar!$C$16:$C$141,Calendar!$A$16:$A$141,"&gt;="&amp;MAX(R$7,$J44),Calendar!$A$16:$A$141,"&lt;="&amp;MIN(R$7+4,$K44))=0,0,IF($H44="","EXT",SUMIFS(Calendar!$C$16:$C$141,Calendar!$A$16:$A$141,"&gt;="&amp;MAX(R$7,$J44),Calendar!$A$16:$A$141,"&lt;="&amp;MIN(R$7+4,$K44))*$H44/$G44)))</x:f>
        <x:v>0</x:v>
      </x:c>
      <x:c r="S44" s="45" t="n">
        <x:f>IF(OR($J44="",$K44=""),"",IF(SUMIFS(Calendar!$C$16:$C$141,Calendar!$A$16:$A$141,"&gt;="&amp;MAX(S$7,$J44),Calendar!$A$16:$A$141,"&lt;="&amp;MIN(S$7+4,$K44))=0,0,IF($H44="","EXT",SUMIFS(Calendar!$C$16:$C$141,Calendar!$A$16:$A$141,"&gt;="&amp;MAX(S$7,$J44),Calendar!$A$16:$A$141,"&lt;="&amp;MIN(S$7+4,$K44))*$H44/$G44)))</x:f>
        <x:v>0</x:v>
      </x:c>
      <x:c r="T44" s="45" t="n">
        <x:f>IF(OR($J44="",$K44=""),"",IF(SUMIFS(Calendar!$C$16:$C$141,Calendar!$A$16:$A$141,"&gt;="&amp;MAX(T$7,$J44),Calendar!$A$16:$A$141,"&lt;="&amp;MIN(T$7+4,$K44))=0,0,IF($H44="","EXT",SUMIFS(Calendar!$C$16:$C$141,Calendar!$A$16:$A$141,"&gt;="&amp;MAX(T$7,$J44),Calendar!$A$16:$A$141,"&lt;="&amp;MIN(T$7+4,$K44))*$H44/$G44)))</x:f>
        <x:v>0</x:v>
      </x:c>
      <x:c r="U44" s="45" t="n">
        <x:f>IF(OR($J44="",$K44=""),"",IF(SUMIFS(Calendar!$C$16:$C$141,Calendar!$A$16:$A$141,"&gt;="&amp;MAX(U$7,$J44),Calendar!$A$16:$A$141,"&lt;="&amp;MIN(U$7+4,$K44))=0,0,IF($H44="","EXT",SUMIFS(Calendar!$C$16:$C$141,Calendar!$A$16:$A$141,"&gt;="&amp;MAX(U$7,$J44),Calendar!$A$16:$A$141,"&lt;="&amp;MIN(U$7+4,$K44))*$H44/$G44)))</x:f>
        <x:v>0</x:v>
      </x:c>
      <x:c r="V44" s="45" t="n">
        <x:f>IF(OR($J44="",$K44=""),"",IF(SUMIFS(Calendar!$C$16:$C$141,Calendar!$A$16:$A$141,"&gt;="&amp;MAX(V$7,$J44),Calendar!$A$16:$A$141,"&lt;="&amp;MIN(V$7+4,$K44))=0,0,IF($H44="","EXT",SUMIFS(Calendar!$C$16:$C$141,Calendar!$A$16:$A$141,"&gt;="&amp;MAX(V$7,$J44),Calendar!$A$16:$A$141,"&lt;="&amp;MIN(V$7+4,$K44))*$H44/$G44)))</x:f>
        <x:v>0</x:v>
      </x:c>
      <x:c r="W44" s="45" t="n">
        <x:f>IF(OR($J44="",$K44=""),"",IF(SUMIFS(Calendar!$C$16:$C$141,Calendar!$A$16:$A$141,"&gt;="&amp;MAX(W$7,$J44),Calendar!$A$16:$A$141,"&lt;="&amp;MIN(W$7+4,$K44))=0,0,IF($H44="","EXT",SUMIFS(Calendar!$C$16:$C$141,Calendar!$A$16:$A$141,"&gt;="&amp;MAX(W$7,$J44),Calendar!$A$16:$A$141,"&lt;="&amp;MIN(W$7+4,$K44))*$H44/$G44)))</x:f>
        <x:v>0</x:v>
      </x:c>
      <x:c r="X44" s="45" t="n">
        <x:f>IF(OR($J44="",$K44=""),"",IF(SUMIFS(Calendar!$C$16:$C$141,Calendar!$A$16:$A$141,"&gt;="&amp;MAX(X$7,$J44),Calendar!$A$16:$A$141,"&lt;="&amp;MIN(X$7+4,$K44))=0,0,IF($H44="","EXT",SUMIFS(Calendar!$C$16:$C$141,Calendar!$A$16:$A$141,"&gt;="&amp;MAX(X$7,$J44),Calendar!$A$16:$A$141,"&lt;="&amp;MIN(X$7+4,$K44))*$H44/$G44)))</x:f>
        <x:v>0</x:v>
      </x:c>
      <x:c r="Y44" s="45" t="n">
        <x:f>IF(OR($J44="",$K44=""),"",IF(SUMIFS(Calendar!$C$16:$C$141,Calendar!$A$16:$A$141,"&gt;="&amp;MAX(Y$7,$J44),Calendar!$A$16:$A$141,"&lt;="&amp;MIN(Y$7+4,$K44))=0,0,IF($H44="","EXT",SUMIFS(Calendar!$C$16:$C$141,Calendar!$A$16:$A$141,"&gt;="&amp;MAX(Y$7,$J44),Calendar!$A$16:$A$141,"&lt;="&amp;MIN(Y$7+4,$K44))*$H44/$G44)))</x:f>
        <x:v>0</x:v>
      </x:c>
      <x:c r="Z44" s="45" t="n">
        <x:f>IF(OR($J44="",$K44=""),"",IF(SUMIFS(Calendar!$C$16:$C$141,Calendar!$A$16:$A$141,"&gt;="&amp;MAX(Z$7,$J44),Calendar!$A$16:$A$141,"&lt;="&amp;MIN(Z$7+4,$K44))=0,0,IF($H44="","EXT",SUMIFS(Calendar!$C$16:$C$141,Calendar!$A$16:$A$141,"&gt;="&amp;MAX(Z$7,$J44),Calendar!$A$16:$A$141,"&lt;="&amp;MIN(Z$7+4,$K44))*$H44/$G44)))</x:f>
        <x:v>0</x:v>
      </x:c>
      <x:c r="AA44" s="45" t="n">
        <x:f>IF(OR($J44="",$K44=""),"",IF(SUMIFS(Calendar!$C$16:$C$141,Calendar!$A$16:$A$141,"&gt;="&amp;MAX(AA$7,$J44),Calendar!$A$16:$A$141,"&lt;="&amp;MIN(AA$7+4,$K44))=0,0,IF($H44="","EXT",SUMIFS(Calendar!$C$16:$C$141,Calendar!$A$16:$A$141,"&gt;="&amp;MAX(AA$7,$J44),Calendar!$A$16:$A$141,"&lt;="&amp;MIN(AA$7+4,$K44))*$H44/$G44)))</x:f>
        <x:v>1.5</x:v>
      </x:c>
      <x:c r="AB44" s="45" t="n">
        <x:f>IF(OR($J44="",$K44=""),"",IF(SUMIFS(Calendar!$C$16:$C$141,Calendar!$A$16:$A$141,"&gt;="&amp;MAX(AB$7,$J44),Calendar!$A$16:$A$141,"&lt;="&amp;MIN(AB$7+4,$K44))=0,0,IF($H44="","EXT",SUMIFS(Calendar!$C$16:$C$141,Calendar!$A$16:$A$141,"&gt;="&amp;MAX(AB$7,$J44),Calendar!$A$16:$A$141,"&lt;="&amp;MIN(AB$7+4,$K44))*$H44/$G44)))</x:f>
        <x:v>0</x:v>
      </x:c>
      <x:c r="AC44" s="45" t="n">
        <x:f>IF(OR($J44="",$K44=""),"",IF(SUMIFS(Calendar!$C$16:$C$141,Calendar!$A$16:$A$141,"&gt;="&amp;MAX(AC$7,$J44),Calendar!$A$16:$A$141,"&lt;="&amp;MIN(AC$7+4,$K44))=0,0,IF($H44="","EXT",SUMIFS(Calendar!$C$16:$C$141,Calendar!$A$16:$A$141,"&gt;="&amp;MAX(AC$7,$J44),Calendar!$A$16:$A$141,"&lt;="&amp;MIN(AC$7+4,$K44))*$H44/$G44)))</x:f>
        <x:v>0</x:v>
      </x:c>
      <x:c r="AD44" s="45" t="n">
        <x:f>IF(OR($J44="",$K44=""),"",IF(SUMIFS(Calendar!$C$16:$C$141,Calendar!$A$16:$A$141,"&gt;="&amp;MAX(AD$7,$J44),Calendar!$A$16:$A$141,"&lt;="&amp;MIN(AD$7+4,$K44))=0,0,IF($H44="","EXT",SUMIFS(Calendar!$C$16:$C$141,Calendar!$A$16:$A$141,"&gt;="&amp;MAX(AD$7,$J44),Calendar!$A$16:$A$141,"&lt;="&amp;MIN(AD$7+4,$K44))*$H44/$G44)))</x:f>
        <x:v>0</x:v>
      </x:c>
      <x:c r="AE44" s="45" t="n">
        <x:f>IF(OR($J44="",$K44=""),"",IF(SUMIFS(Calendar!$C$16:$C$141,Calendar!$A$16:$A$141,"&gt;="&amp;MAX(AE$7,$J44),Calendar!$A$16:$A$141,"&lt;="&amp;MIN(AE$7+4,$K44))=0,0,IF($H44="","EXT",SUMIFS(Calendar!$C$16:$C$141,Calendar!$A$16:$A$141,"&gt;="&amp;MAX(AE$7,$J44),Calendar!$A$16:$A$141,"&lt;="&amp;MIN(AE$7+4,$K44))*$H44/$G44)))</x:f>
        <x:v>0</x:v>
      </x:c>
      <x:c r="AF44" s="8" t="n">
        <x:f>IF(OR(M44&lt;&gt;"Scheduled",INDEX('Team and Gates'!$C$7:$C$13,MATCH($D44,'Team and Gates'!$A$7:$A$13,0))=""),"CHECK",SUM(N44:AE44)*INDEX('Team and Gates'!$C$7:$C$13,MATCH($D44,'Team and Gates'!$A$7:$A$13,0)))</x:f>
        <x:v>540</x:v>
      </x:c>
      <x:c r="AG44" s="46" t="str">
        <x:v>Qualified release artifacts, operational checks and named handover evidence are recorded.</x:v>
      </x:c>
      <x:c r="AH44" s="46" t="str"/>
    </x:row>
    <x:row r="45" ht="45" customHeight="1">
      <x:c r="A45" s="39" t="str">
        <x:v>A16</x:v>
      </x:c>
      <x:c r="B45" s="39" t="str">
        <x:v>Async / Azure</x:v>
      </x:c>
      <x:c r="C45" s="47" t="str">
        <x:v>Formal AM UAT support and post-holiday integration checks</x:v>
      </x:c>
      <x:c r="D45" s="26" t="str">
        <x:v>Dev 2</x:v>
      </x:c>
      <x:c r="E45" s="47" t="str">
        <x:v>A14</x:v>
      </x:c>
      <x:c r="F45" s="50" t="n">
        <x:v>68</x:v>
      </x:c>
      <x:c r="G45" s="50" t="n">
        <x:v>5</x:v>
      </x:c>
      <x:c r="H45" s="51" t="n">
        <x:v>4</x:v>
      </x:c>
      <x:c r="I45" s="39" t="n">
        <x:f>IF(OR(F45="",G45=""),"",F45+G45-1)</x:f>
        <x:v>72</x:v>
      </x:c>
      <x:c r="J45" s="41" t="n">
        <x:f>IF(OR(F45="",F45&lt;1,F45&gt;Calendar!$B$9),"",INDEX(Calendar!$A$16:$A$141,MATCH(F45,Calendar!$D$16:$D$141,0)))</x:f>
        <x:v>46433</x:v>
      </x:c>
      <x:c r="K45" s="41" t="n">
        <x:f>IF(OR(I45="",I45&lt;1,I45&gt;Calendar!$B$9),"",INDEX(Calendar!$A$16:$A$141,MATCH(I45,Calendar!$D$16:$D$141,0)))</x:f>
        <x:v>46437</x:v>
      </x:c>
      <x:c r="L45" s="53" t="n">
        <x:v>0</x:v>
      </x:c>
      <x:c r="M45" s="39" t="str">
        <x:f>IF(OR(F45="",G45="",H45=""),"Missing input",IF(OR(F45&lt;1,G45&lt;1,I45&gt;Calendar!$B$9),"Outside calendar",IF(F45&lt;MAX(INDEX($I$8:$I$157,MATCH("A14",$A$8:$A$157,0))+1),"Dependency conflict","Scheduled")))</x:f>
        <x:v>Scheduled</x:v>
      </x:c>
      <x:c r="N45" s="45" t="n">
        <x:f>IF(OR($J45="",$K45=""),"",IF(SUMIFS(Calendar!$C$16:$C$141,Calendar!$A$16:$A$141,"&gt;="&amp;MAX(N$7,$J45),Calendar!$A$16:$A$141,"&lt;="&amp;MIN(N$7+4,$K45))=0,0,IF($H45="","EXT",SUMIFS(Calendar!$C$16:$C$141,Calendar!$A$16:$A$141,"&gt;="&amp;MAX(N$7,$J45),Calendar!$A$16:$A$141,"&lt;="&amp;MIN(N$7+4,$K45))*$H45/$G45)))</x:f>
        <x:v>0</x:v>
      </x:c>
      <x:c r="O45" s="45" t="n">
        <x:f>IF(OR($J45="",$K45=""),"",IF(SUMIFS(Calendar!$C$16:$C$141,Calendar!$A$16:$A$141,"&gt;="&amp;MAX(O$7,$J45),Calendar!$A$16:$A$141,"&lt;="&amp;MIN(O$7+4,$K45))=0,0,IF($H45="","EXT",SUMIFS(Calendar!$C$16:$C$141,Calendar!$A$16:$A$141,"&gt;="&amp;MAX(O$7,$J45),Calendar!$A$16:$A$141,"&lt;="&amp;MIN(O$7+4,$K45))*$H45/$G45)))</x:f>
        <x:v>0</x:v>
      </x:c>
      <x:c r="P45" s="45" t="n">
        <x:f>IF(OR($J45="",$K45=""),"",IF(SUMIFS(Calendar!$C$16:$C$141,Calendar!$A$16:$A$141,"&gt;="&amp;MAX(P$7,$J45),Calendar!$A$16:$A$141,"&lt;="&amp;MIN(P$7+4,$K45))=0,0,IF($H45="","EXT",SUMIFS(Calendar!$C$16:$C$141,Calendar!$A$16:$A$141,"&gt;="&amp;MAX(P$7,$J45),Calendar!$A$16:$A$141,"&lt;="&amp;MIN(P$7+4,$K45))*$H45/$G45)))</x:f>
        <x:v>0</x:v>
      </x:c>
      <x:c r="Q45" s="45" t="n">
        <x:f>IF(OR($J45="",$K45=""),"",IF(SUMIFS(Calendar!$C$16:$C$141,Calendar!$A$16:$A$141,"&gt;="&amp;MAX(Q$7,$J45),Calendar!$A$16:$A$141,"&lt;="&amp;MIN(Q$7+4,$K45))=0,0,IF($H45="","EXT",SUMIFS(Calendar!$C$16:$C$141,Calendar!$A$16:$A$141,"&gt;="&amp;MAX(Q$7,$J45),Calendar!$A$16:$A$141,"&lt;="&amp;MIN(Q$7+4,$K45))*$H45/$G45)))</x:f>
        <x:v>0</x:v>
      </x:c>
      <x:c r="R45" s="45" t="n">
        <x:f>IF(OR($J45="",$K45=""),"",IF(SUMIFS(Calendar!$C$16:$C$141,Calendar!$A$16:$A$141,"&gt;="&amp;MAX(R$7,$J45),Calendar!$A$16:$A$141,"&lt;="&amp;MIN(R$7+4,$K45))=0,0,IF($H45="","EXT",SUMIFS(Calendar!$C$16:$C$141,Calendar!$A$16:$A$141,"&gt;="&amp;MAX(R$7,$J45),Calendar!$A$16:$A$141,"&lt;="&amp;MIN(R$7+4,$K45))*$H45/$G45)))</x:f>
        <x:v>0</x:v>
      </x:c>
      <x:c r="S45" s="45" t="n">
        <x:f>IF(OR($J45="",$K45=""),"",IF(SUMIFS(Calendar!$C$16:$C$141,Calendar!$A$16:$A$141,"&gt;="&amp;MAX(S$7,$J45),Calendar!$A$16:$A$141,"&lt;="&amp;MIN(S$7+4,$K45))=0,0,IF($H45="","EXT",SUMIFS(Calendar!$C$16:$C$141,Calendar!$A$16:$A$141,"&gt;="&amp;MAX(S$7,$J45),Calendar!$A$16:$A$141,"&lt;="&amp;MIN(S$7+4,$K45))*$H45/$G45)))</x:f>
        <x:v>0</x:v>
      </x:c>
      <x:c r="T45" s="45" t="n">
        <x:f>IF(OR($J45="",$K45=""),"",IF(SUMIFS(Calendar!$C$16:$C$141,Calendar!$A$16:$A$141,"&gt;="&amp;MAX(T$7,$J45),Calendar!$A$16:$A$141,"&lt;="&amp;MIN(T$7+4,$K45))=0,0,IF($H45="","EXT",SUMIFS(Calendar!$C$16:$C$141,Calendar!$A$16:$A$141,"&gt;="&amp;MAX(T$7,$J45),Calendar!$A$16:$A$141,"&lt;="&amp;MIN(T$7+4,$K45))*$H45/$G45)))</x:f>
        <x:v>0</x:v>
      </x:c>
      <x:c r="U45" s="45" t="n">
        <x:f>IF(OR($J45="",$K45=""),"",IF(SUMIFS(Calendar!$C$16:$C$141,Calendar!$A$16:$A$141,"&gt;="&amp;MAX(U$7,$J45),Calendar!$A$16:$A$141,"&lt;="&amp;MIN(U$7+4,$K45))=0,0,IF($H45="","EXT",SUMIFS(Calendar!$C$16:$C$141,Calendar!$A$16:$A$141,"&gt;="&amp;MAX(U$7,$J45),Calendar!$A$16:$A$141,"&lt;="&amp;MIN(U$7+4,$K45))*$H45/$G45)))</x:f>
        <x:v>0</x:v>
      </x:c>
      <x:c r="V45" s="45" t="n">
        <x:f>IF(OR($J45="",$K45=""),"",IF(SUMIFS(Calendar!$C$16:$C$141,Calendar!$A$16:$A$141,"&gt;="&amp;MAX(V$7,$J45),Calendar!$A$16:$A$141,"&lt;="&amp;MIN(V$7+4,$K45))=0,0,IF($H45="","EXT",SUMIFS(Calendar!$C$16:$C$141,Calendar!$A$16:$A$141,"&gt;="&amp;MAX(V$7,$J45),Calendar!$A$16:$A$141,"&lt;="&amp;MIN(V$7+4,$K45))*$H45/$G45)))</x:f>
        <x:v>0</x:v>
      </x:c>
      <x:c r="W45" s="45" t="n">
        <x:f>IF(OR($J45="",$K45=""),"",IF(SUMIFS(Calendar!$C$16:$C$141,Calendar!$A$16:$A$141,"&gt;="&amp;MAX(W$7,$J45),Calendar!$A$16:$A$141,"&lt;="&amp;MIN(W$7+4,$K45))=0,0,IF($H45="","EXT",SUMIFS(Calendar!$C$16:$C$141,Calendar!$A$16:$A$141,"&gt;="&amp;MAX(W$7,$J45),Calendar!$A$16:$A$141,"&lt;="&amp;MIN(W$7+4,$K45))*$H45/$G45)))</x:f>
        <x:v>0</x:v>
      </x:c>
      <x:c r="X45" s="45" t="n">
        <x:f>IF(OR($J45="",$K45=""),"",IF(SUMIFS(Calendar!$C$16:$C$141,Calendar!$A$16:$A$141,"&gt;="&amp;MAX(X$7,$J45),Calendar!$A$16:$A$141,"&lt;="&amp;MIN(X$7+4,$K45))=0,0,IF($H45="","EXT",SUMIFS(Calendar!$C$16:$C$141,Calendar!$A$16:$A$141,"&gt;="&amp;MAX(X$7,$J45),Calendar!$A$16:$A$141,"&lt;="&amp;MIN(X$7+4,$K45))*$H45/$G45)))</x:f>
        <x:v>0</x:v>
      </x:c>
      <x:c r="Y45" s="45" t="n">
        <x:f>IF(OR($J45="",$K45=""),"",IF(SUMIFS(Calendar!$C$16:$C$141,Calendar!$A$16:$A$141,"&gt;="&amp;MAX(Y$7,$J45),Calendar!$A$16:$A$141,"&lt;="&amp;MIN(Y$7+4,$K45))=0,0,IF($H45="","EXT",SUMIFS(Calendar!$C$16:$C$141,Calendar!$A$16:$A$141,"&gt;="&amp;MAX(Y$7,$J45),Calendar!$A$16:$A$141,"&lt;="&amp;MIN(Y$7+4,$K45))*$H45/$G45)))</x:f>
        <x:v>0</x:v>
      </x:c>
      <x:c r="Z45" s="45" t="n">
        <x:f>IF(OR($J45="",$K45=""),"",IF(SUMIFS(Calendar!$C$16:$C$141,Calendar!$A$16:$A$141,"&gt;="&amp;MAX(Z$7,$J45),Calendar!$A$16:$A$141,"&lt;="&amp;MIN(Z$7+4,$K45))=0,0,IF($H45="","EXT",SUMIFS(Calendar!$C$16:$C$141,Calendar!$A$16:$A$141,"&gt;="&amp;MAX(Z$7,$J45),Calendar!$A$16:$A$141,"&lt;="&amp;MIN(Z$7+4,$K45))*$H45/$G45)))</x:f>
        <x:v>0</x:v>
      </x:c>
      <x:c r="AA45" s="45" t="n">
        <x:f>IF(OR($J45="",$K45=""),"",IF(SUMIFS(Calendar!$C$16:$C$141,Calendar!$A$16:$A$141,"&gt;="&amp;MAX(AA$7,$J45),Calendar!$A$16:$A$141,"&lt;="&amp;MIN(AA$7+4,$K45))=0,0,IF($H45="","EXT",SUMIFS(Calendar!$C$16:$C$141,Calendar!$A$16:$A$141,"&gt;="&amp;MAX(AA$7,$J45),Calendar!$A$16:$A$141,"&lt;="&amp;MIN(AA$7+4,$K45))*$H45/$G45)))</x:f>
        <x:v>0</x:v>
      </x:c>
      <x:c r="AB45" s="45" t="n">
        <x:f>IF(OR($J45="",$K45=""),"",IF(SUMIFS(Calendar!$C$16:$C$141,Calendar!$A$16:$A$141,"&gt;="&amp;MAX(AB$7,$J45),Calendar!$A$16:$A$141,"&lt;="&amp;MIN(AB$7+4,$K45))=0,0,IF($H45="","EXT",SUMIFS(Calendar!$C$16:$C$141,Calendar!$A$16:$A$141,"&gt;="&amp;MAX(AB$7,$J45),Calendar!$A$16:$A$141,"&lt;="&amp;MIN(AB$7+4,$K45))*$H45/$G45)))</x:f>
        <x:v>0</x:v>
      </x:c>
      <x:c r="AC45" s="45" t="n">
        <x:f>IF(OR($J45="",$K45=""),"",IF(SUMIFS(Calendar!$C$16:$C$141,Calendar!$A$16:$A$141,"&gt;="&amp;MAX(AC$7,$J45),Calendar!$A$16:$A$141,"&lt;="&amp;MIN(AC$7+4,$K45))=0,0,IF($H45="","EXT",SUMIFS(Calendar!$C$16:$C$141,Calendar!$A$16:$A$141,"&gt;="&amp;MAX(AC$7,$J45),Calendar!$A$16:$A$141,"&lt;="&amp;MIN(AC$7+4,$K45))*$H45/$G45)))</x:f>
        <x:v>4</x:v>
      </x:c>
      <x:c r="AD45" s="45" t="n">
        <x:f>IF(OR($J45="",$K45=""),"",IF(SUMIFS(Calendar!$C$16:$C$141,Calendar!$A$16:$A$141,"&gt;="&amp;MAX(AD$7,$J45),Calendar!$A$16:$A$141,"&lt;="&amp;MIN(AD$7+4,$K45))=0,0,IF($H45="","EXT",SUMIFS(Calendar!$C$16:$C$141,Calendar!$A$16:$A$141,"&gt;="&amp;MAX(AD$7,$J45),Calendar!$A$16:$A$141,"&lt;="&amp;MIN(AD$7+4,$K45))*$H45/$G45)))</x:f>
        <x:v>0</x:v>
      </x:c>
      <x:c r="AE45" s="45" t="n">
        <x:f>IF(OR($J45="",$K45=""),"",IF(SUMIFS(Calendar!$C$16:$C$141,Calendar!$A$16:$A$141,"&gt;="&amp;MAX(AE$7,$J45),Calendar!$A$16:$A$141,"&lt;="&amp;MIN(AE$7+4,$K45))=0,0,IF($H45="","EXT",SUMIFS(Calendar!$C$16:$C$141,Calendar!$A$16:$A$141,"&gt;="&amp;MAX(AE$7,$J45),Calendar!$A$16:$A$141,"&lt;="&amp;MIN(AE$7+4,$K45))*$H45/$G45)))</x:f>
        <x:v>0</x:v>
      </x:c>
      <x:c r="AF45" s="8" t="n">
        <x:f>IF(OR(M45&lt;&gt;"Scheduled",INDEX('Team and Gates'!$C$7:$C$13,MATCH($D45,'Team and Gates'!$A$7:$A$13,0))=""),"CHECK",SUM(N45:AE45)*INDEX('Team and Gates'!$C$7:$C$13,MATCH($D45,'Team and Gates'!$A$7:$A$13,0)))</x:f>
        <x:v>1440</x:v>
      </x:c>
      <x:c r="AG45" s="46" t="str">
        <x:v>Pilot AMs execute first-week UAT scenarios; defects and affected regression/AI retests are recorded for final acceptance on Feb 24.</x:v>
      </x:c>
      <x:c r="AH45" s="46" t="str"/>
    </x:row>
    <x:row r="46" ht="45" customHeight="1">
      <x:c r="A46" s="2" t="str">
        <x:v>A17</x:v>
      </x:c>
      <x:c r="B46" s="2" t="str">
        <x:v>Async / Azure</x:v>
      </x:c>
      <x:c r="C46" s="46" t="str">
        <x:v>UAT integration retests and final production-release rehearsal</x:v>
      </x:c>
      <x:c r="D46" s="26" t="str">
        <x:v>Dev 2</x:v>
      </x:c>
      <x:c r="E46" s="46" t="str">
        <x:v>A16, Q16, U16</x:v>
      </x:c>
      <x:c r="F46" s="50" t="n">
        <x:v>73</x:v>
      </x:c>
      <x:c r="G46" s="50" t="n">
        <x:v>3</x:v>
      </x:c>
      <x:c r="H46" s="51" t="n">
        <x:v>1.8</x:v>
      </x:c>
      <x:c r="I46" s="2" t="n">
        <x:f>IF(OR(F46="",G46=""),"",F46+G46-1)</x:f>
        <x:v>75</x:v>
      </x:c>
      <x:c r="J46" s="5" t="n">
        <x:f>IF(OR(F46="",F46&lt;1,F46&gt;Calendar!$B$9),"",INDEX(Calendar!$A$16:$A$141,MATCH(F46,Calendar!$D$16:$D$141,0)))</x:f>
        <x:v>46440</x:v>
      </x:c>
      <x:c r="K46" s="5" t="n">
        <x:f>IF(OR(I46="",I46&lt;1,I46&gt;Calendar!$B$9),"",INDEX(Calendar!$A$16:$A$141,MATCH(I46,Calendar!$D$16:$D$141,0)))</x:f>
        <x:v>46442</x:v>
      </x:c>
      <x:c r="L46" s="53" t="n">
        <x:v>0</x:v>
      </x:c>
      <x:c r="M46" s="2" t="str">
        <x:f>IF(OR(F46="",G46="",H46=""),"Missing input",IF(OR(F46&lt;1,G46&lt;1,I46&gt;Calendar!$B$9),"Outside calendar",IF(F46&lt;MAX(INDEX($I$8:$I$157,MATCH("A16",$A$8:$A$157,0))+1,INDEX($I$8:$I$157,MATCH("Q16",$A$8:$A$157,0))+1,INDEX($I$8:$I$157,MATCH("U16",$A$8:$A$157,0))+1),"Dependency conflict","Scheduled")))</x:f>
        <x:v>Scheduled</x:v>
      </x:c>
      <x:c r="N46" s="45" t="n">
        <x:f>IF(OR($J46="",$K46=""),"",IF(SUMIFS(Calendar!$C$16:$C$141,Calendar!$A$16:$A$141,"&gt;="&amp;MAX(N$7,$J46),Calendar!$A$16:$A$141,"&lt;="&amp;MIN(N$7+4,$K46))=0,0,IF($H46="","EXT",SUMIFS(Calendar!$C$16:$C$141,Calendar!$A$16:$A$141,"&gt;="&amp;MAX(N$7,$J46),Calendar!$A$16:$A$141,"&lt;="&amp;MIN(N$7+4,$K46))*$H46/$G46)))</x:f>
        <x:v>0</x:v>
      </x:c>
      <x:c r="O46" s="45" t="n">
        <x:f>IF(OR($J46="",$K46=""),"",IF(SUMIFS(Calendar!$C$16:$C$141,Calendar!$A$16:$A$141,"&gt;="&amp;MAX(O$7,$J46),Calendar!$A$16:$A$141,"&lt;="&amp;MIN(O$7+4,$K46))=0,0,IF($H46="","EXT",SUMIFS(Calendar!$C$16:$C$141,Calendar!$A$16:$A$141,"&gt;="&amp;MAX(O$7,$J46),Calendar!$A$16:$A$141,"&lt;="&amp;MIN(O$7+4,$K46))*$H46/$G46)))</x:f>
        <x:v>0</x:v>
      </x:c>
      <x:c r="P46" s="45" t="n">
        <x:f>IF(OR($J46="",$K46=""),"",IF(SUMIFS(Calendar!$C$16:$C$141,Calendar!$A$16:$A$141,"&gt;="&amp;MAX(P$7,$J46),Calendar!$A$16:$A$141,"&lt;="&amp;MIN(P$7+4,$K46))=0,0,IF($H46="","EXT",SUMIFS(Calendar!$C$16:$C$141,Calendar!$A$16:$A$141,"&gt;="&amp;MAX(P$7,$J46),Calendar!$A$16:$A$141,"&lt;="&amp;MIN(P$7+4,$K46))*$H46/$G46)))</x:f>
        <x:v>0</x:v>
      </x:c>
      <x:c r="Q46" s="45" t="n">
        <x:f>IF(OR($J46="",$K46=""),"",IF(SUMIFS(Calendar!$C$16:$C$141,Calendar!$A$16:$A$141,"&gt;="&amp;MAX(Q$7,$J46),Calendar!$A$16:$A$141,"&lt;="&amp;MIN(Q$7+4,$K46))=0,0,IF($H46="","EXT",SUMIFS(Calendar!$C$16:$C$141,Calendar!$A$16:$A$141,"&gt;="&amp;MAX(Q$7,$J46),Calendar!$A$16:$A$141,"&lt;="&amp;MIN(Q$7+4,$K46))*$H46/$G46)))</x:f>
        <x:v>0</x:v>
      </x:c>
      <x:c r="R46" s="45" t="n">
        <x:f>IF(OR($J46="",$K46=""),"",IF(SUMIFS(Calendar!$C$16:$C$141,Calendar!$A$16:$A$141,"&gt;="&amp;MAX(R$7,$J46),Calendar!$A$16:$A$141,"&lt;="&amp;MIN(R$7+4,$K46))=0,0,IF($H46="","EXT",SUMIFS(Calendar!$C$16:$C$141,Calendar!$A$16:$A$141,"&gt;="&amp;MAX(R$7,$J46),Calendar!$A$16:$A$141,"&lt;="&amp;MIN(R$7+4,$K46))*$H46/$G46)))</x:f>
        <x:v>0</x:v>
      </x:c>
      <x:c r="S46" s="45" t="n">
        <x:f>IF(OR($J46="",$K46=""),"",IF(SUMIFS(Calendar!$C$16:$C$141,Calendar!$A$16:$A$141,"&gt;="&amp;MAX(S$7,$J46),Calendar!$A$16:$A$141,"&lt;="&amp;MIN(S$7+4,$K46))=0,0,IF($H46="","EXT",SUMIFS(Calendar!$C$16:$C$141,Calendar!$A$16:$A$141,"&gt;="&amp;MAX(S$7,$J46),Calendar!$A$16:$A$141,"&lt;="&amp;MIN(S$7+4,$K46))*$H46/$G46)))</x:f>
        <x:v>0</x:v>
      </x:c>
      <x:c r="T46" s="45" t="n">
        <x:f>IF(OR($J46="",$K46=""),"",IF(SUMIFS(Calendar!$C$16:$C$141,Calendar!$A$16:$A$141,"&gt;="&amp;MAX(T$7,$J46),Calendar!$A$16:$A$141,"&lt;="&amp;MIN(T$7+4,$K46))=0,0,IF($H46="","EXT",SUMIFS(Calendar!$C$16:$C$141,Calendar!$A$16:$A$141,"&gt;="&amp;MAX(T$7,$J46),Calendar!$A$16:$A$141,"&lt;="&amp;MIN(T$7+4,$K46))*$H46/$G46)))</x:f>
        <x:v>0</x:v>
      </x:c>
      <x:c r="U46" s="45" t="n">
        <x:f>IF(OR($J46="",$K46=""),"",IF(SUMIFS(Calendar!$C$16:$C$141,Calendar!$A$16:$A$141,"&gt;="&amp;MAX(U$7,$J46),Calendar!$A$16:$A$141,"&lt;="&amp;MIN(U$7+4,$K46))=0,0,IF($H46="","EXT",SUMIFS(Calendar!$C$16:$C$141,Calendar!$A$16:$A$141,"&gt;="&amp;MAX(U$7,$J46),Calendar!$A$16:$A$141,"&lt;="&amp;MIN(U$7+4,$K46))*$H46/$G46)))</x:f>
        <x:v>0</x:v>
      </x:c>
      <x:c r="V46" s="45" t="n">
        <x:f>IF(OR($J46="",$K46=""),"",IF(SUMIFS(Calendar!$C$16:$C$141,Calendar!$A$16:$A$141,"&gt;="&amp;MAX(V$7,$J46),Calendar!$A$16:$A$141,"&lt;="&amp;MIN(V$7+4,$K46))=0,0,IF($H46="","EXT",SUMIFS(Calendar!$C$16:$C$141,Calendar!$A$16:$A$141,"&gt;="&amp;MAX(V$7,$J46),Calendar!$A$16:$A$141,"&lt;="&amp;MIN(V$7+4,$K46))*$H46/$G46)))</x:f>
        <x:v>0</x:v>
      </x:c>
      <x:c r="W46" s="45" t="n">
        <x:f>IF(OR($J46="",$K46=""),"",IF(SUMIFS(Calendar!$C$16:$C$141,Calendar!$A$16:$A$141,"&gt;="&amp;MAX(W$7,$J46),Calendar!$A$16:$A$141,"&lt;="&amp;MIN(W$7+4,$K46))=0,0,IF($H46="","EXT",SUMIFS(Calendar!$C$16:$C$141,Calendar!$A$16:$A$141,"&gt;="&amp;MAX(W$7,$J46),Calendar!$A$16:$A$141,"&lt;="&amp;MIN(W$7+4,$K46))*$H46/$G46)))</x:f>
        <x:v>0</x:v>
      </x:c>
      <x:c r="X46" s="45" t="n">
        <x:f>IF(OR($J46="",$K46=""),"",IF(SUMIFS(Calendar!$C$16:$C$141,Calendar!$A$16:$A$141,"&gt;="&amp;MAX(X$7,$J46),Calendar!$A$16:$A$141,"&lt;="&amp;MIN(X$7+4,$K46))=0,0,IF($H46="","EXT",SUMIFS(Calendar!$C$16:$C$141,Calendar!$A$16:$A$141,"&gt;="&amp;MAX(X$7,$J46),Calendar!$A$16:$A$141,"&lt;="&amp;MIN(X$7+4,$K46))*$H46/$G46)))</x:f>
        <x:v>0</x:v>
      </x:c>
      <x:c r="Y46" s="45" t="n">
        <x:f>IF(OR($J46="",$K46=""),"",IF(SUMIFS(Calendar!$C$16:$C$141,Calendar!$A$16:$A$141,"&gt;="&amp;MAX(Y$7,$J46),Calendar!$A$16:$A$141,"&lt;="&amp;MIN(Y$7+4,$K46))=0,0,IF($H46="","EXT",SUMIFS(Calendar!$C$16:$C$141,Calendar!$A$16:$A$141,"&gt;="&amp;MAX(Y$7,$J46),Calendar!$A$16:$A$141,"&lt;="&amp;MIN(Y$7+4,$K46))*$H46/$G46)))</x:f>
        <x:v>0</x:v>
      </x:c>
      <x:c r="Z46" s="45" t="n">
        <x:f>IF(OR($J46="",$K46=""),"",IF(SUMIFS(Calendar!$C$16:$C$141,Calendar!$A$16:$A$141,"&gt;="&amp;MAX(Z$7,$J46),Calendar!$A$16:$A$141,"&lt;="&amp;MIN(Z$7+4,$K46))=0,0,IF($H46="","EXT",SUMIFS(Calendar!$C$16:$C$141,Calendar!$A$16:$A$141,"&gt;="&amp;MAX(Z$7,$J46),Calendar!$A$16:$A$141,"&lt;="&amp;MIN(Z$7+4,$K46))*$H46/$G46)))</x:f>
        <x:v>0</x:v>
      </x:c>
      <x:c r="AA46" s="45" t="n">
        <x:f>IF(OR($J46="",$K46=""),"",IF(SUMIFS(Calendar!$C$16:$C$141,Calendar!$A$16:$A$141,"&gt;="&amp;MAX(AA$7,$J46),Calendar!$A$16:$A$141,"&lt;="&amp;MIN(AA$7+4,$K46))=0,0,IF($H46="","EXT",SUMIFS(Calendar!$C$16:$C$141,Calendar!$A$16:$A$141,"&gt;="&amp;MAX(AA$7,$J46),Calendar!$A$16:$A$141,"&lt;="&amp;MIN(AA$7+4,$K46))*$H46/$G46)))</x:f>
        <x:v>0</x:v>
      </x:c>
      <x:c r="AB46" s="45" t="n">
        <x:f>IF(OR($J46="",$K46=""),"",IF(SUMIFS(Calendar!$C$16:$C$141,Calendar!$A$16:$A$141,"&gt;="&amp;MAX(AB$7,$J46),Calendar!$A$16:$A$141,"&lt;="&amp;MIN(AB$7+4,$K46))=0,0,IF($H46="","EXT",SUMIFS(Calendar!$C$16:$C$141,Calendar!$A$16:$A$141,"&gt;="&amp;MAX(AB$7,$J46),Calendar!$A$16:$A$141,"&lt;="&amp;MIN(AB$7+4,$K46))*$H46/$G46)))</x:f>
        <x:v>0</x:v>
      </x:c>
      <x:c r="AC46" s="45" t="n">
        <x:f>IF(OR($J46="",$K46=""),"",IF(SUMIFS(Calendar!$C$16:$C$141,Calendar!$A$16:$A$141,"&gt;="&amp;MAX(AC$7,$J46),Calendar!$A$16:$A$141,"&lt;="&amp;MIN(AC$7+4,$K46))=0,0,IF($H46="","EXT",SUMIFS(Calendar!$C$16:$C$141,Calendar!$A$16:$A$141,"&gt;="&amp;MAX(AC$7,$J46),Calendar!$A$16:$A$141,"&lt;="&amp;MIN(AC$7+4,$K46))*$H46/$G46)))</x:f>
        <x:v>0</x:v>
      </x:c>
      <x:c r="AD46" s="45" t="n">
        <x:f>IF(OR($J46="",$K46=""),"",IF(SUMIFS(Calendar!$C$16:$C$141,Calendar!$A$16:$A$141,"&gt;="&amp;MAX(AD$7,$J46),Calendar!$A$16:$A$141,"&lt;="&amp;MIN(AD$7+4,$K46))=0,0,IF($H46="","EXT",SUMIFS(Calendar!$C$16:$C$141,Calendar!$A$16:$A$141,"&gt;="&amp;MAX(AD$7,$J46),Calendar!$A$16:$A$141,"&lt;="&amp;MIN(AD$7+4,$K46))*$H46/$G46)))</x:f>
        <x:v>1.8</x:v>
      </x:c>
      <x:c r="AE46" s="45" t="n">
        <x:f>IF(OR($J46="",$K46=""),"",IF(SUMIFS(Calendar!$C$16:$C$141,Calendar!$A$16:$A$141,"&gt;="&amp;MAX(AE$7,$J46),Calendar!$A$16:$A$141,"&lt;="&amp;MIN(AE$7+4,$K46))=0,0,IF($H46="","EXT",SUMIFS(Calendar!$C$16:$C$141,Calendar!$A$16:$A$141,"&gt;="&amp;MAX(AE$7,$J46),Calendar!$A$16:$A$141,"&lt;="&amp;MIN(AE$7+4,$K46))*$H46/$G46)))</x:f>
        <x:v>0</x:v>
      </x:c>
      <x:c r="AF46" s="8" t="n">
        <x:f>IF(OR(M46&lt;&gt;"Scheduled",INDEX('Team and Gates'!$C$7:$C$13,MATCH($D46,'Team and Gates'!$A$7:$A$13,0))=""),"CHECK",SUM(N46:AE46)*INDEX('Team and Gates'!$C$7:$C$13,MATCH($D46,'Team and Gates'!$A$7:$A$13,0)))</x:f>
        <x:v>648</x:v>
      </x:c>
      <x:c r="AG46" s="46" t="str">
        <x:v>Final UAT evidence, controlled defect retests and business-owner approval are recorded by Feb 24.</x:v>
      </x:c>
      <x:c r="AH46" s="46" t="str"/>
    </x:row>
    <x:row r="47" ht="45" customHeight="1">
      <x:c r="A47" s="39" t="str">
        <x:v>A-GATE</x:v>
      </x:c>
      <x:c r="B47" s="39" t="str">
        <x:v>Async / Azure</x:v>
      </x:c>
      <x:c r="C47" s="47" t="str">
        <x:v>Feb 25 release readiness and Go/No-Go checks</x:v>
      </x:c>
      <x:c r="D47" s="26" t="str">
        <x:v>Dev 2</x:v>
      </x:c>
      <x:c r="E47" s="47" t="str">
        <x:v>A17, BA17, Q17, U17</x:v>
      </x:c>
      <x:c r="F47" s="50" t="n">
        <x:v>76</x:v>
      </x:c>
      <x:c r="G47" s="50" t="n">
        <x:v>1</x:v>
      </x:c>
      <x:c r="H47" s="51" t="n">
        <x:v>0.6</x:v>
      </x:c>
      <x:c r="I47" s="39" t="n">
        <x:f>IF(OR(F47="",G47=""),"",F47+G47-1)</x:f>
        <x:v>76</x:v>
      </x:c>
      <x:c r="J47" s="41" t="n">
        <x:f>IF(OR(F47="",F47&lt;1,F47&gt;Calendar!$B$9),"",INDEX(Calendar!$A$16:$A$141,MATCH(F47,Calendar!$D$16:$D$141,0)))</x:f>
        <x:v>46443</x:v>
      </x:c>
      <x:c r="K47" s="41" t="n">
        <x:f>IF(OR(I47="",I47&lt;1,I47&gt;Calendar!$B$9),"",INDEX(Calendar!$A$16:$A$141,MATCH(I47,Calendar!$D$16:$D$141,0)))</x:f>
        <x:v>46443</x:v>
      </x:c>
      <x:c r="L47" s="53" t="n">
        <x:v>0</x:v>
      </x:c>
      <x:c r="M47" s="39" t="str">
        <x:f>IF(OR(F47="",G47="",H47=""),"Missing input",IF(OR(F47&lt;1,G47&lt;1,I47&gt;Calendar!$B$9),"Outside calendar",IF(F47&lt;MAX(INDEX($I$8:$I$157,MATCH("A17",$A$8:$A$157,0))+1,INDEX($I$8:$I$157,MATCH("BA17",$A$8:$A$157,0))+1,INDEX($I$8:$I$157,MATCH("Q17",$A$8:$A$157,0))+1,INDEX($I$8:$I$157,MATCH("U17",$A$8:$A$157,0))+1),"Dependency conflict","Scheduled")))</x:f>
        <x:v>Scheduled</x:v>
      </x:c>
      <x:c r="N47" s="45" t="n">
        <x:f>IF(OR($J47="",$K47=""),"",IF(SUMIFS(Calendar!$C$16:$C$141,Calendar!$A$16:$A$141,"&gt;="&amp;MAX(N$7,$J47),Calendar!$A$16:$A$141,"&lt;="&amp;MIN(N$7+4,$K47))=0,0,IF($H47="","EXT",SUMIFS(Calendar!$C$16:$C$141,Calendar!$A$16:$A$141,"&gt;="&amp;MAX(N$7,$J47),Calendar!$A$16:$A$141,"&lt;="&amp;MIN(N$7+4,$K47))*$H47/$G47)))</x:f>
        <x:v>0</x:v>
      </x:c>
      <x:c r="O47" s="45" t="n">
        <x:f>IF(OR($J47="",$K47=""),"",IF(SUMIFS(Calendar!$C$16:$C$141,Calendar!$A$16:$A$141,"&gt;="&amp;MAX(O$7,$J47),Calendar!$A$16:$A$141,"&lt;="&amp;MIN(O$7+4,$K47))=0,0,IF($H47="","EXT",SUMIFS(Calendar!$C$16:$C$141,Calendar!$A$16:$A$141,"&gt;="&amp;MAX(O$7,$J47),Calendar!$A$16:$A$141,"&lt;="&amp;MIN(O$7+4,$K47))*$H47/$G47)))</x:f>
        <x:v>0</x:v>
      </x:c>
      <x:c r="P47" s="45" t="n">
        <x:f>IF(OR($J47="",$K47=""),"",IF(SUMIFS(Calendar!$C$16:$C$141,Calendar!$A$16:$A$141,"&gt;="&amp;MAX(P$7,$J47),Calendar!$A$16:$A$141,"&lt;="&amp;MIN(P$7+4,$K47))=0,0,IF($H47="","EXT",SUMIFS(Calendar!$C$16:$C$141,Calendar!$A$16:$A$141,"&gt;="&amp;MAX(P$7,$J47),Calendar!$A$16:$A$141,"&lt;="&amp;MIN(P$7+4,$K47))*$H47/$G47)))</x:f>
        <x:v>0</x:v>
      </x:c>
      <x:c r="Q47" s="45" t="n">
        <x:f>IF(OR($J47="",$K47=""),"",IF(SUMIFS(Calendar!$C$16:$C$141,Calendar!$A$16:$A$141,"&gt;="&amp;MAX(Q$7,$J47),Calendar!$A$16:$A$141,"&lt;="&amp;MIN(Q$7+4,$K47))=0,0,IF($H47="","EXT",SUMIFS(Calendar!$C$16:$C$141,Calendar!$A$16:$A$141,"&gt;="&amp;MAX(Q$7,$J47),Calendar!$A$16:$A$141,"&lt;="&amp;MIN(Q$7+4,$K47))*$H47/$G47)))</x:f>
        <x:v>0</x:v>
      </x:c>
      <x:c r="R47" s="45" t="n">
        <x:f>IF(OR($J47="",$K47=""),"",IF(SUMIFS(Calendar!$C$16:$C$141,Calendar!$A$16:$A$141,"&gt;="&amp;MAX(R$7,$J47),Calendar!$A$16:$A$141,"&lt;="&amp;MIN(R$7+4,$K47))=0,0,IF($H47="","EXT",SUMIFS(Calendar!$C$16:$C$141,Calendar!$A$16:$A$141,"&gt;="&amp;MAX(R$7,$J47),Calendar!$A$16:$A$141,"&lt;="&amp;MIN(R$7+4,$K47))*$H47/$G47)))</x:f>
        <x:v>0</x:v>
      </x:c>
      <x:c r="S47" s="45" t="n">
        <x:f>IF(OR($J47="",$K47=""),"",IF(SUMIFS(Calendar!$C$16:$C$141,Calendar!$A$16:$A$141,"&gt;="&amp;MAX(S$7,$J47),Calendar!$A$16:$A$141,"&lt;="&amp;MIN(S$7+4,$K47))=0,0,IF($H47="","EXT",SUMIFS(Calendar!$C$16:$C$141,Calendar!$A$16:$A$141,"&gt;="&amp;MAX(S$7,$J47),Calendar!$A$16:$A$141,"&lt;="&amp;MIN(S$7+4,$K47))*$H47/$G47)))</x:f>
        <x:v>0</x:v>
      </x:c>
      <x:c r="T47" s="45" t="n">
        <x:f>IF(OR($J47="",$K47=""),"",IF(SUMIFS(Calendar!$C$16:$C$141,Calendar!$A$16:$A$141,"&gt;="&amp;MAX(T$7,$J47),Calendar!$A$16:$A$141,"&lt;="&amp;MIN(T$7+4,$K47))=0,0,IF($H47="","EXT",SUMIFS(Calendar!$C$16:$C$141,Calendar!$A$16:$A$141,"&gt;="&amp;MAX(T$7,$J47),Calendar!$A$16:$A$141,"&lt;="&amp;MIN(T$7+4,$K47))*$H47/$G47)))</x:f>
        <x:v>0</x:v>
      </x:c>
      <x:c r="U47" s="45" t="n">
        <x:f>IF(OR($J47="",$K47=""),"",IF(SUMIFS(Calendar!$C$16:$C$141,Calendar!$A$16:$A$141,"&gt;="&amp;MAX(U$7,$J47),Calendar!$A$16:$A$141,"&lt;="&amp;MIN(U$7+4,$K47))=0,0,IF($H47="","EXT",SUMIFS(Calendar!$C$16:$C$141,Calendar!$A$16:$A$141,"&gt;="&amp;MAX(U$7,$J47),Calendar!$A$16:$A$141,"&lt;="&amp;MIN(U$7+4,$K47))*$H47/$G47)))</x:f>
        <x:v>0</x:v>
      </x:c>
      <x:c r="V47" s="45" t="n">
        <x:f>IF(OR($J47="",$K47=""),"",IF(SUMIFS(Calendar!$C$16:$C$141,Calendar!$A$16:$A$141,"&gt;="&amp;MAX(V$7,$J47),Calendar!$A$16:$A$141,"&lt;="&amp;MIN(V$7+4,$K47))=0,0,IF($H47="","EXT",SUMIFS(Calendar!$C$16:$C$141,Calendar!$A$16:$A$141,"&gt;="&amp;MAX(V$7,$J47),Calendar!$A$16:$A$141,"&lt;="&amp;MIN(V$7+4,$K47))*$H47/$G47)))</x:f>
        <x:v>0</x:v>
      </x:c>
      <x:c r="W47" s="45" t="n">
        <x:f>IF(OR($J47="",$K47=""),"",IF(SUMIFS(Calendar!$C$16:$C$141,Calendar!$A$16:$A$141,"&gt;="&amp;MAX(W$7,$J47),Calendar!$A$16:$A$141,"&lt;="&amp;MIN(W$7+4,$K47))=0,0,IF($H47="","EXT",SUMIFS(Calendar!$C$16:$C$141,Calendar!$A$16:$A$141,"&gt;="&amp;MAX(W$7,$J47),Calendar!$A$16:$A$141,"&lt;="&amp;MIN(W$7+4,$K47))*$H47/$G47)))</x:f>
        <x:v>0</x:v>
      </x:c>
      <x:c r="X47" s="45" t="n">
        <x:f>IF(OR($J47="",$K47=""),"",IF(SUMIFS(Calendar!$C$16:$C$141,Calendar!$A$16:$A$141,"&gt;="&amp;MAX(X$7,$J47),Calendar!$A$16:$A$141,"&lt;="&amp;MIN(X$7+4,$K47))=0,0,IF($H47="","EXT",SUMIFS(Calendar!$C$16:$C$141,Calendar!$A$16:$A$141,"&gt;="&amp;MAX(X$7,$J47),Calendar!$A$16:$A$141,"&lt;="&amp;MIN(X$7+4,$K47))*$H47/$G47)))</x:f>
        <x:v>0</x:v>
      </x:c>
      <x:c r="Y47" s="45" t="n">
        <x:f>IF(OR($J47="",$K47=""),"",IF(SUMIFS(Calendar!$C$16:$C$141,Calendar!$A$16:$A$141,"&gt;="&amp;MAX(Y$7,$J47),Calendar!$A$16:$A$141,"&lt;="&amp;MIN(Y$7+4,$K47))=0,0,IF($H47="","EXT",SUMIFS(Calendar!$C$16:$C$141,Calendar!$A$16:$A$141,"&gt;="&amp;MAX(Y$7,$J47),Calendar!$A$16:$A$141,"&lt;="&amp;MIN(Y$7+4,$K47))*$H47/$G47)))</x:f>
        <x:v>0</x:v>
      </x:c>
      <x:c r="Z47" s="45" t="n">
        <x:f>IF(OR($J47="",$K47=""),"",IF(SUMIFS(Calendar!$C$16:$C$141,Calendar!$A$16:$A$141,"&gt;="&amp;MAX(Z$7,$J47),Calendar!$A$16:$A$141,"&lt;="&amp;MIN(Z$7+4,$K47))=0,0,IF($H47="","EXT",SUMIFS(Calendar!$C$16:$C$141,Calendar!$A$16:$A$141,"&gt;="&amp;MAX(Z$7,$J47),Calendar!$A$16:$A$141,"&lt;="&amp;MIN(Z$7+4,$K47))*$H47/$G47)))</x:f>
        <x:v>0</x:v>
      </x:c>
      <x:c r="AA47" s="45" t="n">
        <x:f>IF(OR($J47="",$K47=""),"",IF(SUMIFS(Calendar!$C$16:$C$141,Calendar!$A$16:$A$141,"&gt;="&amp;MAX(AA$7,$J47),Calendar!$A$16:$A$141,"&lt;="&amp;MIN(AA$7+4,$K47))=0,0,IF($H47="","EXT",SUMIFS(Calendar!$C$16:$C$141,Calendar!$A$16:$A$141,"&gt;="&amp;MAX(AA$7,$J47),Calendar!$A$16:$A$141,"&lt;="&amp;MIN(AA$7+4,$K47))*$H47/$G47)))</x:f>
        <x:v>0</x:v>
      </x:c>
      <x:c r="AB47" s="45" t="n">
        <x:f>IF(OR($J47="",$K47=""),"",IF(SUMIFS(Calendar!$C$16:$C$141,Calendar!$A$16:$A$141,"&gt;="&amp;MAX(AB$7,$J47),Calendar!$A$16:$A$141,"&lt;="&amp;MIN(AB$7+4,$K47))=0,0,IF($H47="","EXT",SUMIFS(Calendar!$C$16:$C$141,Calendar!$A$16:$A$141,"&gt;="&amp;MAX(AB$7,$J47),Calendar!$A$16:$A$141,"&lt;="&amp;MIN(AB$7+4,$K47))*$H47/$G47)))</x:f>
        <x:v>0</x:v>
      </x:c>
      <x:c r="AC47" s="45" t="n">
        <x:f>IF(OR($J47="",$K47=""),"",IF(SUMIFS(Calendar!$C$16:$C$141,Calendar!$A$16:$A$141,"&gt;="&amp;MAX(AC$7,$J47),Calendar!$A$16:$A$141,"&lt;="&amp;MIN(AC$7+4,$K47))=0,0,IF($H47="","EXT",SUMIFS(Calendar!$C$16:$C$141,Calendar!$A$16:$A$141,"&gt;="&amp;MAX(AC$7,$J47),Calendar!$A$16:$A$141,"&lt;="&amp;MIN(AC$7+4,$K47))*$H47/$G47)))</x:f>
        <x:v>0</x:v>
      </x:c>
      <x:c r="AD47" s="45" t="n">
        <x:f>IF(OR($J47="",$K47=""),"",IF(SUMIFS(Calendar!$C$16:$C$141,Calendar!$A$16:$A$141,"&gt;="&amp;MAX(AD$7,$J47),Calendar!$A$16:$A$141,"&lt;="&amp;MIN(AD$7+4,$K47))=0,0,IF($H47="","EXT",SUMIFS(Calendar!$C$16:$C$141,Calendar!$A$16:$A$141,"&gt;="&amp;MAX(AD$7,$J47),Calendar!$A$16:$A$141,"&lt;="&amp;MIN(AD$7+4,$K47))*$H47/$G47)))</x:f>
        <x:v>0.6</x:v>
      </x:c>
      <x:c r="AE47" s="45" t="n">
        <x:f>IF(OR($J47="",$K47=""),"",IF(SUMIFS(Calendar!$C$16:$C$141,Calendar!$A$16:$A$141,"&gt;="&amp;MAX(AE$7,$J47),Calendar!$A$16:$A$141,"&lt;="&amp;MIN(AE$7+4,$K47))=0,0,IF($H47="","EXT",SUMIFS(Calendar!$C$16:$C$141,Calendar!$A$16:$A$141,"&gt;="&amp;MAX(AE$7,$J47),Calendar!$A$16:$A$141,"&lt;="&amp;MIN(AE$7+4,$K47))*$H47/$G47)))</x:f>
        <x:v>0</x:v>
      </x:c>
      <x:c r="AF47" s="8" t="n">
        <x:f>IF(OR(M47&lt;&gt;"Scheduled",INDEX('Team and Gates'!$C$7:$C$13,MATCH($D47,'Team and Gates'!$A$7:$A$13,0))=""),"CHECK",SUM(N47:AE47)*INDEX('Team and Gates'!$C$7:$C$13,MATCH($D47,'Team and Gates'!$A$7:$A$13,0)))</x:f>
        <x:v>216</x:v>
      </x:c>
      <x:c r="AG47" s="46" t="str">
        <x:v>Release owner, QA and business owner record Go decision after UAT signoff, blocking defect closure, production access and rollback checks.</x:v>
      </x:c>
      <x:c r="AH47" s="46" t="str">
        <x:v>Dedicated working day after Feb 24 UAT approval. Confirm staffed Friday rollout and weekend on-call/rollback coverage.</x:v>
      </x:c>
    </x:row>
    <x:row r="48" ht="45" customHeight="1">
      <x:c r="A48" s="2" t="str">
        <x:v>A-REL</x:v>
      </x:c>
      <x:c r="B48" s="2" t="str">
        <x:v>Async / Azure</x:v>
      </x:c>
      <x:c r="C48" s="46" t="str">
        <x:v>Feb 26 production deployment and operational smoke</x:v>
      </x:c>
      <x:c r="D48" s="26" t="str">
        <x:v>Dev 2</x:v>
      </x:c>
      <x:c r="E48" s="46" t="str">
        <x:v>A-GATE, B-GATE, BA-GATE, Q-GATE, U-GATE</x:v>
      </x:c>
      <x:c r="F48" s="50" t="n">
        <x:v>77</x:v>
      </x:c>
      <x:c r="G48" s="50" t="n">
        <x:v>1</x:v>
      </x:c>
      <x:c r="H48" s="51" t="n">
        <x:v>0.6</x:v>
      </x:c>
      <x:c r="I48" s="2" t="n">
        <x:f>IF(OR(F48="",G48=""),"",F48+G48-1)</x:f>
        <x:v>77</x:v>
      </x:c>
      <x:c r="J48" s="5" t="n">
        <x:f>IF(OR(F48="",F48&lt;1,F48&gt;Calendar!$B$9),"",INDEX(Calendar!$A$16:$A$141,MATCH(F48,Calendar!$D$16:$D$141,0)))</x:f>
        <x:v>46444</x:v>
      </x:c>
      <x:c r="K48" s="5" t="n">
        <x:f>IF(OR(I48="",I48&lt;1,I48&gt;Calendar!$B$9),"",INDEX(Calendar!$A$16:$A$141,MATCH(I48,Calendar!$D$16:$D$141,0)))</x:f>
        <x:v>46444</x:v>
      </x:c>
      <x:c r="L48" s="53" t="n">
        <x:v>0</x:v>
      </x:c>
      <x:c r="M48" s="2" t="str">
        <x:f>IF(OR(F48="",G48="",H48=""),"Missing input",IF(OR(F48&lt;1,G48&lt;1,I48&gt;Calendar!$B$9),"Outside calendar",IF(F48&lt;MAX(INDEX($I$8:$I$157,MATCH("A-GATE",$A$8:$A$157,0))+1,INDEX($I$8:$I$157,MATCH("B-GATE",$A$8:$A$157,0))+1,INDEX($I$8:$I$157,MATCH("BA-GATE",$A$8:$A$157,0))+1,INDEX($I$8:$I$157,MATCH("Q-GATE",$A$8:$A$157,0))+1,INDEX($I$8:$I$157,MATCH("U-GATE",$A$8:$A$157,0))+1),"Dependency conflict","Scheduled")))</x:f>
        <x:v>Scheduled</x:v>
      </x:c>
      <x:c r="N48" s="45" t="n">
        <x:f>IF(OR($J48="",$K48=""),"",IF(SUMIFS(Calendar!$C$16:$C$141,Calendar!$A$16:$A$141,"&gt;="&amp;MAX(N$7,$J48),Calendar!$A$16:$A$141,"&lt;="&amp;MIN(N$7+4,$K48))=0,0,IF($H48="","EXT",SUMIFS(Calendar!$C$16:$C$141,Calendar!$A$16:$A$141,"&gt;="&amp;MAX(N$7,$J48),Calendar!$A$16:$A$141,"&lt;="&amp;MIN(N$7+4,$K48))*$H48/$G48)))</x:f>
        <x:v>0</x:v>
      </x:c>
      <x:c r="O48" s="45" t="n">
        <x:f>IF(OR($J48="",$K48=""),"",IF(SUMIFS(Calendar!$C$16:$C$141,Calendar!$A$16:$A$141,"&gt;="&amp;MAX(O$7,$J48),Calendar!$A$16:$A$141,"&lt;="&amp;MIN(O$7+4,$K48))=0,0,IF($H48="","EXT",SUMIFS(Calendar!$C$16:$C$141,Calendar!$A$16:$A$141,"&gt;="&amp;MAX(O$7,$J48),Calendar!$A$16:$A$141,"&lt;="&amp;MIN(O$7+4,$K48))*$H48/$G48)))</x:f>
        <x:v>0</x:v>
      </x:c>
      <x:c r="P48" s="45" t="n">
        <x:f>IF(OR($J48="",$K48=""),"",IF(SUMIFS(Calendar!$C$16:$C$141,Calendar!$A$16:$A$141,"&gt;="&amp;MAX(P$7,$J48),Calendar!$A$16:$A$141,"&lt;="&amp;MIN(P$7+4,$K48))=0,0,IF($H48="","EXT",SUMIFS(Calendar!$C$16:$C$141,Calendar!$A$16:$A$141,"&gt;="&amp;MAX(P$7,$J48),Calendar!$A$16:$A$141,"&lt;="&amp;MIN(P$7+4,$K48))*$H48/$G48)))</x:f>
        <x:v>0</x:v>
      </x:c>
      <x:c r="Q48" s="45" t="n">
        <x:f>IF(OR($J48="",$K48=""),"",IF(SUMIFS(Calendar!$C$16:$C$141,Calendar!$A$16:$A$141,"&gt;="&amp;MAX(Q$7,$J48),Calendar!$A$16:$A$141,"&lt;="&amp;MIN(Q$7+4,$K48))=0,0,IF($H48="","EXT",SUMIFS(Calendar!$C$16:$C$141,Calendar!$A$16:$A$141,"&gt;="&amp;MAX(Q$7,$J48),Calendar!$A$16:$A$141,"&lt;="&amp;MIN(Q$7+4,$K48))*$H48/$G48)))</x:f>
        <x:v>0</x:v>
      </x:c>
      <x:c r="R48" s="45" t="n">
        <x:f>IF(OR($J48="",$K48=""),"",IF(SUMIFS(Calendar!$C$16:$C$141,Calendar!$A$16:$A$141,"&gt;="&amp;MAX(R$7,$J48),Calendar!$A$16:$A$141,"&lt;="&amp;MIN(R$7+4,$K48))=0,0,IF($H48="","EXT",SUMIFS(Calendar!$C$16:$C$141,Calendar!$A$16:$A$141,"&gt;="&amp;MAX(R$7,$J48),Calendar!$A$16:$A$141,"&lt;="&amp;MIN(R$7+4,$K48))*$H48/$G48)))</x:f>
        <x:v>0</x:v>
      </x:c>
      <x:c r="S48" s="45" t="n">
        <x:f>IF(OR($J48="",$K48=""),"",IF(SUMIFS(Calendar!$C$16:$C$141,Calendar!$A$16:$A$141,"&gt;="&amp;MAX(S$7,$J48),Calendar!$A$16:$A$141,"&lt;="&amp;MIN(S$7+4,$K48))=0,0,IF($H48="","EXT",SUMIFS(Calendar!$C$16:$C$141,Calendar!$A$16:$A$141,"&gt;="&amp;MAX(S$7,$J48),Calendar!$A$16:$A$141,"&lt;="&amp;MIN(S$7+4,$K48))*$H48/$G48)))</x:f>
        <x:v>0</x:v>
      </x:c>
      <x:c r="T48" s="45" t="n">
        <x:f>IF(OR($J48="",$K48=""),"",IF(SUMIFS(Calendar!$C$16:$C$141,Calendar!$A$16:$A$141,"&gt;="&amp;MAX(T$7,$J48),Calendar!$A$16:$A$141,"&lt;="&amp;MIN(T$7+4,$K48))=0,0,IF($H48="","EXT",SUMIFS(Calendar!$C$16:$C$141,Calendar!$A$16:$A$141,"&gt;="&amp;MAX(T$7,$J48),Calendar!$A$16:$A$141,"&lt;="&amp;MIN(T$7+4,$K48))*$H48/$G48)))</x:f>
        <x:v>0</x:v>
      </x:c>
      <x:c r="U48" s="45" t="n">
        <x:f>IF(OR($J48="",$K48=""),"",IF(SUMIFS(Calendar!$C$16:$C$141,Calendar!$A$16:$A$141,"&gt;="&amp;MAX(U$7,$J48),Calendar!$A$16:$A$141,"&lt;="&amp;MIN(U$7+4,$K48))=0,0,IF($H48="","EXT",SUMIFS(Calendar!$C$16:$C$141,Calendar!$A$16:$A$141,"&gt;="&amp;MAX(U$7,$J48),Calendar!$A$16:$A$141,"&lt;="&amp;MIN(U$7+4,$K48))*$H48/$G48)))</x:f>
        <x:v>0</x:v>
      </x:c>
      <x:c r="V48" s="45" t="n">
        <x:f>IF(OR($J48="",$K48=""),"",IF(SUMIFS(Calendar!$C$16:$C$141,Calendar!$A$16:$A$141,"&gt;="&amp;MAX(V$7,$J48),Calendar!$A$16:$A$141,"&lt;="&amp;MIN(V$7+4,$K48))=0,0,IF($H48="","EXT",SUMIFS(Calendar!$C$16:$C$141,Calendar!$A$16:$A$141,"&gt;="&amp;MAX(V$7,$J48),Calendar!$A$16:$A$141,"&lt;="&amp;MIN(V$7+4,$K48))*$H48/$G48)))</x:f>
        <x:v>0</x:v>
      </x:c>
      <x:c r="W48" s="45" t="n">
        <x:f>IF(OR($J48="",$K48=""),"",IF(SUMIFS(Calendar!$C$16:$C$141,Calendar!$A$16:$A$141,"&gt;="&amp;MAX(W$7,$J48),Calendar!$A$16:$A$141,"&lt;="&amp;MIN(W$7+4,$K48))=0,0,IF($H48="","EXT",SUMIFS(Calendar!$C$16:$C$141,Calendar!$A$16:$A$141,"&gt;="&amp;MAX(W$7,$J48),Calendar!$A$16:$A$141,"&lt;="&amp;MIN(W$7+4,$K48))*$H48/$G48)))</x:f>
        <x:v>0</x:v>
      </x:c>
      <x:c r="X48" s="45" t="n">
        <x:f>IF(OR($J48="",$K48=""),"",IF(SUMIFS(Calendar!$C$16:$C$141,Calendar!$A$16:$A$141,"&gt;="&amp;MAX(X$7,$J48),Calendar!$A$16:$A$141,"&lt;="&amp;MIN(X$7+4,$K48))=0,0,IF($H48="","EXT",SUMIFS(Calendar!$C$16:$C$141,Calendar!$A$16:$A$141,"&gt;="&amp;MAX(X$7,$J48),Calendar!$A$16:$A$141,"&lt;="&amp;MIN(X$7+4,$K48))*$H48/$G48)))</x:f>
        <x:v>0</x:v>
      </x:c>
      <x:c r="Y48" s="45" t="n">
        <x:f>IF(OR($J48="",$K48=""),"",IF(SUMIFS(Calendar!$C$16:$C$141,Calendar!$A$16:$A$141,"&gt;="&amp;MAX(Y$7,$J48),Calendar!$A$16:$A$141,"&lt;="&amp;MIN(Y$7+4,$K48))=0,0,IF($H48="","EXT",SUMIFS(Calendar!$C$16:$C$141,Calendar!$A$16:$A$141,"&gt;="&amp;MAX(Y$7,$J48),Calendar!$A$16:$A$141,"&lt;="&amp;MIN(Y$7+4,$K48))*$H48/$G48)))</x:f>
        <x:v>0</x:v>
      </x:c>
      <x:c r="Z48" s="45" t="n">
        <x:f>IF(OR($J48="",$K48=""),"",IF(SUMIFS(Calendar!$C$16:$C$141,Calendar!$A$16:$A$141,"&gt;="&amp;MAX(Z$7,$J48),Calendar!$A$16:$A$141,"&lt;="&amp;MIN(Z$7+4,$K48))=0,0,IF($H48="","EXT",SUMIFS(Calendar!$C$16:$C$141,Calendar!$A$16:$A$141,"&gt;="&amp;MAX(Z$7,$J48),Calendar!$A$16:$A$141,"&lt;="&amp;MIN(Z$7+4,$K48))*$H48/$G48)))</x:f>
        <x:v>0</x:v>
      </x:c>
      <x:c r="AA48" s="45" t="n">
        <x:f>IF(OR($J48="",$K48=""),"",IF(SUMIFS(Calendar!$C$16:$C$141,Calendar!$A$16:$A$141,"&gt;="&amp;MAX(AA$7,$J48),Calendar!$A$16:$A$141,"&lt;="&amp;MIN(AA$7+4,$K48))=0,0,IF($H48="","EXT",SUMIFS(Calendar!$C$16:$C$141,Calendar!$A$16:$A$141,"&gt;="&amp;MAX(AA$7,$J48),Calendar!$A$16:$A$141,"&lt;="&amp;MIN(AA$7+4,$K48))*$H48/$G48)))</x:f>
        <x:v>0</x:v>
      </x:c>
      <x:c r="AB48" s="45" t="n">
        <x:f>IF(OR($J48="",$K48=""),"",IF(SUMIFS(Calendar!$C$16:$C$141,Calendar!$A$16:$A$141,"&gt;="&amp;MAX(AB$7,$J48),Calendar!$A$16:$A$141,"&lt;="&amp;MIN(AB$7+4,$K48))=0,0,IF($H48="","EXT",SUMIFS(Calendar!$C$16:$C$141,Calendar!$A$16:$A$141,"&gt;="&amp;MAX(AB$7,$J48),Calendar!$A$16:$A$141,"&lt;="&amp;MIN(AB$7+4,$K48))*$H48/$G48)))</x:f>
        <x:v>0</x:v>
      </x:c>
      <x:c r="AC48" s="45" t="n">
        <x:f>IF(OR($J48="",$K48=""),"",IF(SUMIFS(Calendar!$C$16:$C$141,Calendar!$A$16:$A$141,"&gt;="&amp;MAX(AC$7,$J48),Calendar!$A$16:$A$141,"&lt;="&amp;MIN(AC$7+4,$K48))=0,0,IF($H48="","EXT",SUMIFS(Calendar!$C$16:$C$141,Calendar!$A$16:$A$141,"&gt;="&amp;MAX(AC$7,$J48),Calendar!$A$16:$A$141,"&lt;="&amp;MIN(AC$7+4,$K48))*$H48/$G48)))</x:f>
        <x:v>0</x:v>
      </x:c>
      <x:c r="AD48" s="45" t="n">
        <x:f>IF(OR($J48="",$K48=""),"",IF(SUMIFS(Calendar!$C$16:$C$141,Calendar!$A$16:$A$141,"&gt;="&amp;MAX(AD$7,$J48),Calendar!$A$16:$A$141,"&lt;="&amp;MIN(AD$7+4,$K48))=0,0,IF($H48="","EXT",SUMIFS(Calendar!$C$16:$C$141,Calendar!$A$16:$A$141,"&gt;="&amp;MAX(AD$7,$J48),Calendar!$A$16:$A$141,"&lt;="&amp;MIN(AD$7+4,$K48))*$H48/$G48)))</x:f>
        <x:v>0.6</x:v>
      </x:c>
      <x:c r="AE48" s="45" t="n">
        <x:f>IF(OR($J48="",$K48=""),"",IF(SUMIFS(Calendar!$C$16:$C$141,Calendar!$A$16:$A$141,"&gt;="&amp;MAX(AE$7,$J48),Calendar!$A$16:$A$141,"&lt;="&amp;MIN(AE$7+4,$K48))=0,0,IF($H48="","EXT",SUMIFS(Calendar!$C$16:$C$141,Calendar!$A$16:$A$141,"&gt;="&amp;MAX(AE$7,$J48),Calendar!$A$16:$A$141,"&lt;="&amp;MIN(AE$7+4,$K48))*$H48/$G48)))</x:f>
        <x:v>0</x:v>
      </x:c>
      <x:c r="AF48" s="8" t="n">
        <x:f>IF(OR(M48&lt;&gt;"Scheduled",INDEX('Team and Gates'!$C$7:$C$13,MATCH($D48,'Team and Gates'!$A$7:$A$13,0))=""),"CHECK",SUM(N48:AE48)*INDEX('Team and Gates'!$C$7:$C$13,MATCH($D48,'Team and Gates'!$A$7:$A$13,0)))</x:f>
        <x:v>216</x:v>
      </x:c>
      <x:c r="AG48" s="46" t="str">
        <x:v>Deploy after Go decision; pass technical/business smoke and approved-send checks. Record monitoring, rollback and on-call ownership.</x:v>
      </x:c>
      <x:c r="AH48" s="46" t="str">
        <x:v>Friday rollout needs an agreed deployment/rollback window and weekend on-call coverage.</x:v>
      </x:c>
    </x:row>
    <x:row r="49" ht="45" customHeight="1">
      <x:c r="A49" s="39" t="str">
        <x:v>A18</x:v>
      </x:c>
      <x:c r="B49" s="39" t="str">
        <x:v>Async / Azure</x:v>
      </x:c>
      <x:c r="C49" s="47" t="str">
        <x:v>operational hypercare and handover</x:v>
      </x:c>
      <x:c r="D49" s="26" t="str">
        <x:v>Dev 2</x:v>
      </x:c>
      <x:c r="E49" s="47" t="str">
        <x:v>A17, BA17, Q17, U17, A-REL</x:v>
      </x:c>
      <x:c r="F49" s="50" t="n">
        <x:v>78</x:v>
      </x:c>
      <x:c r="G49" s="50" t="n">
        <x:v>5</x:v>
      </x:c>
      <x:c r="H49" s="51" t="n">
        <x:v>3</x:v>
      </x:c>
      <x:c r="I49" s="39" t="n">
        <x:f>IF(OR(F49="",G49=""),"",F49+G49-1)</x:f>
        <x:v>82</x:v>
      </x:c>
      <x:c r="J49" s="41" t="n">
        <x:f>IF(OR(F49="",F49&lt;1,F49&gt;Calendar!$B$9),"",INDEX(Calendar!$A$16:$A$141,MATCH(F49,Calendar!$D$16:$D$141,0)))</x:f>
        <x:v>46447</x:v>
      </x:c>
      <x:c r="K49" s="41" t="n">
        <x:f>IF(OR(I49="",I49&lt;1,I49&gt;Calendar!$B$9),"",INDEX(Calendar!$A$16:$A$141,MATCH(I49,Calendar!$D$16:$D$141,0)))</x:f>
        <x:v>46451</x:v>
      </x:c>
      <x:c r="L49" s="53" t="n">
        <x:v>0</x:v>
      </x:c>
      <x:c r="M49" s="39" t="str">
        <x:f>IF(OR(F49="",G49="",H49=""),"Missing input",IF(OR(F49&lt;1,G49&lt;1,I49&gt;Calendar!$B$9),"Outside calendar",IF(F49&lt;MAX(INDEX($I$8:$I$157,MATCH("A17",$A$8:$A$157,0))+1,INDEX($I$8:$I$157,MATCH("BA17",$A$8:$A$157,0))+1,INDEX($I$8:$I$157,MATCH("Q17",$A$8:$A$157,0))+1,INDEX($I$8:$I$157,MATCH("U17",$A$8:$A$157,0))+1,INDEX($I$8:$I$157,MATCH("A-REL",$A$8:$A$157,0))+1),"Dependency conflict","Scheduled")))</x:f>
        <x:v>Scheduled</x:v>
      </x:c>
      <x:c r="N49" s="45" t="n">
        <x:f>IF(OR($J49="",$K49=""),"",IF(SUMIFS(Calendar!$C$16:$C$141,Calendar!$A$16:$A$141,"&gt;="&amp;MAX(N$7,$J49),Calendar!$A$16:$A$141,"&lt;="&amp;MIN(N$7+4,$K49))=0,0,IF($H49="","EXT",SUMIFS(Calendar!$C$16:$C$141,Calendar!$A$16:$A$141,"&gt;="&amp;MAX(N$7,$J49),Calendar!$A$16:$A$141,"&lt;="&amp;MIN(N$7+4,$K49))*$H49/$G49)))</x:f>
        <x:v>0</x:v>
      </x:c>
      <x:c r="O49" s="45" t="n">
        <x:f>IF(OR($J49="",$K49=""),"",IF(SUMIFS(Calendar!$C$16:$C$141,Calendar!$A$16:$A$141,"&gt;="&amp;MAX(O$7,$J49),Calendar!$A$16:$A$141,"&lt;="&amp;MIN(O$7+4,$K49))=0,0,IF($H49="","EXT",SUMIFS(Calendar!$C$16:$C$141,Calendar!$A$16:$A$141,"&gt;="&amp;MAX(O$7,$J49),Calendar!$A$16:$A$141,"&lt;="&amp;MIN(O$7+4,$K49))*$H49/$G49)))</x:f>
        <x:v>0</x:v>
      </x:c>
      <x:c r="P49" s="45" t="n">
        <x:f>IF(OR($J49="",$K49=""),"",IF(SUMIFS(Calendar!$C$16:$C$141,Calendar!$A$16:$A$141,"&gt;="&amp;MAX(P$7,$J49),Calendar!$A$16:$A$141,"&lt;="&amp;MIN(P$7+4,$K49))=0,0,IF($H49="","EXT",SUMIFS(Calendar!$C$16:$C$141,Calendar!$A$16:$A$141,"&gt;="&amp;MAX(P$7,$J49),Calendar!$A$16:$A$141,"&lt;="&amp;MIN(P$7+4,$K49))*$H49/$G49)))</x:f>
        <x:v>0</x:v>
      </x:c>
      <x:c r="Q49" s="45" t="n">
        <x:f>IF(OR($J49="",$K49=""),"",IF(SUMIFS(Calendar!$C$16:$C$141,Calendar!$A$16:$A$141,"&gt;="&amp;MAX(Q$7,$J49),Calendar!$A$16:$A$141,"&lt;="&amp;MIN(Q$7+4,$K49))=0,0,IF($H49="","EXT",SUMIFS(Calendar!$C$16:$C$141,Calendar!$A$16:$A$141,"&gt;="&amp;MAX(Q$7,$J49),Calendar!$A$16:$A$141,"&lt;="&amp;MIN(Q$7+4,$K49))*$H49/$G49)))</x:f>
        <x:v>0</x:v>
      </x:c>
      <x:c r="R49" s="45" t="n">
        <x:f>IF(OR($J49="",$K49=""),"",IF(SUMIFS(Calendar!$C$16:$C$141,Calendar!$A$16:$A$141,"&gt;="&amp;MAX(R$7,$J49),Calendar!$A$16:$A$141,"&lt;="&amp;MIN(R$7+4,$K49))=0,0,IF($H49="","EXT",SUMIFS(Calendar!$C$16:$C$141,Calendar!$A$16:$A$141,"&gt;="&amp;MAX(R$7,$J49),Calendar!$A$16:$A$141,"&lt;="&amp;MIN(R$7+4,$K49))*$H49/$G49)))</x:f>
        <x:v>0</x:v>
      </x:c>
      <x:c r="S49" s="45" t="n">
        <x:f>IF(OR($J49="",$K49=""),"",IF(SUMIFS(Calendar!$C$16:$C$141,Calendar!$A$16:$A$141,"&gt;="&amp;MAX(S$7,$J49),Calendar!$A$16:$A$141,"&lt;="&amp;MIN(S$7+4,$K49))=0,0,IF($H49="","EXT",SUMIFS(Calendar!$C$16:$C$141,Calendar!$A$16:$A$141,"&gt;="&amp;MAX(S$7,$J49),Calendar!$A$16:$A$141,"&lt;="&amp;MIN(S$7+4,$K49))*$H49/$G49)))</x:f>
        <x:v>0</x:v>
      </x:c>
      <x:c r="T49" s="45" t="n">
        <x:f>IF(OR($J49="",$K49=""),"",IF(SUMIFS(Calendar!$C$16:$C$141,Calendar!$A$16:$A$141,"&gt;="&amp;MAX(T$7,$J49),Calendar!$A$16:$A$141,"&lt;="&amp;MIN(T$7+4,$K49))=0,0,IF($H49="","EXT",SUMIFS(Calendar!$C$16:$C$141,Calendar!$A$16:$A$141,"&gt;="&amp;MAX(T$7,$J49),Calendar!$A$16:$A$141,"&lt;="&amp;MIN(T$7+4,$K49))*$H49/$G49)))</x:f>
        <x:v>0</x:v>
      </x:c>
      <x:c r="U49" s="45" t="n">
        <x:f>IF(OR($J49="",$K49=""),"",IF(SUMIFS(Calendar!$C$16:$C$141,Calendar!$A$16:$A$141,"&gt;="&amp;MAX(U$7,$J49),Calendar!$A$16:$A$141,"&lt;="&amp;MIN(U$7+4,$K49))=0,0,IF($H49="","EXT",SUMIFS(Calendar!$C$16:$C$141,Calendar!$A$16:$A$141,"&gt;="&amp;MAX(U$7,$J49),Calendar!$A$16:$A$141,"&lt;="&amp;MIN(U$7+4,$K49))*$H49/$G49)))</x:f>
        <x:v>0</x:v>
      </x:c>
      <x:c r="V49" s="45" t="n">
        <x:f>IF(OR($J49="",$K49=""),"",IF(SUMIFS(Calendar!$C$16:$C$141,Calendar!$A$16:$A$141,"&gt;="&amp;MAX(V$7,$J49),Calendar!$A$16:$A$141,"&lt;="&amp;MIN(V$7+4,$K49))=0,0,IF($H49="","EXT",SUMIFS(Calendar!$C$16:$C$141,Calendar!$A$16:$A$141,"&gt;="&amp;MAX(V$7,$J49),Calendar!$A$16:$A$141,"&lt;="&amp;MIN(V$7+4,$K49))*$H49/$G49)))</x:f>
        <x:v>0</x:v>
      </x:c>
      <x:c r="W49" s="45" t="n">
        <x:f>IF(OR($J49="",$K49=""),"",IF(SUMIFS(Calendar!$C$16:$C$141,Calendar!$A$16:$A$141,"&gt;="&amp;MAX(W$7,$J49),Calendar!$A$16:$A$141,"&lt;="&amp;MIN(W$7+4,$K49))=0,0,IF($H49="","EXT",SUMIFS(Calendar!$C$16:$C$141,Calendar!$A$16:$A$141,"&gt;="&amp;MAX(W$7,$J49),Calendar!$A$16:$A$141,"&lt;="&amp;MIN(W$7+4,$K49))*$H49/$G49)))</x:f>
        <x:v>0</x:v>
      </x:c>
      <x:c r="X49" s="45" t="n">
        <x:f>IF(OR($J49="",$K49=""),"",IF(SUMIFS(Calendar!$C$16:$C$141,Calendar!$A$16:$A$141,"&gt;="&amp;MAX(X$7,$J49),Calendar!$A$16:$A$141,"&lt;="&amp;MIN(X$7+4,$K49))=0,0,IF($H49="","EXT",SUMIFS(Calendar!$C$16:$C$141,Calendar!$A$16:$A$141,"&gt;="&amp;MAX(X$7,$J49),Calendar!$A$16:$A$141,"&lt;="&amp;MIN(X$7+4,$K49))*$H49/$G49)))</x:f>
        <x:v>0</x:v>
      </x:c>
      <x:c r="Y49" s="45" t="n">
        <x:f>IF(OR($J49="",$K49=""),"",IF(SUMIFS(Calendar!$C$16:$C$141,Calendar!$A$16:$A$141,"&gt;="&amp;MAX(Y$7,$J49),Calendar!$A$16:$A$141,"&lt;="&amp;MIN(Y$7+4,$K49))=0,0,IF($H49="","EXT",SUMIFS(Calendar!$C$16:$C$141,Calendar!$A$16:$A$141,"&gt;="&amp;MAX(Y$7,$J49),Calendar!$A$16:$A$141,"&lt;="&amp;MIN(Y$7+4,$K49))*$H49/$G49)))</x:f>
        <x:v>0</x:v>
      </x:c>
      <x:c r="Z49" s="45" t="n">
        <x:f>IF(OR($J49="",$K49=""),"",IF(SUMIFS(Calendar!$C$16:$C$141,Calendar!$A$16:$A$141,"&gt;="&amp;MAX(Z$7,$J49),Calendar!$A$16:$A$141,"&lt;="&amp;MIN(Z$7+4,$K49))=0,0,IF($H49="","EXT",SUMIFS(Calendar!$C$16:$C$141,Calendar!$A$16:$A$141,"&gt;="&amp;MAX(Z$7,$J49),Calendar!$A$16:$A$141,"&lt;="&amp;MIN(Z$7+4,$K49))*$H49/$G49)))</x:f>
        <x:v>0</x:v>
      </x:c>
      <x:c r="AA49" s="45" t="n">
        <x:f>IF(OR($J49="",$K49=""),"",IF(SUMIFS(Calendar!$C$16:$C$141,Calendar!$A$16:$A$141,"&gt;="&amp;MAX(AA$7,$J49),Calendar!$A$16:$A$141,"&lt;="&amp;MIN(AA$7+4,$K49))=0,0,IF($H49="","EXT",SUMIFS(Calendar!$C$16:$C$141,Calendar!$A$16:$A$141,"&gt;="&amp;MAX(AA$7,$J49),Calendar!$A$16:$A$141,"&lt;="&amp;MIN(AA$7+4,$K49))*$H49/$G49)))</x:f>
        <x:v>0</x:v>
      </x:c>
      <x:c r="AB49" s="45" t="n">
        <x:f>IF(OR($J49="",$K49=""),"",IF(SUMIFS(Calendar!$C$16:$C$141,Calendar!$A$16:$A$141,"&gt;="&amp;MAX(AB$7,$J49),Calendar!$A$16:$A$141,"&lt;="&amp;MIN(AB$7+4,$K49))=0,0,IF($H49="","EXT",SUMIFS(Calendar!$C$16:$C$141,Calendar!$A$16:$A$141,"&gt;="&amp;MAX(AB$7,$J49),Calendar!$A$16:$A$141,"&lt;="&amp;MIN(AB$7+4,$K49))*$H49/$G49)))</x:f>
        <x:v>0</x:v>
      </x:c>
      <x:c r="AC49" s="45" t="n">
        <x:f>IF(OR($J49="",$K49=""),"",IF(SUMIFS(Calendar!$C$16:$C$141,Calendar!$A$16:$A$141,"&gt;="&amp;MAX(AC$7,$J49),Calendar!$A$16:$A$141,"&lt;="&amp;MIN(AC$7+4,$K49))=0,0,IF($H49="","EXT",SUMIFS(Calendar!$C$16:$C$141,Calendar!$A$16:$A$141,"&gt;="&amp;MAX(AC$7,$J49),Calendar!$A$16:$A$141,"&lt;="&amp;MIN(AC$7+4,$K49))*$H49/$G49)))</x:f>
        <x:v>0</x:v>
      </x:c>
      <x:c r="AD49" s="45" t="n">
        <x:f>IF(OR($J49="",$K49=""),"",IF(SUMIFS(Calendar!$C$16:$C$141,Calendar!$A$16:$A$141,"&gt;="&amp;MAX(AD$7,$J49),Calendar!$A$16:$A$141,"&lt;="&amp;MIN(AD$7+4,$K49))=0,0,IF($H49="","EXT",SUMIFS(Calendar!$C$16:$C$141,Calendar!$A$16:$A$141,"&gt;="&amp;MAX(AD$7,$J49),Calendar!$A$16:$A$141,"&lt;="&amp;MIN(AD$7+4,$K49))*$H49/$G49)))</x:f>
        <x:v>0</x:v>
      </x:c>
      <x:c r="AE49" s="45" t="n">
        <x:f>IF(OR($J49="",$K49=""),"",IF(SUMIFS(Calendar!$C$16:$C$141,Calendar!$A$16:$A$141,"&gt;="&amp;MAX(AE$7,$J49),Calendar!$A$16:$A$141,"&lt;="&amp;MIN(AE$7+4,$K49))=0,0,IF($H49="","EXT",SUMIFS(Calendar!$C$16:$C$141,Calendar!$A$16:$A$141,"&gt;="&amp;MAX(AE$7,$J49),Calendar!$A$16:$A$141,"&lt;="&amp;MIN(AE$7+4,$K49))*$H49/$G49)))</x:f>
        <x:v>3</x:v>
      </x:c>
      <x:c r="AF49" s="8" t="n">
        <x:f>IF(OR(M49&lt;&gt;"Scheduled",INDEX('Team and Gates'!$C$7:$C$13,MATCH($D49,'Team and Gates'!$A$7:$A$13,0))=""),"CHECK",SUM(N49:AE49)*INDEX('Team and Gates'!$C$7:$C$13,MATCH($D49,'Team and Gates'!$A$7:$A$13,0)))</x:f>
        <x:v>1080</x:v>
      </x:c>
      <x:c r="AG49" s="46" t="str">
        <x:v>After Feb 26 production release, complete monitoring, defect retests and service handover by Mar 5.</x:v>
      </x:c>
      <x:c r="AH49" s="46" t="str">
        <x:v>Hypercare Mar 1-5; production rollout and Go/No-Go are separately scheduled Feb 25-26.</x:v>
      </x:c>
    </x:row>
    <x:row r="50" ht="45" customHeight="1">
      <x:c r="A50" s="2" t="str">
        <x:v>S01</x:v>
      </x:c>
      <x:c r="B50" s="2" t="str">
        <x:v>Model quality</x:v>
      </x:c>
      <x:c r="C50" s="46" t="str">
        <x:v>Mail taxonomy, quality metrics and corpus/data-access requirements</x:v>
      </x:c>
      <x:c r="D50" s="30" t="str">
        <x:v>DS</x:v>
      </x:c>
      <x:c r="E50" s="46" t="str"/>
      <x:c r="F50" s="50" t="n">
        <x:v>1</x:v>
      </x:c>
      <x:c r="G50" s="50" t="n">
        <x:v>5</x:v>
      </x:c>
      <x:c r="H50" s="51" t="n">
        <x:v>4</x:v>
      </x:c>
      <x:c r="I50" s="2" t="n">
        <x:f>IF(OR(F50="",G50=""),"",F50+G50-1)</x:f>
        <x:v>5</x:v>
      </x:c>
      <x:c r="J50" s="5" t="n">
        <x:f>IF(OR(F50="",F50&lt;1,F50&gt;Calendar!$B$9),"",INDEX(Calendar!$A$16:$A$141,MATCH(F50,Calendar!$D$16:$D$141,0)))</x:f>
        <x:v>46328</x:v>
      </x:c>
      <x:c r="K50" s="5" t="n">
        <x:f>IF(OR(I50="",I50&lt;1,I50&gt;Calendar!$B$9),"",INDEX(Calendar!$A$16:$A$141,MATCH(I50,Calendar!$D$16:$D$141,0)))</x:f>
        <x:v>46332</x:v>
      </x:c>
      <x:c r="L50" s="53" t="n">
        <x:v>0</x:v>
      </x:c>
      <x:c r="M50" s="2" t="str">
        <x:f>IF(OR(F50="",G50="",H50=""),"Missing input",IF(OR(F50&lt;1,G50&lt;1,I50&gt;Calendar!$B$9),"Outside calendar",IF(F50&lt;1,"Dependency conflict","Scheduled")))</x:f>
        <x:v>Scheduled</x:v>
      </x:c>
      <x:c r="N50" s="45" t="n">
        <x:f>IF(OR($J50="",$K50=""),"",IF(SUMIFS(Calendar!$C$16:$C$141,Calendar!$A$16:$A$141,"&gt;="&amp;MAX(N$7,$J50),Calendar!$A$16:$A$141,"&lt;="&amp;MIN(N$7+4,$K50))=0,0,IF($H50="","EXT",SUMIFS(Calendar!$C$16:$C$141,Calendar!$A$16:$A$141,"&gt;="&amp;MAX(N$7,$J50),Calendar!$A$16:$A$141,"&lt;="&amp;MIN(N$7+4,$K50))*$H50/$G50)))</x:f>
        <x:v>4</x:v>
      </x:c>
      <x:c r="O50" s="45" t="n">
        <x:f>IF(OR($J50="",$K50=""),"",IF(SUMIFS(Calendar!$C$16:$C$141,Calendar!$A$16:$A$141,"&gt;="&amp;MAX(O$7,$J50),Calendar!$A$16:$A$141,"&lt;="&amp;MIN(O$7+4,$K50))=0,0,IF($H50="","EXT",SUMIFS(Calendar!$C$16:$C$141,Calendar!$A$16:$A$141,"&gt;="&amp;MAX(O$7,$J50),Calendar!$A$16:$A$141,"&lt;="&amp;MIN(O$7+4,$K50))*$H50/$G50)))</x:f>
        <x:v>0</x:v>
      </x:c>
      <x:c r="P50" s="45" t="n">
        <x:f>IF(OR($J50="",$K50=""),"",IF(SUMIFS(Calendar!$C$16:$C$141,Calendar!$A$16:$A$141,"&gt;="&amp;MAX(P$7,$J50),Calendar!$A$16:$A$141,"&lt;="&amp;MIN(P$7+4,$K50))=0,0,IF($H50="","EXT",SUMIFS(Calendar!$C$16:$C$141,Calendar!$A$16:$A$141,"&gt;="&amp;MAX(P$7,$J50),Calendar!$A$16:$A$141,"&lt;="&amp;MIN(P$7+4,$K50))*$H50/$G50)))</x:f>
        <x:v>0</x:v>
      </x:c>
      <x:c r="Q50" s="45" t="n">
        <x:f>IF(OR($J50="",$K50=""),"",IF(SUMIFS(Calendar!$C$16:$C$141,Calendar!$A$16:$A$141,"&gt;="&amp;MAX(Q$7,$J50),Calendar!$A$16:$A$141,"&lt;="&amp;MIN(Q$7+4,$K50))=0,0,IF($H50="","EXT",SUMIFS(Calendar!$C$16:$C$141,Calendar!$A$16:$A$141,"&gt;="&amp;MAX(Q$7,$J50),Calendar!$A$16:$A$141,"&lt;="&amp;MIN(Q$7+4,$K50))*$H50/$G50)))</x:f>
        <x:v>0</x:v>
      </x:c>
      <x:c r="R50" s="45" t="n">
        <x:f>IF(OR($J50="",$K50=""),"",IF(SUMIFS(Calendar!$C$16:$C$141,Calendar!$A$16:$A$141,"&gt;="&amp;MAX(R$7,$J50),Calendar!$A$16:$A$141,"&lt;="&amp;MIN(R$7+4,$K50))=0,0,IF($H50="","EXT",SUMIFS(Calendar!$C$16:$C$141,Calendar!$A$16:$A$141,"&gt;="&amp;MAX(R$7,$J50),Calendar!$A$16:$A$141,"&lt;="&amp;MIN(R$7+4,$K50))*$H50/$G50)))</x:f>
        <x:v>0</x:v>
      </x:c>
      <x:c r="S50" s="45" t="n">
        <x:f>IF(OR($J50="",$K50=""),"",IF(SUMIFS(Calendar!$C$16:$C$141,Calendar!$A$16:$A$141,"&gt;="&amp;MAX(S$7,$J50),Calendar!$A$16:$A$141,"&lt;="&amp;MIN(S$7+4,$K50))=0,0,IF($H50="","EXT",SUMIFS(Calendar!$C$16:$C$141,Calendar!$A$16:$A$141,"&gt;="&amp;MAX(S$7,$J50),Calendar!$A$16:$A$141,"&lt;="&amp;MIN(S$7+4,$K50))*$H50/$G50)))</x:f>
        <x:v>0</x:v>
      </x:c>
      <x:c r="T50" s="45" t="n">
        <x:f>IF(OR($J50="",$K50=""),"",IF(SUMIFS(Calendar!$C$16:$C$141,Calendar!$A$16:$A$141,"&gt;="&amp;MAX(T$7,$J50),Calendar!$A$16:$A$141,"&lt;="&amp;MIN(T$7+4,$K50))=0,0,IF($H50="","EXT",SUMIFS(Calendar!$C$16:$C$141,Calendar!$A$16:$A$141,"&gt;="&amp;MAX(T$7,$J50),Calendar!$A$16:$A$141,"&lt;="&amp;MIN(T$7+4,$K50))*$H50/$G50)))</x:f>
        <x:v>0</x:v>
      </x:c>
      <x:c r="U50" s="45" t="n">
        <x:f>IF(OR($J50="",$K50=""),"",IF(SUMIFS(Calendar!$C$16:$C$141,Calendar!$A$16:$A$141,"&gt;="&amp;MAX(U$7,$J50),Calendar!$A$16:$A$141,"&lt;="&amp;MIN(U$7+4,$K50))=0,0,IF($H50="","EXT",SUMIFS(Calendar!$C$16:$C$141,Calendar!$A$16:$A$141,"&gt;="&amp;MAX(U$7,$J50),Calendar!$A$16:$A$141,"&lt;="&amp;MIN(U$7+4,$K50))*$H50/$G50)))</x:f>
        <x:v>0</x:v>
      </x:c>
      <x:c r="V50" s="45" t="n">
        <x:f>IF(OR($J50="",$K50=""),"",IF(SUMIFS(Calendar!$C$16:$C$141,Calendar!$A$16:$A$141,"&gt;="&amp;MAX(V$7,$J50),Calendar!$A$16:$A$141,"&lt;="&amp;MIN(V$7+4,$K50))=0,0,IF($H50="","EXT",SUMIFS(Calendar!$C$16:$C$141,Calendar!$A$16:$A$141,"&gt;="&amp;MAX(V$7,$J50),Calendar!$A$16:$A$141,"&lt;="&amp;MIN(V$7+4,$K50))*$H50/$G50)))</x:f>
        <x:v>0</x:v>
      </x:c>
      <x:c r="W50" s="45" t="n">
        <x:f>IF(OR($J50="",$K50=""),"",IF(SUMIFS(Calendar!$C$16:$C$141,Calendar!$A$16:$A$141,"&gt;="&amp;MAX(W$7,$J50),Calendar!$A$16:$A$141,"&lt;="&amp;MIN(W$7+4,$K50))=0,0,IF($H50="","EXT",SUMIFS(Calendar!$C$16:$C$141,Calendar!$A$16:$A$141,"&gt;="&amp;MAX(W$7,$J50),Calendar!$A$16:$A$141,"&lt;="&amp;MIN(W$7+4,$K50))*$H50/$G50)))</x:f>
        <x:v>0</x:v>
      </x:c>
      <x:c r="X50" s="45" t="n">
        <x:f>IF(OR($J50="",$K50=""),"",IF(SUMIFS(Calendar!$C$16:$C$141,Calendar!$A$16:$A$141,"&gt;="&amp;MAX(X$7,$J50),Calendar!$A$16:$A$141,"&lt;="&amp;MIN(X$7+4,$K50))=0,0,IF($H50="","EXT",SUMIFS(Calendar!$C$16:$C$141,Calendar!$A$16:$A$141,"&gt;="&amp;MAX(X$7,$J50),Calendar!$A$16:$A$141,"&lt;="&amp;MIN(X$7+4,$K50))*$H50/$G50)))</x:f>
        <x:v>0</x:v>
      </x:c>
      <x:c r="Y50" s="45" t="n">
        <x:f>IF(OR($J50="",$K50=""),"",IF(SUMIFS(Calendar!$C$16:$C$141,Calendar!$A$16:$A$141,"&gt;="&amp;MAX(Y$7,$J50),Calendar!$A$16:$A$141,"&lt;="&amp;MIN(Y$7+4,$K50))=0,0,IF($H50="","EXT",SUMIFS(Calendar!$C$16:$C$141,Calendar!$A$16:$A$141,"&gt;="&amp;MAX(Y$7,$J50),Calendar!$A$16:$A$141,"&lt;="&amp;MIN(Y$7+4,$K50))*$H50/$G50)))</x:f>
        <x:v>0</x:v>
      </x:c>
      <x:c r="Z50" s="45" t="n">
        <x:f>IF(OR($J50="",$K50=""),"",IF(SUMIFS(Calendar!$C$16:$C$141,Calendar!$A$16:$A$141,"&gt;="&amp;MAX(Z$7,$J50),Calendar!$A$16:$A$141,"&lt;="&amp;MIN(Z$7+4,$K50))=0,0,IF($H50="","EXT",SUMIFS(Calendar!$C$16:$C$141,Calendar!$A$16:$A$141,"&gt;="&amp;MAX(Z$7,$J50),Calendar!$A$16:$A$141,"&lt;="&amp;MIN(Z$7+4,$K50))*$H50/$G50)))</x:f>
        <x:v>0</x:v>
      </x:c>
      <x:c r="AA50" s="45" t="n">
        <x:f>IF(OR($J50="",$K50=""),"",IF(SUMIFS(Calendar!$C$16:$C$141,Calendar!$A$16:$A$141,"&gt;="&amp;MAX(AA$7,$J50),Calendar!$A$16:$A$141,"&lt;="&amp;MIN(AA$7+4,$K50))=0,0,IF($H50="","EXT",SUMIFS(Calendar!$C$16:$C$141,Calendar!$A$16:$A$141,"&gt;="&amp;MAX(AA$7,$J50),Calendar!$A$16:$A$141,"&lt;="&amp;MIN(AA$7+4,$K50))*$H50/$G50)))</x:f>
        <x:v>0</x:v>
      </x:c>
      <x:c r="AB50" s="45" t="n">
        <x:f>IF(OR($J50="",$K50=""),"",IF(SUMIFS(Calendar!$C$16:$C$141,Calendar!$A$16:$A$141,"&gt;="&amp;MAX(AB$7,$J50),Calendar!$A$16:$A$141,"&lt;="&amp;MIN(AB$7+4,$K50))=0,0,IF($H50="","EXT",SUMIFS(Calendar!$C$16:$C$141,Calendar!$A$16:$A$141,"&gt;="&amp;MAX(AB$7,$J50),Calendar!$A$16:$A$141,"&lt;="&amp;MIN(AB$7+4,$K50))*$H50/$G50)))</x:f>
        <x:v>0</x:v>
      </x:c>
      <x:c r="AC50" s="45" t="n">
        <x:f>IF(OR($J50="",$K50=""),"",IF(SUMIFS(Calendar!$C$16:$C$141,Calendar!$A$16:$A$141,"&gt;="&amp;MAX(AC$7,$J50),Calendar!$A$16:$A$141,"&lt;="&amp;MIN(AC$7+4,$K50))=0,0,IF($H50="","EXT",SUMIFS(Calendar!$C$16:$C$141,Calendar!$A$16:$A$141,"&gt;="&amp;MAX(AC$7,$J50),Calendar!$A$16:$A$141,"&lt;="&amp;MIN(AC$7+4,$K50))*$H50/$G50)))</x:f>
        <x:v>0</x:v>
      </x:c>
      <x:c r="AD50" s="45" t="n">
        <x:f>IF(OR($J50="",$K50=""),"",IF(SUMIFS(Calendar!$C$16:$C$141,Calendar!$A$16:$A$141,"&gt;="&amp;MAX(AD$7,$J50),Calendar!$A$16:$A$141,"&lt;="&amp;MIN(AD$7+4,$K50))=0,0,IF($H50="","EXT",SUMIFS(Calendar!$C$16:$C$141,Calendar!$A$16:$A$141,"&gt;="&amp;MAX(AD$7,$J50),Calendar!$A$16:$A$141,"&lt;="&amp;MIN(AD$7+4,$K50))*$H50/$G50)))</x:f>
        <x:v>0</x:v>
      </x:c>
      <x:c r="AE50" s="45" t="n">
        <x:f>IF(OR($J50="",$K50=""),"",IF(SUMIFS(Calendar!$C$16:$C$141,Calendar!$A$16:$A$141,"&gt;="&amp;MAX(AE$7,$J50),Calendar!$A$16:$A$141,"&lt;="&amp;MIN(AE$7+4,$K50))=0,0,IF($H50="","EXT",SUMIFS(Calendar!$C$16:$C$141,Calendar!$A$16:$A$141,"&gt;="&amp;MAX(AE$7,$J50),Calendar!$A$16:$A$141,"&lt;="&amp;MIN(AE$7+4,$K50))*$H50/$G50)))</x:f>
        <x:v>0</x:v>
      </x:c>
      <x:c r="AF50" s="8" t="n">
        <x:f>IF(OR(M50&lt;&gt;"Scheduled",INDEX('Team and Gates'!$C$7:$C$13,MATCH($D50,'Team and Gates'!$A$7:$A$13,0))=""),"CHECK",SUM(N50:AE50)*INDEX('Team and Gates'!$C$7:$C$13,MATCH($D50,'Team and Gates'!$A$7:$A$13,0)))</x:f>
        <x:v>1440</x:v>
      </x:c>
      <x:c r="AG50" s="46" t="str">
        <x:v>Authorized corpus, leakage-safe splits, rubric and repeatable model baseline are reviewable.</x:v>
      </x:c>
      <x:c r="AH50" s="46" t="str"/>
    </x:row>
    <x:row r="51" ht="45" customHeight="1">
      <x:c r="A51" s="39" t="str">
        <x:v>S02</x:v>
      </x:c>
      <x:c r="B51" s="39" t="str">
        <x:v>Model quality</x:v>
      </x:c>
      <x:c r="C51" s="47" t="str">
        <x:v>De-identification, annotation rubric and tuning/dev/holdout split</x:v>
      </x:c>
      <x:c r="D51" s="30" t="str">
        <x:v>DS</x:v>
      </x:c>
      <x:c r="E51" s="47" t="str">
        <x:v>S01</x:v>
      </x:c>
      <x:c r="F51" s="50" t="n">
        <x:v>6</x:v>
      </x:c>
      <x:c r="G51" s="50" t="n">
        <x:v>2</x:v>
      </x:c>
      <x:c r="H51" s="51" t="n">
        <x:v>1.6</x:v>
      </x:c>
      <x:c r="I51" s="39" t="n">
        <x:f>IF(OR(F51="",G51=""),"",F51+G51-1)</x:f>
        <x:v>7</x:v>
      </x:c>
      <x:c r="J51" s="41" t="n">
        <x:f>IF(OR(F51="",F51&lt;1,F51&gt;Calendar!$B$9),"",INDEX(Calendar!$A$16:$A$141,MATCH(F51,Calendar!$D$16:$D$141,0)))</x:f>
        <x:v>46335</x:v>
      </x:c>
      <x:c r="K51" s="41" t="n">
        <x:f>IF(OR(I51="",I51&lt;1,I51&gt;Calendar!$B$9),"",INDEX(Calendar!$A$16:$A$141,MATCH(I51,Calendar!$D$16:$D$141,0)))</x:f>
        <x:v>46336</x:v>
      </x:c>
      <x:c r="L51" s="53" t="n">
        <x:v>0</x:v>
      </x:c>
      <x:c r="M51" s="39" t="str">
        <x:f>IF(OR(F51="",G51="",H51=""),"Missing input",IF(OR(F51&lt;1,G51&lt;1,I51&gt;Calendar!$B$9),"Outside calendar",IF(F51&lt;MAX(INDEX($I$8:$I$157,MATCH("S01",$A$8:$A$157,0))+1),"Dependency conflict","Scheduled")))</x:f>
        <x:v>Scheduled</x:v>
      </x:c>
      <x:c r="N51" s="45" t="n">
        <x:f>IF(OR($J51="",$K51=""),"",IF(SUMIFS(Calendar!$C$16:$C$141,Calendar!$A$16:$A$141,"&gt;="&amp;MAX(N$7,$J51),Calendar!$A$16:$A$141,"&lt;="&amp;MIN(N$7+4,$K51))=0,0,IF($H51="","EXT",SUMIFS(Calendar!$C$16:$C$141,Calendar!$A$16:$A$141,"&gt;="&amp;MAX(N$7,$J51),Calendar!$A$16:$A$141,"&lt;="&amp;MIN(N$7+4,$K51))*$H51/$G51)))</x:f>
        <x:v>0</x:v>
      </x:c>
      <x:c r="O51" s="45" t="n">
        <x:f>IF(OR($J51="",$K51=""),"",IF(SUMIFS(Calendar!$C$16:$C$141,Calendar!$A$16:$A$141,"&gt;="&amp;MAX(O$7,$J51),Calendar!$A$16:$A$141,"&lt;="&amp;MIN(O$7+4,$K51))=0,0,IF($H51="","EXT",SUMIFS(Calendar!$C$16:$C$141,Calendar!$A$16:$A$141,"&gt;="&amp;MAX(O$7,$J51),Calendar!$A$16:$A$141,"&lt;="&amp;MIN(O$7+4,$K51))*$H51/$G51)))</x:f>
        <x:v>1.6</x:v>
      </x:c>
      <x:c r="P51" s="45" t="n">
        <x:f>IF(OR($J51="",$K51=""),"",IF(SUMIFS(Calendar!$C$16:$C$141,Calendar!$A$16:$A$141,"&gt;="&amp;MAX(P$7,$J51),Calendar!$A$16:$A$141,"&lt;="&amp;MIN(P$7+4,$K51))=0,0,IF($H51="","EXT",SUMIFS(Calendar!$C$16:$C$141,Calendar!$A$16:$A$141,"&gt;="&amp;MAX(P$7,$J51),Calendar!$A$16:$A$141,"&lt;="&amp;MIN(P$7+4,$K51))*$H51/$G51)))</x:f>
        <x:v>0</x:v>
      </x:c>
      <x:c r="Q51" s="45" t="n">
        <x:f>IF(OR($J51="",$K51=""),"",IF(SUMIFS(Calendar!$C$16:$C$141,Calendar!$A$16:$A$141,"&gt;="&amp;MAX(Q$7,$J51),Calendar!$A$16:$A$141,"&lt;="&amp;MIN(Q$7+4,$K51))=0,0,IF($H51="","EXT",SUMIFS(Calendar!$C$16:$C$141,Calendar!$A$16:$A$141,"&gt;="&amp;MAX(Q$7,$J51),Calendar!$A$16:$A$141,"&lt;="&amp;MIN(Q$7+4,$K51))*$H51/$G51)))</x:f>
        <x:v>0</x:v>
      </x:c>
      <x:c r="R51" s="45" t="n">
        <x:f>IF(OR($J51="",$K51=""),"",IF(SUMIFS(Calendar!$C$16:$C$141,Calendar!$A$16:$A$141,"&gt;="&amp;MAX(R$7,$J51),Calendar!$A$16:$A$141,"&lt;="&amp;MIN(R$7+4,$K51))=0,0,IF($H51="","EXT",SUMIFS(Calendar!$C$16:$C$141,Calendar!$A$16:$A$141,"&gt;="&amp;MAX(R$7,$J51),Calendar!$A$16:$A$141,"&lt;="&amp;MIN(R$7+4,$K51))*$H51/$G51)))</x:f>
        <x:v>0</x:v>
      </x:c>
      <x:c r="S51" s="45" t="n">
        <x:f>IF(OR($J51="",$K51=""),"",IF(SUMIFS(Calendar!$C$16:$C$141,Calendar!$A$16:$A$141,"&gt;="&amp;MAX(S$7,$J51),Calendar!$A$16:$A$141,"&lt;="&amp;MIN(S$7+4,$K51))=0,0,IF($H51="","EXT",SUMIFS(Calendar!$C$16:$C$141,Calendar!$A$16:$A$141,"&gt;="&amp;MAX(S$7,$J51),Calendar!$A$16:$A$141,"&lt;="&amp;MIN(S$7+4,$K51))*$H51/$G51)))</x:f>
        <x:v>0</x:v>
      </x:c>
      <x:c r="T51" s="45" t="n">
        <x:f>IF(OR($J51="",$K51=""),"",IF(SUMIFS(Calendar!$C$16:$C$141,Calendar!$A$16:$A$141,"&gt;="&amp;MAX(T$7,$J51),Calendar!$A$16:$A$141,"&lt;="&amp;MIN(T$7+4,$K51))=0,0,IF($H51="","EXT",SUMIFS(Calendar!$C$16:$C$141,Calendar!$A$16:$A$141,"&gt;="&amp;MAX(T$7,$J51),Calendar!$A$16:$A$141,"&lt;="&amp;MIN(T$7+4,$K51))*$H51/$G51)))</x:f>
        <x:v>0</x:v>
      </x:c>
      <x:c r="U51" s="45" t="n">
        <x:f>IF(OR($J51="",$K51=""),"",IF(SUMIFS(Calendar!$C$16:$C$141,Calendar!$A$16:$A$141,"&gt;="&amp;MAX(U$7,$J51),Calendar!$A$16:$A$141,"&lt;="&amp;MIN(U$7+4,$K51))=0,0,IF($H51="","EXT",SUMIFS(Calendar!$C$16:$C$141,Calendar!$A$16:$A$141,"&gt;="&amp;MAX(U$7,$J51),Calendar!$A$16:$A$141,"&lt;="&amp;MIN(U$7+4,$K51))*$H51/$G51)))</x:f>
        <x:v>0</x:v>
      </x:c>
      <x:c r="V51" s="45" t="n">
        <x:f>IF(OR($J51="",$K51=""),"",IF(SUMIFS(Calendar!$C$16:$C$141,Calendar!$A$16:$A$141,"&gt;="&amp;MAX(V$7,$J51),Calendar!$A$16:$A$141,"&lt;="&amp;MIN(V$7+4,$K51))=0,0,IF($H51="","EXT",SUMIFS(Calendar!$C$16:$C$141,Calendar!$A$16:$A$141,"&gt;="&amp;MAX(V$7,$J51),Calendar!$A$16:$A$141,"&lt;="&amp;MIN(V$7+4,$K51))*$H51/$G51)))</x:f>
        <x:v>0</x:v>
      </x:c>
      <x:c r="W51" s="45" t="n">
        <x:f>IF(OR($J51="",$K51=""),"",IF(SUMIFS(Calendar!$C$16:$C$141,Calendar!$A$16:$A$141,"&gt;="&amp;MAX(W$7,$J51),Calendar!$A$16:$A$141,"&lt;="&amp;MIN(W$7+4,$K51))=0,0,IF($H51="","EXT",SUMIFS(Calendar!$C$16:$C$141,Calendar!$A$16:$A$141,"&gt;="&amp;MAX(W$7,$J51),Calendar!$A$16:$A$141,"&lt;="&amp;MIN(W$7+4,$K51))*$H51/$G51)))</x:f>
        <x:v>0</x:v>
      </x:c>
      <x:c r="X51" s="45" t="n">
        <x:f>IF(OR($J51="",$K51=""),"",IF(SUMIFS(Calendar!$C$16:$C$141,Calendar!$A$16:$A$141,"&gt;="&amp;MAX(X$7,$J51),Calendar!$A$16:$A$141,"&lt;="&amp;MIN(X$7+4,$K51))=0,0,IF($H51="","EXT",SUMIFS(Calendar!$C$16:$C$141,Calendar!$A$16:$A$141,"&gt;="&amp;MAX(X$7,$J51),Calendar!$A$16:$A$141,"&lt;="&amp;MIN(X$7+4,$K51))*$H51/$G51)))</x:f>
        <x:v>0</x:v>
      </x:c>
      <x:c r="Y51" s="45" t="n">
        <x:f>IF(OR($J51="",$K51=""),"",IF(SUMIFS(Calendar!$C$16:$C$141,Calendar!$A$16:$A$141,"&gt;="&amp;MAX(Y$7,$J51),Calendar!$A$16:$A$141,"&lt;="&amp;MIN(Y$7+4,$K51))=0,0,IF($H51="","EXT",SUMIFS(Calendar!$C$16:$C$141,Calendar!$A$16:$A$141,"&gt;="&amp;MAX(Y$7,$J51),Calendar!$A$16:$A$141,"&lt;="&amp;MIN(Y$7+4,$K51))*$H51/$G51)))</x:f>
        <x:v>0</x:v>
      </x:c>
      <x:c r="Z51" s="45" t="n">
        <x:f>IF(OR($J51="",$K51=""),"",IF(SUMIFS(Calendar!$C$16:$C$141,Calendar!$A$16:$A$141,"&gt;="&amp;MAX(Z$7,$J51),Calendar!$A$16:$A$141,"&lt;="&amp;MIN(Z$7+4,$K51))=0,0,IF($H51="","EXT",SUMIFS(Calendar!$C$16:$C$141,Calendar!$A$16:$A$141,"&gt;="&amp;MAX(Z$7,$J51),Calendar!$A$16:$A$141,"&lt;="&amp;MIN(Z$7+4,$K51))*$H51/$G51)))</x:f>
        <x:v>0</x:v>
      </x:c>
      <x:c r="AA51" s="45" t="n">
        <x:f>IF(OR($J51="",$K51=""),"",IF(SUMIFS(Calendar!$C$16:$C$141,Calendar!$A$16:$A$141,"&gt;="&amp;MAX(AA$7,$J51),Calendar!$A$16:$A$141,"&lt;="&amp;MIN(AA$7+4,$K51))=0,0,IF($H51="","EXT",SUMIFS(Calendar!$C$16:$C$141,Calendar!$A$16:$A$141,"&gt;="&amp;MAX(AA$7,$J51),Calendar!$A$16:$A$141,"&lt;="&amp;MIN(AA$7+4,$K51))*$H51/$G51)))</x:f>
        <x:v>0</x:v>
      </x:c>
      <x:c r="AB51" s="45" t="n">
        <x:f>IF(OR($J51="",$K51=""),"",IF(SUMIFS(Calendar!$C$16:$C$141,Calendar!$A$16:$A$141,"&gt;="&amp;MAX(AB$7,$J51),Calendar!$A$16:$A$141,"&lt;="&amp;MIN(AB$7+4,$K51))=0,0,IF($H51="","EXT",SUMIFS(Calendar!$C$16:$C$141,Calendar!$A$16:$A$141,"&gt;="&amp;MAX(AB$7,$J51),Calendar!$A$16:$A$141,"&lt;="&amp;MIN(AB$7+4,$K51))*$H51/$G51)))</x:f>
        <x:v>0</x:v>
      </x:c>
      <x:c r="AC51" s="45" t="n">
        <x:f>IF(OR($J51="",$K51=""),"",IF(SUMIFS(Calendar!$C$16:$C$141,Calendar!$A$16:$A$141,"&gt;="&amp;MAX(AC$7,$J51),Calendar!$A$16:$A$141,"&lt;="&amp;MIN(AC$7+4,$K51))=0,0,IF($H51="","EXT",SUMIFS(Calendar!$C$16:$C$141,Calendar!$A$16:$A$141,"&gt;="&amp;MAX(AC$7,$J51),Calendar!$A$16:$A$141,"&lt;="&amp;MIN(AC$7+4,$K51))*$H51/$G51)))</x:f>
        <x:v>0</x:v>
      </x:c>
      <x:c r="AD51" s="45" t="n">
        <x:f>IF(OR($J51="",$K51=""),"",IF(SUMIFS(Calendar!$C$16:$C$141,Calendar!$A$16:$A$141,"&gt;="&amp;MAX(AD$7,$J51),Calendar!$A$16:$A$141,"&lt;="&amp;MIN(AD$7+4,$K51))=0,0,IF($H51="","EXT",SUMIFS(Calendar!$C$16:$C$141,Calendar!$A$16:$A$141,"&gt;="&amp;MAX(AD$7,$J51),Calendar!$A$16:$A$141,"&lt;="&amp;MIN(AD$7+4,$K51))*$H51/$G51)))</x:f>
        <x:v>0</x:v>
      </x:c>
      <x:c r="AE51" s="45" t="n">
        <x:f>IF(OR($J51="",$K51=""),"",IF(SUMIFS(Calendar!$C$16:$C$141,Calendar!$A$16:$A$141,"&gt;="&amp;MAX(AE$7,$J51),Calendar!$A$16:$A$141,"&lt;="&amp;MIN(AE$7+4,$K51))=0,0,IF($H51="","EXT",SUMIFS(Calendar!$C$16:$C$141,Calendar!$A$16:$A$141,"&gt;="&amp;MAX(AE$7,$J51),Calendar!$A$16:$A$141,"&lt;="&amp;MIN(AE$7+4,$K51))*$H51/$G51)))</x:f>
        <x:v>0</x:v>
      </x:c>
      <x:c r="AF51" s="8" t="n">
        <x:f>IF(OR(M51&lt;&gt;"Scheduled",INDEX('Team and Gates'!$C$7:$C$13,MATCH($D51,'Team and Gates'!$A$7:$A$13,0))=""),"CHECK",SUM(N51:AE51)*INDEX('Team and Gates'!$C$7:$C$13,MATCH($D51,'Team and Gates'!$A$7:$A$13,0)))</x:f>
        <x:v>576</x:v>
      </x:c>
      <x:c r="AG51" s="46" t="str">
        <x:v>Authorized corpus, leakage-safe splits, rubric and repeatable model baseline are reviewable.</x:v>
      </x:c>
      <x:c r="AH51" s="46" t="str"/>
    </x:row>
    <x:row r="52" ht="45" customHeight="1">
      <x:c r="A52" s="2" t="str">
        <x:v>S03</x:v>
      </x:c>
      <x:c r="B52" s="2" t="str">
        <x:v>Model quality</x:v>
      </x:c>
      <x:c r="C52" s="46" t="str">
        <x:v>Foundry baseline and model/schema evaluation harness</x:v>
      </x:c>
      <x:c r="D52" s="30" t="str">
        <x:v>DS</x:v>
      </x:c>
      <x:c r="E52" s="46" t="str">
        <x:v>S02, A02:SS, U02</x:v>
      </x:c>
      <x:c r="F52" s="50" t="n">
        <x:v>8</x:v>
      </x:c>
      <x:c r="G52" s="50" t="n">
        <x:v>3</x:v>
      </x:c>
      <x:c r="H52" s="51" t="n">
        <x:v>2.4</x:v>
      </x:c>
      <x:c r="I52" s="2" t="n">
        <x:f>IF(OR(F52="",G52=""),"",F52+G52-1)</x:f>
        <x:v>10</x:v>
      </x:c>
      <x:c r="J52" s="5" t="n">
        <x:f>IF(OR(F52="",F52&lt;1,F52&gt;Calendar!$B$9),"",INDEX(Calendar!$A$16:$A$141,MATCH(F52,Calendar!$D$16:$D$141,0)))</x:f>
        <x:v>46337</x:v>
      </x:c>
      <x:c r="K52" s="5" t="n">
        <x:f>IF(OR(I52="",I52&lt;1,I52&gt;Calendar!$B$9),"",INDEX(Calendar!$A$16:$A$141,MATCH(I52,Calendar!$D$16:$D$141,0)))</x:f>
        <x:v>46339</x:v>
      </x:c>
      <x:c r="L52" s="53" t="n">
        <x:v>0</x:v>
      </x:c>
      <x:c r="M52" s="2" t="str">
        <x:f>IF(OR(F52="",G52="",H52=""),"Missing input",IF(OR(F52&lt;1,G52&lt;1,I52&gt;Calendar!$B$9),"Outside calendar",IF(F52&lt;MAX(INDEX($I$8:$I$157,MATCH("S02",$A$8:$A$157,0))+1,INDEX($F$8:$F$157,MATCH("A02",$A$8:$A$157,0)),INDEX($I$8:$I$157,MATCH("U02",$A$8:$A$157,0))+1),"Dependency conflict","Scheduled")))</x:f>
        <x:v>Scheduled</x:v>
      </x:c>
      <x:c r="N52" s="45" t="n">
        <x:f>IF(OR($J52="",$K52=""),"",IF(SUMIFS(Calendar!$C$16:$C$141,Calendar!$A$16:$A$141,"&gt;="&amp;MAX(N$7,$J52),Calendar!$A$16:$A$141,"&lt;="&amp;MIN(N$7+4,$K52))=0,0,IF($H52="","EXT",SUMIFS(Calendar!$C$16:$C$141,Calendar!$A$16:$A$141,"&gt;="&amp;MAX(N$7,$J52),Calendar!$A$16:$A$141,"&lt;="&amp;MIN(N$7+4,$K52))*$H52/$G52)))</x:f>
        <x:v>0</x:v>
      </x:c>
      <x:c r="O52" s="45" t="n">
        <x:f>IF(OR($J52="",$K52=""),"",IF(SUMIFS(Calendar!$C$16:$C$141,Calendar!$A$16:$A$141,"&gt;="&amp;MAX(O$7,$J52),Calendar!$A$16:$A$141,"&lt;="&amp;MIN(O$7+4,$K52))=0,0,IF($H52="","EXT",SUMIFS(Calendar!$C$16:$C$141,Calendar!$A$16:$A$141,"&gt;="&amp;MAX(O$7,$J52),Calendar!$A$16:$A$141,"&lt;="&amp;MIN(O$7+4,$K52))*$H52/$G52)))</x:f>
        <x:v>2.4</x:v>
      </x:c>
      <x:c r="P52" s="45" t="n">
        <x:f>IF(OR($J52="",$K52=""),"",IF(SUMIFS(Calendar!$C$16:$C$141,Calendar!$A$16:$A$141,"&gt;="&amp;MAX(P$7,$J52),Calendar!$A$16:$A$141,"&lt;="&amp;MIN(P$7+4,$K52))=0,0,IF($H52="","EXT",SUMIFS(Calendar!$C$16:$C$141,Calendar!$A$16:$A$141,"&gt;="&amp;MAX(P$7,$J52),Calendar!$A$16:$A$141,"&lt;="&amp;MIN(P$7+4,$K52))*$H52/$G52)))</x:f>
        <x:v>0</x:v>
      </x:c>
      <x:c r="Q52" s="45" t="n">
        <x:f>IF(OR($J52="",$K52=""),"",IF(SUMIFS(Calendar!$C$16:$C$141,Calendar!$A$16:$A$141,"&gt;="&amp;MAX(Q$7,$J52),Calendar!$A$16:$A$141,"&lt;="&amp;MIN(Q$7+4,$K52))=0,0,IF($H52="","EXT",SUMIFS(Calendar!$C$16:$C$141,Calendar!$A$16:$A$141,"&gt;="&amp;MAX(Q$7,$J52),Calendar!$A$16:$A$141,"&lt;="&amp;MIN(Q$7+4,$K52))*$H52/$G52)))</x:f>
        <x:v>0</x:v>
      </x:c>
      <x:c r="R52" s="45" t="n">
        <x:f>IF(OR($J52="",$K52=""),"",IF(SUMIFS(Calendar!$C$16:$C$141,Calendar!$A$16:$A$141,"&gt;="&amp;MAX(R$7,$J52),Calendar!$A$16:$A$141,"&lt;="&amp;MIN(R$7+4,$K52))=0,0,IF($H52="","EXT",SUMIFS(Calendar!$C$16:$C$141,Calendar!$A$16:$A$141,"&gt;="&amp;MAX(R$7,$J52),Calendar!$A$16:$A$141,"&lt;="&amp;MIN(R$7+4,$K52))*$H52/$G52)))</x:f>
        <x:v>0</x:v>
      </x:c>
      <x:c r="S52" s="45" t="n">
        <x:f>IF(OR($J52="",$K52=""),"",IF(SUMIFS(Calendar!$C$16:$C$141,Calendar!$A$16:$A$141,"&gt;="&amp;MAX(S$7,$J52),Calendar!$A$16:$A$141,"&lt;="&amp;MIN(S$7+4,$K52))=0,0,IF($H52="","EXT",SUMIFS(Calendar!$C$16:$C$141,Calendar!$A$16:$A$141,"&gt;="&amp;MAX(S$7,$J52),Calendar!$A$16:$A$141,"&lt;="&amp;MIN(S$7+4,$K52))*$H52/$G52)))</x:f>
        <x:v>0</x:v>
      </x:c>
      <x:c r="T52" s="45" t="n">
        <x:f>IF(OR($J52="",$K52=""),"",IF(SUMIFS(Calendar!$C$16:$C$141,Calendar!$A$16:$A$141,"&gt;="&amp;MAX(T$7,$J52),Calendar!$A$16:$A$141,"&lt;="&amp;MIN(T$7+4,$K52))=0,0,IF($H52="","EXT",SUMIFS(Calendar!$C$16:$C$141,Calendar!$A$16:$A$141,"&gt;="&amp;MAX(T$7,$J52),Calendar!$A$16:$A$141,"&lt;="&amp;MIN(T$7+4,$K52))*$H52/$G52)))</x:f>
        <x:v>0</x:v>
      </x:c>
      <x:c r="U52" s="45" t="n">
        <x:f>IF(OR($J52="",$K52=""),"",IF(SUMIFS(Calendar!$C$16:$C$141,Calendar!$A$16:$A$141,"&gt;="&amp;MAX(U$7,$J52),Calendar!$A$16:$A$141,"&lt;="&amp;MIN(U$7+4,$K52))=0,0,IF($H52="","EXT",SUMIFS(Calendar!$C$16:$C$141,Calendar!$A$16:$A$141,"&gt;="&amp;MAX(U$7,$J52),Calendar!$A$16:$A$141,"&lt;="&amp;MIN(U$7+4,$K52))*$H52/$G52)))</x:f>
        <x:v>0</x:v>
      </x:c>
      <x:c r="V52" s="45" t="n">
        <x:f>IF(OR($J52="",$K52=""),"",IF(SUMIFS(Calendar!$C$16:$C$141,Calendar!$A$16:$A$141,"&gt;="&amp;MAX(V$7,$J52),Calendar!$A$16:$A$141,"&lt;="&amp;MIN(V$7+4,$K52))=0,0,IF($H52="","EXT",SUMIFS(Calendar!$C$16:$C$141,Calendar!$A$16:$A$141,"&gt;="&amp;MAX(V$7,$J52),Calendar!$A$16:$A$141,"&lt;="&amp;MIN(V$7+4,$K52))*$H52/$G52)))</x:f>
        <x:v>0</x:v>
      </x:c>
      <x:c r="W52" s="45" t="n">
        <x:f>IF(OR($J52="",$K52=""),"",IF(SUMIFS(Calendar!$C$16:$C$141,Calendar!$A$16:$A$141,"&gt;="&amp;MAX(W$7,$J52),Calendar!$A$16:$A$141,"&lt;="&amp;MIN(W$7+4,$K52))=0,0,IF($H52="","EXT",SUMIFS(Calendar!$C$16:$C$141,Calendar!$A$16:$A$141,"&gt;="&amp;MAX(W$7,$J52),Calendar!$A$16:$A$141,"&lt;="&amp;MIN(W$7+4,$K52))*$H52/$G52)))</x:f>
        <x:v>0</x:v>
      </x:c>
      <x:c r="X52" s="45" t="n">
        <x:f>IF(OR($J52="",$K52=""),"",IF(SUMIFS(Calendar!$C$16:$C$141,Calendar!$A$16:$A$141,"&gt;="&amp;MAX(X$7,$J52),Calendar!$A$16:$A$141,"&lt;="&amp;MIN(X$7+4,$K52))=0,0,IF($H52="","EXT",SUMIFS(Calendar!$C$16:$C$141,Calendar!$A$16:$A$141,"&gt;="&amp;MAX(X$7,$J52),Calendar!$A$16:$A$141,"&lt;="&amp;MIN(X$7+4,$K52))*$H52/$G52)))</x:f>
        <x:v>0</x:v>
      </x:c>
      <x:c r="Y52" s="45" t="n">
        <x:f>IF(OR($J52="",$K52=""),"",IF(SUMIFS(Calendar!$C$16:$C$141,Calendar!$A$16:$A$141,"&gt;="&amp;MAX(Y$7,$J52),Calendar!$A$16:$A$141,"&lt;="&amp;MIN(Y$7+4,$K52))=0,0,IF($H52="","EXT",SUMIFS(Calendar!$C$16:$C$141,Calendar!$A$16:$A$141,"&gt;="&amp;MAX(Y$7,$J52),Calendar!$A$16:$A$141,"&lt;="&amp;MIN(Y$7+4,$K52))*$H52/$G52)))</x:f>
        <x:v>0</x:v>
      </x:c>
      <x:c r="Z52" s="45" t="n">
        <x:f>IF(OR($J52="",$K52=""),"",IF(SUMIFS(Calendar!$C$16:$C$141,Calendar!$A$16:$A$141,"&gt;="&amp;MAX(Z$7,$J52),Calendar!$A$16:$A$141,"&lt;="&amp;MIN(Z$7+4,$K52))=0,0,IF($H52="","EXT",SUMIFS(Calendar!$C$16:$C$141,Calendar!$A$16:$A$141,"&gt;="&amp;MAX(Z$7,$J52),Calendar!$A$16:$A$141,"&lt;="&amp;MIN(Z$7+4,$K52))*$H52/$G52)))</x:f>
        <x:v>0</x:v>
      </x:c>
      <x:c r="AA52" s="45" t="n">
        <x:f>IF(OR($J52="",$K52=""),"",IF(SUMIFS(Calendar!$C$16:$C$141,Calendar!$A$16:$A$141,"&gt;="&amp;MAX(AA$7,$J52),Calendar!$A$16:$A$141,"&lt;="&amp;MIN(AA$7+4,$K52))=0,0,IF($H52="","EXT",SUMIFS(Calendar!$C$16:$C$141,Calendar!$A$16:$A$141,"&gt;="&amp;MAX(AA$7,$J52),Calendar!$A$16:$A$141,"&lt;="&amp;MIN(AA$7+4,$K52))*$H52/$G52)))</x:f>
        <x:v>0</x:v>
      </x:c>
      <x:c r="AB52" s="45" t="n">
        <x:f>IF(OR($J52="",$K52=""),"",IF(SUMIFS(Calendar!$C$16:$C$141,Calendar!$A$16:$A$141,"&gt;="&amp;MAX(AB$7,$J52),Calendar!$A$16:$A$141,"&lt;="&amp;MIN(AB$7+4,$K52))=0,0,IF($H52="","EXT",SUMIFS(Calendar!$C$16:$C$141,Calendar!$A$16:$A$141,"&gt;="&amp;MAX(AB$7,$J52),Calendar!$A$16:$A$141,"&lt;="&amp;MIN(AB$7+4,$K52))*$H52/$G52)))</x:f>
        <x:v>0</x:v>
      </x:c>
      <x:c r="AC52" s="45" t="n">
        <x:f>IF(OR($J52="",$K52=""),"",IF(SUMIFS(Calendar!$C$16:$C$141,Calendar!$A$16:$A$141,"&gt;="&amp;MAX(AC$7,$J52),Calendar!$A$16:$A$141,"&lt;="&amp;MIN(AC$7+4,$K52))=0,0,IF($H52="","EXT",SUMIFS(Calendar!$C$16:$C$141,Calendar!$A$16:$A$141,"&gt;="&amp;MAX(AC$7,$J52),Calendar!$A$16:$A$141,"&lt;="&amp;MIN(AC$7+4,$K52))*$H52/$G52)))</x:f>
        <x:v>0</x:v>
      </x:c>
      <x:c r="AD52" s="45" t="n">
        <x:f>IF(OR($J52="",$K52=""),"",IF(SUMIFS(Calendar!$C$16:$C$141,Calendar!$A$16:$A$141,"&gt;="&amp;MAX(AD$7,$J52),Calendar!$A$16:$A$141,"&lt;="&amp;MIN(AD$7+4,$K52))=0,0,IF($H52="","EXT",SUMIFS(Calendar!$C$16:$C$141,Calendar!$A$16:$A$141,"&gt;="&amp;MAX(AD$7,$J52),Calendar!$A$16:$A$141,"&lt;="&amp;MIN(AD$7+4,$K52))*$H52/$G52)))</x:f>
        <x:v>0</x:v>
      </x:c>
      <x:c r="AE52" s="45" t="n">
        <x:f>IF(OR($J52="",$K52=""),"",IF(SUMIFS(Calendar!$C$16:$C$141,Calendar!$A$16:$A$141,"&gt;="&amp;MAX(AE$7,$J52),Calendar!$A$16:$A$141,"&lt;="&amp;MIN(AE$7+4,$K52))=0,0,IF($H52="","EXT",SUMIFS(Calendar!$C$16:$C$141,Calendar!$A$16:$A$141,"&gt;="&amp;MAX(AE$7,$J52),Calendar!$A$16:$A$141,"&lt;="&amp;MIN(AE$7+4,$K52))*$H52/$G52)))</x:f>
        <x:v>0</x:v>
      </x:c>
      <x:c r="AF52" s="8" t="n">
        <x:f>IF(OR(M52&lt;&gt;"Scheduled",INDEX('Team and Gates'!$C$7:$C$13,MATCH($D52,'Team and Gates'!$A$7:$A$13,0))=""),"CHECK",SUM(N52:AE52)*INDEX('Team and Gates'!$C$7:$C$13,MATCH($D52,'Team and Gates'!$A$7:$A$13,0)))</x:f>
        <x:v>864</x:v>
      </x:c>
      <x:c r="AG52" s="46" t="str">
        <x:v>Authorized corpus, leakage-safe splits, rubric and repeatable model baseline are reviewable.</x:v>
      </x:c>
      <x:c r="AH52" s="46" t="str"/>
    </x:row>
    <x:row r="53" ht="45" customHeight="1">
      <x:c r="A53" s="39" t="str">
        <x:v>S04</x:v>
      </x:c>
      <x:c r="B53" s="39" t="str">
        <x:v>Model quality</x:v>
      </x:c>
      <x:c r="C53" s="47" t="str">
        <x:v>Functional baseline: mail intent and Case-match suggestions</x:v>
      </x:c>
      <x:c r="D53" s="30" t="str">
        <x:v>DS</x:v>
      </x:c>
      <x:c r="E53" s="47" t="str">
        <x:v>S03, BA03, F03</x:v>
      </x:c>
      <x:c r="F53" s="50" t="n">
        <x:v>11</x:v>
      </x:c>
      <x:c r="G53" s="50" t="n">
        <x:v>5</x:v>
      </x:c>
      <x:c r="H53" s="51" t="n">
        <x:v>4</x:v>
      </x:c>
      <x:c r="I53" s="39" t="n">
        <x:f>IF(OR(F53="",G53=""),"",F53+G53-1)</x:f>
        <x:v>15</x:v>
      </x:c>
      <x:c r="J53" s="41" t="n">
        <x:f>IF(OR(F53="",F53&lt;1,F53&gt;Calendar!$B$9),"",INDEX(Calendar!$A$16:$A$141,MATCH(F53,Calendar!$D$16:$D$141,0)))</x:f>
        <x:v>46342</x:v>
      </x:c>
      <x:c r="K53" s="41" t="n">
        <x:f>IF(OR(I53="",I53&lt;1,I53&gt;Calendar!$B$9),"",INDEX(Calendar!$A$16:$A$141,MATCH(I53,Calendar!$D$16:$D$141,0)))</x:f>
        <x:v>46346</x:v>
      </x:c>
      <x:c r="L53" s="53" t="n">
        <x:v>0</x:v>
      </x:c>
      <x:c r="M53" s="39" t="str">
        <x:f>IF(OR(F53="",G53="",H53=""),"Missing input",IF(OR(F53&lt;1,G53&lt;1,I53&gt;Calendar!$B$9),"Outside calendar",IF(F53&lt;MAX(INDEX($I$8:$I$157,MATCH("S03",$A$8:$A$157,0))+1,INDEX($I$8:$I$157,MATCH("BA03",$A$8:$A$157,0))+1,INDEX($I$8:$I$157,MATCH("F03",$A$8:$A$157,0))+1),"Dependency conflict","Scheduled")))</x:f>
        <x:v>Scheduled</x:v>
      </x:c>
      <x:c r="N53" s="45" t="n">
        <x:f>IF(OR($J53="",$K53=""),"",IF(SUMIFS(Calendar!$C$16:$C$141,Calendar!$A$16:$A$141,"&gt;="&amp;MAX(N$7,$J53),Calendar!$A$16:$A$141,"&lt;="&amp;MIN(N$7+4,$K53))=0,0,IF($H53="","EXT",SUMIFS(Calendar!$C$16:$C$141,Calendar!$A$16:$A$141,"&gt;="&amp;MAX(N$7,$J53),Calendar!$A$16:$A$141,"&lt;="&amp;MIN(N$7+4,$K53))*$H53/$G53)))</x:f>
        <x:v>0</x:v>
      </x:c>
      <x:c r="O53" s="45" t="n">
        <x:f>IF(OR($J53="",$K53=""),"",IF(SUMIFS(Calendar!$C$16:$C$141,Calendar!$A$16:$A$141,"&gt;="&amp;MAX(O$7,$J53),Calendar!$A$16:$A$141,"&lt;="&amp;MIN(O$7+4,$K53))=0,0,IF($H53="","EXT",SUMIFS(Calendar!$C$16:$C$141,Calendar!$A$16:$A$141,"&gt;="&amp;MAX(O$7,$J53),Calendar!$A$16:$A$141,"&lt;="&amp;MIN(O$7+4,$K53))*$H53/$G53)))</x:f>
        <x:v>0</x:v>
      </x:c>
      <x:c r="P53" s="45" t="n">
        <x:f>IF(OR($J53="",$K53=""),"",IF(SUMIFS(Calendar!$C$16:$C$141,Calendar!$A$16:$A$141,"&gt;="&amp;MAX(P$7,$J53),Calendar!$A$16:$A$141,"&lt;="&amp;MIN(P$7+4,$K53))=0,0,IF($H53="","EXT",SUMIFS(Calendar!$C$16:$C$141,Calendar!$A$16:$A$141,"&gt;="&amp;MAX(P$7,$J53),Calendar!$A$16:$A$141,"&lt;="&amp;MIN(P$7+4,$K53))*$H53/$G53)))</x:f>
        <x:v>4</x:v>
      </x:c>
      <x:c r="Q53" s="45" t="n">
        <x:f>IF(OR($J53="",$K53=""),"",IF(SUMIFS(Calendar!$C$16:$C$141,Calendar!$A$16:$A$141,"&gt;="&amp;MAX(Q$7,$J53),Calendar!$A$16:$A$141,"&lt;="&amp;MIN(Q$7+4,$K53))=0,0,IF($H53="","EXT",SUMIFS(Calendar!$C$16:$C$141,Calendar!$A$16:$A$141,"&gt;="&amp;MAX(Q$7,$J53),Calendar!$A$16:$A$141,"&lt;="&amp;MIN(Q$7+4,$K53))*$H53/$G53)))</x:f>
        <x:v>0</x:v>
      </x:c>
      <x:c r="R53" s="45" t="n">
        <x:f>IF(OR($J53="",$K53=""),"",IF(SUMIFS(Calendar!$C$16:$C$141,Calendar!$A$16:$A$141,"&gt;="&amp;MAX(R$7,$J53),Calendar!$A$16:$A$141,"&lt;="&amp;MIN(R$7+4,$K53))=0,0,IF($H53="","EXT",SUMIFS(Calendar!$C$16:$C$141,Calendar!$A$16:$A$141,"&gt;="&amp;MAX(R$7,$J53),Calendar!$A$16:$A$141,"&lt;="&amp;MIN(R$7+4,$K53))*$H53/$G53)))</x:f>
        <x:v>0</x:v>
      </x:c>
      <x:c r="S53" s="45" t="n">
        <x:f>IF(OR($J53="",$K53=""),"",IF(SUMIFS(Calendar!$C$16:$C$141,Calendar!$A$16:$A$141,"&gt;="&amp;MAX(S$7,$J53),Calendar!$A$16:$A$141,"&lt;="&amp;MIN(S$7+4,$K53))=0,0,IF($H53="","EXT",SUMIFS(Calendar!$C$16:$C$141,Calendar!$A$16:$A$141,"&gt;="&amp;MAX(S$7,$J53),Calendar!$A$16:$A$141,"&lt;="&amp;MIN(S$7+4,$K53))*$H53/$G53)))</x:f>
        <x:v>0</x:v>
      </x:c>
      <x:c r="T53" s="45" t="n">
        <x:f>IF(OR($J53="",$K53=""),"",IF(SUMIFS(Calendar!$C$16:$C$141,Calendar!$A$16:$A$141,"&gt;="&amp;MAX(T$7,$J53),Calendar!$A$16:$A$141,"&lt;="&amp;MIN(T$7+4,$K53))=0,0,IF($H53="","EXT",SUMIFS(Calendar!$C$16:$C$141,Calendar!$A$16:$A$141,"&gt;="&amp;MAX(T$7,$J53),Calendar!$A$16:$A$141,"&lt;="&amp;MIN(T$7+4,$K53))*$H53/$G53)))</x:f>
        <x:v>0</x:v>
      </x:c>
      <x:c r="U53" s="45" t="n">
        <x:f>IF(OR($J53="",$K53=""),"",IF(SUMIFS(Calendar!$C$16:$C$141,Calendar!$A$16:$A$141,"&gt;="&amp;MAX(U$7,$J53),Calendar!$A$16:$A$141,"&lt;="&amp;MIN(U$7+4,$K53))=0,0,IF($H53="","EXT",SUMIFS(Calendar!$C$16:$C$141,Calendar!$A$16:$A$141,"&gt;="&amp;MAX(U$7,$J53),Calendar!$A$16:$A$141,"&lt;="&amp;MIN(U$7+4,$K53))*$H53/$G53)))</x:f>
        <x:v>0</x:v>
      </x:c>
      <x:c r="V53" s="45" t="n">
        <x:f>IF(OR($J53="",$K53=""),"",IF(SUMIFS(Calendar!$C$16:$C$141,Calendar!$A$16:$A$141,"&gt;="&amp;MAX(V$7,$J53),Calendar!$A$16:$A$141,"&lt;="&amp;MIN(V$7+4,$K53))=0,0,IF($H53="","EXT",SUMIFS(Calendar!$C$16:$C$141,Calendar!$A$16:$A$141,"&gt;="&amp;MAX(V$7,$J53),Calendar!$A$16:$A$141,"&lt;="&amp;MIN(V$7+4,$K53))*$H53/$G53)))</x:f>
        <x:v>0</x:v>
      </x:c>
      <x:c r="W53" s="45" t="n">
        <x:f>IF(OR($J53="",$K53=""),"",IF(SUMIFS(Calendar!$C$16:$C$141,Calendar!$A$16:$A$141,"&gt;="&amp;MAX(W$7,$J53),Calendar!$A$16:$A$141,"&lt;="&amp;MIN(W$7+4,$K53))=0,0,IF($H53="","EXT",SUMIFS(Calendar!$C$16:$C$141,Calendar!$A$16:$A$141,"&gt;="&amp;MAX(W$7,$J53),Calendar!$A$16:$A$141,"&lt;="&amp;MIN(W$7+4,$K53))*$H53/$G53)))</x:f>
        <x:v>0</x:v>
      </x:c>
      <x:c r="X53" s="45" t="n">
        <x:f>IF(OR($J53="",$K53=""),"",IF(SUMIFS(Calendar!$C$16:$C$141,Calendar!$A$16:$A$141,"&gt;="&amp;MAX(X$7,$J53),Calendar!$A$16:$A$141,"&lt;="&amp;MIN(X$7+4,$K53))=0,0,IF($H53="","EXT",SUMIFS(Calendar!$C$16:$C$141,Calendar!$A$16:$A$141,"&gt;="&amp;MAX(X$7,$J53),Calendar!$A$16:$A$141,"&lt;="&amp;MIN(X$7+4,$K53))*$H53/$G53)))</x:f>
        <x:v>0</x:v>
      </x:c>
      <x:c r="Y53" s="45" t="n">
        <x:f>IF(OR($J53="",$K53=""),"",IF(SUMIFS(Calendar!$C$16:$C$141,Calendar!$A$16:$A$141,"&gt;="&amp;MAX(Y$7,$J53),Calendar!$A$16:$A$141,"&lt;="&amp;MIN(Y$7+4,$K53))=0,0,IF($H53="","EXT",SUMIFS(Calendar!$C$16:$C$141,Calendar!$A$16:$A$141,"&gt;="&amp;MAX(Y$7,$J53),Calendar!$A$16:$A$141,"&lt;="&amp;MIN(Y$7+4,$K53))*$H53/$G53)))</x:f>
        <x:v>0</x:v>
      </x:c>
      <x:c r="Z53" s="45" t="n">
        <x:f>IF(OR($J53="",$K53=""),"",IF(SUMIFS(Calendar!$C$16:$C$141,Calendar!$A$16:$A$141,"&gt;="&amp;MAX(Z$7,$J53),Calendar!$A$16:$A$141,"&lt;="&amp;MIN(Z$7+4,$K53))=0,0,IF($H53="","EXT",SUMIFS(Calendar!$C$16:$C$141,Calendar!$A$16:$A$141,"&gt;="&amp;MAX(Z$7,$J53),Calendar!$A$16:$A$141,"&lt;="&amp;MIN(Z$7+4,$K53))*$H53/$G53)))</x:f>
        <x:v>0</x:v>
      </x:c>
      <x:c r="AA53" s="45" t="n">
        <x:f>IF(OR($J53="",$K53=""),"",IF(SUMIFS(Calendar!$C$16:$C$141,Calendar!$A$16:$A$141,"&gt;="&amp;MAX(AA$7,$J53),Calendar!$A$16:$A$141,"&lt;="&amp;MIN(AA$7+4,$K53))=0,0,IF($H53="","EXT",SUMIFS(Calendar!$C$16:$C$141,Calendar!$A$16:$A$141,"&gt;="&amp;MAX(AA$7,$J53),Calendar!$A$16:$A$141,"&lt;="&amp;MIN(AA$7+4,$K53))*$H53/$G53)))</x:f>
        <x:v>0</x:v>
      </x:c>
      <x:c r="AB53" s="45" t="n">
        <x:f>IF(OR($J53="",$K53=""),"",IF(SUMIFS(Calendar!$C$16:$C$141,Calendar!$A$16:$A$141,"&gt;="&amp;MAX(AB$7,$J53),Calendar!$A$16:$A$141,"&lt;="&amp;MIN(AB$7+4,$K53))=0,0,IF($H53="","EXT",SUMIFS(Calendar!$C$16:$C$141,Calendar!$A$16:$A$141,"&gt;="&amp;MAX(AB$7,$J53),Calendar!$A$16:$A$141,"&lt;="&amp;MIN(AB$7+4,$K53))*$H53/$G53)))</x:f>
        <x:v>0</x:v>
      </x:c>
      <x:c r="AC53" s="45" t="n">
        <x:f>IF(OR($J53="",$K53=""),"",IF(SUMIFS(Calendar!$C$16:$C$141,Calendar!$A$16:$A$141,"&gt;="&amp;MAX(AC$7,$J53),Calendar!$A$16:$A$141,"&lt;="&amp;MIN(AC$7+4,$K53))=0,0,IF($H53="","EXT",SUMIFS(Calendar!$C$16:$C$141,Calendar!$A$16:$A$141,"&gt;="&amp;MAX(AC$7,$J53),Calendar!$A$16:$A$141,"&lt;="&amp;MIN(AC$7+4,$K53))*$H53/$G53)))</x:f>
        <x:v>0</x:v>
      </x:c>
      <x:c r="AD53" s="45" t="n">
        <x:f>IF(OR($J53="",$K53=""),"",IF(SUMIFS(Calendar!$C$16:$C$141,Calendar!$A$16:$A$141,"&gt;="&amp;MAX(AD$7,$J53),Calendar!$A$16:$A$141,"&lt;="&amp;MIN(AD$7+4,$K53))=0,0,IF($H53="","EXT",SUMIFS(Calendar!$C$16:$C$141,Calendar!$A$16:$A$141,"&gt;="&amp;MAX(AD$7,$J53),Calendar!$A$16:$A$141,"&lt;="&amp;MIN(AD$7+4,$K53))*$H53/$G53)))</x:f>
        <x:v>0</x:v>
      </x:c>
      <x:c r="AE53" s="45" t="n">
        <x:f>IF(OR($J53="",$K53=""),"",IF(SUMIFS(Calendar!$C$16:$C$141,Calendar!$A$16:$A$141,"&gt;="&amp;MAX(AE$7,$J53),Calendar!$A$16:$A$141,"&lt;="&amp;MIN(AE$7+4,$K53))=0,0,IF($H53="","EXT",SUMIFS(Calendar!$C$16:$C$141,Calendar!$A$16:$A$141,"&gt;="&amp;MAX(AE$7,$J53),Calendar!$A$16:$A$141,"&lt;="&amp;MIN(AE$7+4,$K53))*$H53/$G53)))</x:f>
        <x:v>0</x:v>
      </x:c>
      <x:c r="AF53" s="8" t="n">
        <x:f>IF(OR(M53&lt;&gt;"Scheduled",INDEX('Team and Gates'!$C$7:$C$13,MATCH($D53,'Team and Gates'!$A$7:$A$13,0))=""),"CHECK",SUM(N53:AE53)*INDEX('Team and Gates'!$C$7:$C$13,MATCH($D53,'Team and Gates'!$A$7:$A$13,0)))</x:f>
        <x:v>1440</x:v>
      </x:c>
      <x:c r="AG53" s="46" t="str">
        <x:v>Typed outputs, prompts and examples pass functional replay; quality is not yet signed off.</x:v>
      </x:c>
      <x:c r="AH53" s="46" t="str">
        <x:v>Three-week feature implementation window after FSD signoff; use Codex with developer review and continuous tests.</x:v>
      </x:c>
    </x:row>
    <x:row r="54" ht="45" customHeight="1">
      <x:c r="A54" s="2" t="str">
        <x:v>S05</x:v>
      </x:c>
      <x:c r="B54" s="2" t="str">
        <x:v>Model quality</x:v>
      </x:c>
      <x:c r="C54" s="46" t="str">
        <x:v>Functional baseline: summaries and grounded reply generation</x:v>
      </x:c>
      <x:c r="D54" s="30" t="str">
        <x:v>DS</x:v>
      </x:c>
      <x:c r="E54" s="46" t="str">
        <x:v>S04</x:v>
      </x:c>
      <x:c r="F54" s="50" t="n">
        <x:v>16</x:v>
      </x:c>
      <x:c r="G54" s="50" t="n">
        <x:v>5</x:v>
      </x:c>
      <x:c r="H54" s="51" t="n">
        <x:v>4</x:v>
      </x:c>
      <x:c r="I54" s="2" t="n">
        <x:f>IF(OR(F54="",G54=""),"",F54+G54-1)</x:f>
        <x:v>20</x:v>
      </x:c>
      <x:c r="J54" s="5" t="n">
        <x:f>IF(OR(F54="",F54&lt;1,F54&gt;Calendar!$B$9),"",INDEX(Calendar!$A$16:$A$141,MATCH(F54,Calendar!$D$16:$D$141,0)))</x:f>
        <x:v>46349</x:v>
      </x:c>
      <x:c r="K54" s="5" t="n">
        <x:f>IF(OR(I54="",I54&lt;1,I54&gt;Calendar!$B$9),"",INDEX(Calendar!$A$16:$A$141,MATCH(I54,Calendar!$D$16:$D$141,0)))</x:f>
        <x:v>46353</x:v>
      </x:c>
      <x:c r="L54" s="53" t="n">
        <x:v>0</x:v>
      </x:c>
      <x:c r="M54" s="2" t="str">
        <x:f>IF(OR(F54="",G54="",H54=""),"Missing input",IF(OR(F54&lt;1,G54&lt;1,I54&gt;Calendar!$B$9),"Outside calendar",IF(F54&lt;MAX(INDEX($I$8:$I$157,MATCH("S04",$A$8:$A$157,0))+1),"Dependency conflict","Scheduled")))</x:f>
        <x:v>Scheduled</x:v>
      </x:c>
      <x:c r="N54" s="45" t="n">
        <x:f>IF(OR($J54="",$K54=""),"",IF(SUMIFS(Calendar!$C$16:$C$141,Calendar!$A$16:$A$141,"&gt;="&amp;MAX(N$7,$J54),Calendar!$A$16:$A$141,"&lt;="&amp;MIN(N$7+4,$K54))=0,0,IF($H54="","EXT",SUMIFS(Calendar!$C$16:$C$141,Calendar!$A$16:$A$141,"&gt;="&amp;MAX(N$7,$J54),Calendar!$A$16:$A$141,"&lt;="&amp;MIN(N$7+4,$K54))*$H54/$G54)))</x:f>
        <x:v>0</x:v>
      </x:c>
      <x:c r="O54" s="45" t="n">
        <x:f>IF(OR($J54="",$K54=""),"",IF(SUMIFS(Calendar!$C$16:$C$141,Calendar!$A$16:$A$141,"&gt;="&amp;MAX(O$7,$J54),Calendar!$A$16:$A$141,"&lt;="&amp;MIN(O$7+4,$K54))=0,0,IF($H54="","EXT",SUMIFS(Calendar!$C$16:$C$141,Calendar!$A$16:$A$141,"&gt;="&amp;MAX(O$7,$J54),Calendar!$A$16:$A$141,"&lt;="&amp;MIN(O$7+4,$K54))*$H54/$G54)))</x:f>
        <x:v>0</x:v>
      </x:c>
      <x:c r="P54" s="45" t="n">
        <x:f>IF(OR($J54="",$K54=""),"",IF(SUMIFS(Calendar!$C$16:$C$141,Calendar!$A$16:$A$141,"&gt;="&amp;MAX(P$7,$J54),Calendar!$A$16:$A$141,"&lt;="&amp;MIN(P$7+4,$K54))=0,0,IF($H54="","EXT",SUMIFS(Calendar!$C$16:$C$141,Calendar!$A$16:$A$141,"&gt;="&amp;MAX(P$7,$J54),Calendar!$A$16:$A$141,"&lt;="&amp;MIN(P$7+4,$K54))*$H54/$G54)))</x:f>
        <x:v>0</x:v>
      </x:c>
      <x:c r="Q54" s="45" t="n">
        <x:f>IF(OR($J54="",$K54=""),"",IF(SUMIFS(Calendar!$C$16:$C$141,Calendar!$A$16:$A$141,"&gt;="&amp;MAX(Q$7,$J54),Calendar!$A$16:$A$141,"&lt;="&amp;MIN(Q$7+4,$K54))=0,0,IF($H54="","EXT",SUMIFS(Calendar!$C$16:$C$141,Calendar!$A$16:$A$141,"&gt;="&amp;MAX(Q$7,$J54),Calendar!$A$16:$A$141,"&lt;="&amp;MIN(Q$7+4,$K54))*$H54/$G54)))</x:f>
        <x:v>4</x:v>
      </x:c>
      <x:c r="R54" s="45" t="n">
        <x:f>IF(OR($J54="",$K54=""),"",IF(SUMIFS(Calendar!$C$16:$C$141,Calendar!$A$16:$A$141,"&gt;="&amp;MAX(R$7,$J54),Calendar!$A$16:$A$141,"&lt;="&amp;MIN(R$7+4,$K54))=0,0,IF($H54="","EXT",SUMIFS(Calendar!$C$16:$C$141,Calendar!$A$16:$A$141,"&gt;="&amp;MAX(R$7,$J54),Calendar!$A$16:$A$141,"&lt;="&amp;MIN(R$7+4,$K54))*$H54/$G54)))</x:f>
        <x:v>0</x:v>
      </x:c>
      <x:c r="S54" s="45" t="n">
        <x:f>IF(OR($J54="",$K54=""),"",IF(SUMIFS(Calendar!$C$16:$C$141,Calendar!$A$16:$A$141,"&gt;="&amp;MAX(S$7,$J54),Calendar!$A$16:$A$141,"&lt;="&amp;MIN(S$7+4,$K54))=0,0,IF($H54="","EXT",SUMIFS(Calendar!$C$16:$C$141,Calendar!$A$16:$A$141,"&gt;="&amp;MAX(S$7,$J54),Calendar!$A$16:$A$141,"&lt;="&amp;MIN(S$7+4,$K54))*$H54/$G54)))</x:f>
        <x:v>0</x:v>
      </x:c>
      <x:c r="T54" s="45" t="n">
        <x:f>IF(OR($J54="",$K54=""),"",IF(SUMIFS(Calendar!$C$16:$C$141,Calendar!$A$16:$A$141,"&gt;="&amp;MAX(T$7,$J54),Calendar!$A$16:$A$141,"&lt;="&amp;MIN(T$7+4,$K54))=0,0,IF($H54="","EXT",SUMIFS(Calendar!$C$16:$C$141,Calendar!$A$16:$A$141,"&gt;="&amp;MAX(T$7,$J54),Calendar!$A$16:$A$141,"&lt;="&amp;MIN(T$7+4,$K54))*$H54/$G54)))</x:f>
        <x:v>0</x:v>
      </x:c>
      <x:c r="U54" s="45" t="n">
        <x:f>IF(OR($J54="",$K54=""),"",IF(SUMIFS(Calendar!$C$16:$C$141,Calendar!$A$16:$A$141,"&gt;="&amp;MAX(U$7,$J54),Calendar!$A$16:$A$141,"&lt;="&amp;MIN(U$7+4,$K54))=0,0,IF($H54="","EXT",SUMIFS(Calendar!$C$16:$C$141,Calendar!$A$16:$A$141,"&gt;="&amp;MAX(U$7,$J54),Calendar!$A$16:$A$141,"&lt;="&amp;MIN(U$7+4,$K54))*$H54/$G54)))</x:f>
        <x:v>0</x:v>
      </x:c>
      <x:c r="V54" s="45" t="n">
        <x:f>IF(OR($J54="",$K54=""),"",IF(SUMIFS(Calendar!$C$16:$C$141,Calendar!$A$16:$A$141,"&gt;="&amp;MAX(V$7,$J54),Calendar!$A$16:$A$141,"&lt;="&amp;MIN(V$7+4,$K54))=0,0,IF($H54="","EXT",SUMIFS(Calendar!$C$16:$C$141,Calendar!$A$16:$A$141,"&gt;="&amp;MAX(V$7,$J54),Calendar!$A$16:$A$141,"&lt;="&amp;MIN(V$7+4,$K54))*$H54/$G54)))</x:f>
        <x:v>0</x:v>
      </x:c>
      <x:c r="W54" s="45" t="n">
        <x:f>IF(OR($J54="",$K54=""),"",IF(SUMIFS(Calendar!$C$16:$C$141,Calendar!$A$16:$A$141,"&gt;="&amp;MAX(W$7,$J54),Calendar!$A$16:$A$141,"&lt;="&amp;MIN(W$7+4,$K54))=0,0,IF($H54="","EXT",SUMIFS(Calendar!$C$16:$C$141,Calendar!$A$16:$A$141,"&gt;="&amp;MAX(W$7,$J54),Calendar!$A$16:$A$141,"&lt;="&amp;MIN(W$7+4,$K54))*$H54/$G54)))</x:f>
        <x:v>0</x:v>
      </x:c>
      <x:c r="X54" s="45" t="n">
        <x:f>IF(OR($J54="",$K54=""),"",IF(SUMIFS(Calendar!$C$16:$C$141,Calendar!$A$16:$A$141,"&gt;="&amp;MAX(X$7,$J54),Calendar!$A$16:$A$141,"&lt;="&amp;MIN(X$7+4,$K54))=0,0,IF($H54="","EXT",SUMIFS(Calendar!$C$16:$C$141,Calendar!$A$16:$A$141,"&gt;="&amp;MAX(X$7,$J54),Calendar!$A$16:$A$141,"&lt;="&amp;MIN(X$7+4,$K54))*$H54/$G54)))</x:f>
        <x:v>0</x:v>
      </x:c>
      <x:c r="Y54" s="45" t="n">
        <x:f>IF(OR($J54="",$K54=""),"",IF(SUMIFS(Calendar!$C$16:$C$141,Calendar!$A$16:$A$141,"&gt;="&amp;MAX(Y$7,$J54),Calendar!$A$16:$A$141,"&lt;="&amp;MIN(Y$7+4,$K54))=0,0,IF($H54="","EXT",SUMIFS(Calendar!$C$16:$C$141,Calendar!$A$16:$A$141,"&gt;="&amp;MAX(Y$7,$J54),Calendar!$A$16:$A$141,"&lt;="&amp;MIN(Y$7+4,$K54))*$H54/$G54)))</x:f>
        <x:v>0</x:v>
      </x:c>
      <x:c r="Z54" s="45" t="n">
        <x:f>IF(OR($J54="",$K54=""),"",IF(SUMIFS(Calendar!$C$16:$C$141,Calendar!$A$16:$A$141,"&gt;="&amp;MAX(Z$7,$J54),Calendar!$A$16:$A$141,"&lt;="&amp;MIN(Z$7+4,$K54))=0,0,IF($H54="","EXT",SUMIFS(Calendar!$C$16:$C$141,Calendar!$A$16:$A$141,"&gt;="&amp;MAX(Z$7,$J54),Calendar!$A$16:$A$141,"&lt;="&amp;MIN(Z$7+4,$K54))*$H54/$G54)))</x:f>
        <x:v>0</x:v>
      </x:c>
      <x:c r="AA54" s="45" t="n">
        <x:f>IF(OR($J54="",$K54=""),"",IF(SUMIFS(Calendar!$C$16:$C$141,Calendar!$A$16:$A$141,"&gt;="&amp;MAX(AA$7,$J54),Calendar!$A$16:$A$141,"&lt;="&amp;MIN(AA$7+4,$K54))=0,0,IF($H54="","EXT",SUMIFS(Calendar!$C$16:$C$141,Calendar!$A$16:$A$141,"&gt;="&amp;MAX(AA$7,$J54),Calendar!$A$16:$A$141,"&lt;="&amp;MIN(AA$7+4,$K54))*$H54/$G54)))</x:f>
        <x:v>0</x:v>
      </x:c>
      <x:c r="AB54" s="45" t="n">
        <x:f>IF(OR($J54="",$K54=""),"",IF(SUMIFS(Calendar!$C$16:$C$141,Calendar!$A$16:$A$141,"&gt;="&amp;MAX(AB$7,$J54),Calendar!$A$16:$A$141,"&lt;="&amp;MIN(AB$7+4,$K54))=0,0,IF($H54="","EXT",SUMIFS(Calendar!$C$16:$C$141,Calendar!$A$16:$A$141,"&gt;="&amp;MAX(AB$7,$J54),Calendar!$A$16:$A$141,"&lt;="&amp;MIN(AB$7+4,$K54))*$H54/$G54)))</x:f>
        <x:v>0</x:v>
      </x:c>
      <x:c r="AC54" s="45" t="n">
        <x:f>IF(OR($J54="",$K54=""),"",IF(SUMIFS(Calendar!$C$16:$C$141,Calendar!$A$16:$A$141,"&gt;="&amp;MAX(AC$7,$J54),Calendar!$A$16:$A$141,"&lt;="&amp;MIN(AC$7+4,$K54))=0,0,IF($H54="","EXT",SUMIFS(Calendar!$C$16:$C$141,Calendar!$A$16:$A$141,"&gt;="&amp;MAX(AC$7,$J54),Calendar!$A$16:$A$141,"&lt;="&amp;MIN(AC$7+4,$K54))*$H54/$G54)))</x:f>
        <x:v>0</x:v>
      </x:c>
      <x:c r="AD54" s="45" t="n">
        <x:f>IF(OR($J54="",$K54=""),"",IF(SUMIFS(Calendar!$C$16:$C$141,Calendar!$A$16:$A$141,"&gt;="&amp;MAX(AD$7,$J54),Calendar!$A$16:$A$141,"&lt;="&amp;MIN(AD$7+4,$K54))=0,0,IF($H54="","EXT",SUMIFS(Calendar!$C$16:$C$141,Calendar!$A$16:$A$141,"&gt;="&amp;MAX(AD$7,$J54),Calendar!$A$16:$A$141,"&lt;="&amp;MIN(AD$7+4,$K54))*$H54/$G54)))</x:f>
        <x:v>0</x:v>
      </x:c>
      <x:c r="AE54" s="45" t="n">
        <x:f>IF(OR($J54="",$K54=""),"",IF(SUMIFS(Calendar!$C$16:$C$141,Calendar!$A$16:$A$141,"&gt;="&amp;MAX(AE$7,$J54),Calendar!$A$16:$A$141,"&lt;="&amp;MIN(AE$7+4,$K54))=0,0,IF($H54="","EXT",SUMIFS(Calendar!$C$16:$C$141,Calendar!$A$16:$A$141,"&gt;="&amp;MAX(AE$7,$J54),Calendar!$A$16:$A$141,"&lt;="&amp;MIN(AE$7+4,$K54))*$H54/$G54)))</x:f>
        <x:v>0</x:v>
      </x:c>
      <x:c r="AF54" s="8" t="n">
        <x:f>IF(OR(M54&lt;&gt;"Scheduled",INDEX('Team and Gates'!$C$7:$C$13,MATCH($D54,'Team and Gates'!$A$7:$A$13,0))=""),"CHECK",SUM(N54:AE54)*INDEX('Team and Gates'!$C$7:$C$13,MATCH($D54,'Team and Gates'!$A$7:$A$13,0)))</x:f>
        <x:v>1440</x:v>
      </x:c>
      <x:c r="AG54" s="46" t="str">
        <x:v>Typed outputs, prompts and examples pass functional replay; quality is not yet signed off.</x:v>
      </x:c>
      <x:c r="AH54" s="46" t="str">
        <x:v>Three-week feature implementation window after FSD signoff; use Codex with developer review and continuous tests.</x:v>
      </x:c>
    </x:row>
    <x:row r="55" ht="45" customHeight="1">
      <x:c r="A55" s="39" t="str">
        <x:v>S06</x:v>
      </x:c>
      <x:c r="B55" s="39" t="str">
        <x:v>Model quality</x:v>
      </x:c>
      <x:c r="C55" s="47" t="str">
        <x:v>Functional baseline: prompt/example-to-Playbook generation</x:v>
      </x:c>
      <x:c r="D55" s="30" t="str">
        <x:v>DS</x:v>
      </x:c>
      <x:c r="E55" s="47" t="str">
        <x:v>S05</x:v>
      </x:c>
      <x:c r="F55" s="50" t="n">
        <x:v>21</x:v>
      </x:c>
      <x:c r="G55" s="50" t="n">
        <x:v>2</x:v>
      </x:c>
      <x:c r="H55" s="51" t="n">
        <x:v>1.6</x:v>
      </x:c>
      <x:c r="I55" s="39" t="n">
        <x:f>IF(OR(F55="",G55=""),"",F55+G55-1)</x:f>
        <x:v>22</x:v>
      </x:c>
      <x:c r="J55" s="41" t="n">
        <x:f>IF(OR(F55="",F55&lt;1,F55&gt;Calendar!$B$9),"",INDEX(Calendar!$A$16:$A$141,MATCH(F55,Calendar!$D$16:$D$141,0)))</x:f>
        <x:v>46356</x:v>
      </x:c>
      <x:c r="K55" s="41" t="n">
        <x:f>IF(OR(I55="",I55&lt;1,I55&gt;Calendar!$B$9),"",INDEX(Calendar!$A$16:$A$141,MATCH(I55,Calendar!$D$16:$D$141,0)))</x:f>
        <x:v>46357</x:v>
      </x:c>
      <x:c r="L55" s="53" t="n">
        <x:v>0</x:v>
      </x:c>
      <x:c r="M55" s="39" t="str">
        <x:f>IF(OR(F55="",G55="",H55=""),"Missing input",IF(OR(F55&lt;1,G55&lt;1,I55&gt;Calendar!$B$9),"Outside calendar",IF(F55&lt;MAX(INDEX($I$8:$I$157,MATCH("S05",$A$8:$A$157,0))+1),"Dependency conflict","Scheduled")))</x:f>
        <x:v>Scheduled</x:v>
      </x:c>
      <x:c r="N55" s="45" t="n">
        <x:f>IF(OR($J55="",$K55=""),"",IF(SUMIFS(Calendar!$C$16:$C$141,Calendar!$A$16:$A$141,"&gt;="&amp;MAX(N$7,$J55),Calendar!$A$16:$A$141,"&lt;="&amp;MIN(N$7+4,$K55))=0,0,IF($H55="","EXT",SUMIFS(Calendar!$C$16:$C$141,Calendar!$A$16:$A$141,"&gt;="&amp;MAX(N$7,$J55),Calendar!$A$16:$A$141,"&lt;="&amp;MIN(N$7+4,$K55))*$H55/$G55)))</x:f>
        <x:v>0</x:v>
      </x:c>
      <x:c r="O55" s="45" t="n">
        <x:f>IF(OR($J55="",$K55=""),"",IF(SUMIFS(Calendar!$C$16:$C$141,Calendar!$A$16:$A$141,"&gt;="&amp;MAX(O$7,$J55),Calendar!$A$16:$A$141,"&lt;="&amp;MIN(O$7+4,$K55))=0,0,IF($H55="","EXT",SUMIFS(Calendar!$C$16:$C$141,Calendar!$A$16:$A$141,"&gt;="&amp;MAX(O$7,$J55),Calendar!$A$16:$A$141,"&lt;="&amp;MIN(O$7+4,$K55))*$H55/$G55)))</x:f>
        <x:v>0</x:v>
      </x:c>
      <x:c r="P55" s="45" t="n">
        <x:f>IF(OR($J55="",$K55=""),"",IF(SUMIFS(Calendar!$C$16:$C$141,Calendar!$A$16:$A$141,"&gt;="&amp;MAX(P$7,$J55),Calendar!$A$16:$A$141,"&lt;="&amp;MIN(P$7+4,$K55))=0,0,IF($H55="","EXT",SUMIFS(Calendar!$C$16:$C$141,Calendar!$A$16:$A$141,"&gt;="&amp;MAX(P$7,$J55),Calendar!$A$16:$A$141,"&lt;="&amp;MIN(P$7+4,$K55))*$H55/$G55)))</x:f>
        <x:v>0</x:v>
      </x:c>
      <x:c r="Q55" s="45" t="n">
        <x:f>IF(OR($J55="",$K55=""),"",IF(SUMIFS(Calendar!$C$16:$C$141,Calendar!$A$16:$A$141,"&gt;="&amp;MAX(Q$7,$J55),Calendar!$A$16:$A$141,"&lt;="&amp;MIN(Q$7+4,$K55))=0,0,IF($H55="","EXT",SUMIFS(Calendar!$C$16:$C$141,Calendar!$A$16:$A$141,"&gt;="&amp;MAX(Q$7,$J55),Calendar!$A$16:$A$141,"&lt;="&amp;MIN(Q$7+4,$K55))*$H55/$G55)))</x:f>
        <x:v>0</x:v>
      </x:c>
      <x:c r="R55" s="45" t="n">
        <x:f>IF(OR($J55="",$K55=""),"",IF(SUMIFS(Calendar!$C$16:$C$141,Calendar!$A$16:$A$141,"&gt;="&amp;MAX(R$7,$J55),Calendar!$A$16:$A$141,"&lt;="&amp;MIN(R$7+4,$K55))=0,0,IF($H55="","EXT",SUMIFS(Calendar!$C$16:$C$141,Calendar!$A$16:$A$141,"&gt;="&amp;MAX(R$7,$J55),Calendar!$A$16:$A$141,"&lt;="&amp;MIN(R$7+4,$K55))*$H55/$G55)))</x:f>
        <x:v>1.6</x:v>
      </x:c>
      <x:c r="S55" s="45" t="n">
        <x:f>IF(OR($J55="",$K55=""),"",IF(SUMIFS(Calendar!$C$16:$C$141,Calendar!$A$16:$A$141,"&gt;="&amp;MAX(S$7,$J55),Calendar!$A$16:$A$141,"&lt;="&amp;MIN(S$7+4,$K55))=0,0,IF($H55="","EXT",SUMIFS(Calendar!$C$16:$C$141,Calendar!$A$16:$A$141,"&gt;="&amp;MAX(S$7,$J55),Calendar!$A$16:$A$141,"&lt;="&amp;MIN(S$7+4,$K55))*$H55/$G55)))</x:f>
        <x:v>0</x:v>
      </x:c>
      <x:c r="T55" s="45" t="n">
        <x:f>IF(OR($J55="",$K55=""),"",IF(SUMIFS(Calendar!$C$16:$C$141,Calendar!$A$16:$A$141,"&gt;="&amp;MAX(T$7,$J55),Calendar!$A$16:$A$141,"&lt;="&amp;MIN(T$7+4,$K55))=0,0,IF($H55="","EXT",SUMIFS(Calendar!$C$16:$C$141,Calendar!$A$16:$A$141,"&gt;="&amp;MAX(T$7,$J55),Calendar!$A$16:$A$141,"&lt;="&amp;MIN(T$7+4,$K55))*$H55/$G55)))</x:f>
        <x:v>0</x:v>
      </x:c>
      <x:c r="U55" s="45" t="n">
        <x:f>IF(OR($J55="",$K55=""),"",IF(SUMIFS(Calendar!$C$16:$C$141,Calendar!$A$16:$A$141,"&gt;="&amp;MAX(U$7,$J55),Calendar!$A$16:$A$141,"&lt;="&amp;MIN(U$7+4,$K55))=0,0,IF($H55="","EXT",SUMIFS(Calendar!$C$16:$C$141,Calendar!$A$16:$A$141,"&gt;="&amp;MAX(U$7,$J55),Calendar!$A$16:$A$141,"&lt;="&amp;MIN(U$7+4,$K55))*$H55/$G55)))</x:f>
        <x:v>0</x:v>
      </x:c>
      <x:c r="V55" s="45" t="n">
        <x:f>IF(OR($J55="",$K55=""),"",IF(SUMIFS(Calendar!$C$16:$C$141,Calendar!$A$16:$A$141,"&gt;="&amp;MAX(V$7,$J55),Calendar!$A$16:$A$141,"&lt;="&amp;MIN(V$7+4,$K55))=0,0,IF($H55="","EXT",SUMIFS(Calendar!$C$16:$C$141,Calendar!$A$16:$A$141,"&gt;="&amp;MAX(V$7,$J55),Calendar!$A$16:$A$141,"&lt;="&amp;MIN(V$7+4,$K55))*$H55/$G55)))</x:f>
        <x:v>0</x:v>
      </x:c>
      <x:c r="W55" s="45" t="n">
        <x:f>IF(OR($J55="",$K55=""),"",IF(SUMIFS(Calendar!$C$16:$C$141,Calendar!$A$16:$A$141,"&gt;="&amp;MAX(W$7,$J55),Calendar!$A$16:$A$141,"&lt;="&amp;MIN(W$7+4,$K55))=0,0,IF($H55="","EXT",SUMIFS(Calendar!$C$16:$C$141,Calendar!$A$16:$A$141,"&gt;="&amp;MAX(W$7,$J55),Calendar!$A$16:$A$141,"&lt;="&amp;MIN(W$7+4,$K55))*$H55/$G55)))</x:f>
        <x:v>0</x:v>
      </x:c>
      <x:c r="X55" s="45" t="n">
        <x:f>IF(OR($J55="",$K55=""),"",IF(SUMIFS(Calendar!$C$16:$C$141,Calendar!$A$16:$A$141,"&gt;="&amp;MAX(X$7,$J55),Calendar!$A$16:$A$141,"&lt;="&amp;MIN(X$7+4,$K55))=0,0,IF($H55="","EXT",SUMIFS(Calendar!$C$16:$C$141,Calendar!$A$16:$A$141,"&gt;="&amp;MAX(X$7,$J55),Calendar!$A$16:$A$141,"&lt;="&amp;MIN(X$7+4,$K55))*$H55/$G55)))</x:f>
        <x:v>0</x:v>
      </x:c>
      <x:c r="Y55" s="45" t="n">
        <x:f>IF(OR($J55="",$K55=""),"",IF(SUMIFS(Calendar!$C$16:$C$141,Calendar!$A$16:$A$141,"&gt;="&amp;MAX(Y$7,$J55),Calendar!$A$16:$A$141,"&lt;="&amp;MIN(Y$7+4,$K55))=0,0,IF($H55="","EXT",SUMIFS(Calendar!$C$16:$C$141,Calendar!$A$16:$A$141,"&gt;="&amp;MAX(Y$7,$J55),Calendar!$A$16:$A$141,"&lt;="&amp;MIN(Y$7+4,$K55))*$H55/$G55)))</x:f>
        <x:v>0</x:v>
      </x:c>
      <x:c r="Z55" s="45" t="n">
        <x:f>IF(OR($J55="",$K55=""),"",IF(SUMIFS(Calendar!$C$16:$C$141,Calendar!$A$16:$A$141,"&gt;="&amp;MAX(Z$7,$J55),Calendar!$A$16:$A$141,"&lt;="&amp;MIN(Z$7+4,$K55))=0,0,IF($H55="","EXT",SUMIFS(Calendar!$C$16:$C$141,Calendar!$A$16:$A$141,"&gt;="&amp;MAX(Z$7,$J55),Calendar!$A$16:$A$141,"&lt;="&amp;MIN(Z$7+4,$K55))*$H55/$G55)))</x:f>
        <x:v>0</x:v>
      </x:c>
      <x:c r="AA55" s="45" t="n">
        <x:f>IF(OR($J55="",$K55=""),"",IF(SUMIFS(Calendar!$C$16:$C$141,Calendar!$A$16:$A$141,"&gt;="&amp;MAX(AA$7,$J55),Calendar!$A$16:$A$141,"&lt;="&amp;MIN(AA$7+4,$K55))=0,0,IF($H55="","EXT",SUMIFS(Calendar!$C$16:$C$141,Calendar!$A$16:$A$141,"&gt;="&amp;MAX(AA$7,$J55),Calendar!$A$16:$A$141,"&lt;="&amp;MIN(AA$7+4,$K55))*$H55/$G55)))</x:f>
        <x:v>0</x:v>
      </x:c>
      <x:c r="AB55" s="45" t="n">
        <x:f>IF(OR($J55="",$K55=""),"",IF(SUMIFS(Calendar!$C$16:$C$141,Calendar!$A$16:$A$141,"&gt;="&amp;MAX(AB$7,$J55),Calendar!$A$16:$A$141,"&lt;="&amp;MIN(AB$7+4,$K55))=0,0,IF($H55="","EXT",SUMIFS(Calendar!$C$16:$C$141,Calendar!$A$16:$A$141,"&gt;="&amp;MAX(AB$7,$J55),Calendar!$A$16:$A$141,"&lt;="&amp;MIN(AB$7+4,$K55))*$H55/$G55)))</x:f>
        <x:v>0</x:v>
      </x:c>
      <x:c r="AC55" s="45" t="n">
        <x:f>IF(OR($J55="",$K55=""),"",IF(SUMIFS(Calendar!$C$16:$C$141,Calendar!$A$16:$A$141,"&gt;="&amp;MAX(AC$7,$J55),Calendar!$A$16:$A$141,"&lt;="&amp;MIN(AC$7+4,$K55))=0,0,IF($H55="","EXT",SUMIFS(Calendar!$C$16:$C$141,Calendar!$A$16:$A$141,"&gt;="&amp;MAX(AC$7,$J55),Calendar!$A$16:$A$141,"&lt;="&amp;MIN(AC$7+4,$K55))*$H55/$G55)))</x:f>
        <x:v>0</x:v>
      </x:c>
      <x:c r="AD55" s="45" t="n">
        <x:f>IF(OR($J55="",$K55=""),"",IF(SUMIFS(Calendar!$C$16:$C$141,Calendar!$A$16:$A$141,"&gt;="&amp;MAX(AD$7,$J55),Calendar!$A$16:$A$141,"&lt;="&amp;MIN(AD$7+4,$K55))=0,0,IF($H55="","EXT",SUMIFS(Calendar!$C$16:$C$141,Calendar!$A$16:$A$141,"&gt;="&amp;MAX(AD$7,$J55),Calendar!$A$16:$A$141,"&lt;="&amp;MIN(AD$7+4,$K55))*$H55/$G55)))</x:f>
        <x:v>0</x:v>
      </x:c>
      <x:c r="AE55" s="45" t="n">
        <x:f>IF(OR($J55="",$K55=""),"",IF(SUMIFS(Calendar!$C$16:$C$141,Calendar!$A$16:$A$141,"&gt;="&amp;MAX(AE$7,$J55),Calendar!$A$16:$A$141,"&lt;="&amp;MIN(AE$7+4,$K55))=0,0,IF($H55="","EXT",SUMIFS(Calendar!$C$16:$C$141,Calendar!$A$16:$A$141,"&gt;="&amp;MAX(AE$7,$J55),Calendar!$A$16:$A$141,"&lt;="&amp;MIN(AE$7+4,$K55))*$H55/$G55)))</x:f>
        <x:v>0</x:v>
      </x:c>
      <x:c r="AF55" s="8" t="n">
        <x:f>IF(OR(M55&lt;&gt;"Scheduled",INDEX('Team and Gates'!$C$7:$C$13,MATCH($D55,'Team and Gates'!$A$7:$A$13,0))=""),"CHECK",SUM(N55:AE55)*INDEX('Team and Gates'!$C$7:$C$13,MATCH($D55,'Team and Gates'!$A$7:$A$13,0)))</x:f>
        <x:v>576</x:v>
      </x:c>
      <x:c r="AG55" s="46" t="str">
        <x:v>Typed outputs, prompts and examples pass functional replay; quality is not yet signed off.</x:v>
      </x:c>
      <x:c r="AH55" s="46" t="str">
        <x:v>Three-week feature implementation window after FSD signoff; use Codex with developer review and continuous tests.</x:v>
      </x:c>
    </x:row>
    <x:row r="56" ht="45" customHeight="1">
      <x:c r="A56" s="2" t="str">
        <x:v>S07</x:v>
      </x:c>
      <x:c r="B56" s="2" t="str">
        <x:v>Model quality</x:v>
      </x:c>
      <x:c r="C56" s="46" t="str">
        <x:v>Integrated AI baseline, adverse examples and tuning backlog</x:v>
      </x:c>
      <x:c r="D56" s="30" t="str">
        <x:v>DS</x:v>
      </x:c>
      <x:c r="E56" s="46" t="str">
        <x:v>S06</x:v>
      </x:c>
      <x:c r="F56" s="50" t="n">
        <x:v>23</x:v>
      </x:c>
      <x:c r="G56" s="50" t="n">
        <x:v>3</x:v>
      </x:c>
      <x:c r="H56" s="51" t="n">
        <x:v>2.4</x:v>
      </x:c>
      <x:c r="I56" s="2" t="n">
        <x:f>IF(OR(F56="",G56=""),"",F56+G56-1)</x:f>
        <x:v>25</x:v>
      </x:c>
      <x:c r="J56" s="5" t="n">
        <x:f>IF(OR(F56="",F56&lt;1,F56&gt;Calendar!$B$9),"",INDEX(Calendar!$A$16:$A$141,MATCH(F56,Calendar!$D$16:$D$141,0)))</x:f>
        <x:v>46358</x:v>
      </x:c>
      <x:c r="K56" s="5" t="n">
        <x:f>IF(OR(I56="",I56&lt;1,I56&gt;Calendar!$B$9),"",INDEX(Calendar!$A$16:$A$141,MATCH(I56,Calendar!$D$16:$D$141,0)))</x:f>
        <x:v>46360</x:v>
      </x:c>
      <x:c r="L56" s="53" t="n">
        <x:v>0</x:v>
      </x:c>
      <x:c r="M56" s="2" t="str">
        <x:f>IF(OR(F56="",G56="",H56=""),"Missing input",IF(OR(F56&lt;1,G56&lt;1,I56&gt;Calendar!$B$9),"Outside calendar",IF(F56&lt;MAX(INDEX($I$8:$I$157,MATCH("S06",$A$8:$A$157,0))+1),"Dependency conflict","Scheduled")))</x:f>
        <x:v>Scheduled</x:v>
      </x:c>
      <x:c r="N56" s="45" t="n">
        <x:f>IF(OR($J56="",$K56=""),"",IF(SUMIFS(Calendar!$C$16:$C$141,Calendar!$A$16:$A$141,"&gt;="&amp;MAX(N$7,$J56),Calendar!$A$16:$A$141,"&lt;="&amp;MIN(N$7+4,$K56))=0,0,IF($H56="","EXT",SUMIFS(Calendar!$C$16:$C$141,Calendar!$A$16:$A$141,"&gt;="&amp;MAX(N$7,$J56),Calendar!$A$16:$A$141,"&lt;="&amp;MIN(N$7+4,$K56))*$H56/$G56)))</x:f>
        <x:v>0</x:v>
      </x:c>
      <x:c r="O56" s="45" t="n">
        <x:f>IF(OR($J56="",$K56=""),"",IF(SUMIFS(Calendar!$C$16:$C$141,Calendar!$A$16:$A$141,"&gt;="&amp;MAX(O$7,$J56),Calendar!$A$16:$A$141,"&lt;="&amp;MIN(O$7+4,$K56))=0,0,IF($H56="","EXT",SUMIFS(Calendar!$C$16:$C$141,Calendar!$A$16:$A$141,"&gt;="&amp;MAX(O$7,$J56),Calendar!$A$16:$A$141,"&lt;="&amp;MIN(O$7+4,$K56))*$H56/$G56)))</x:f>
        <x:v>0</x:v>
      </x:c>
      <x:c r="P56" s="45" t="n">
        <x:f>IF(OR($J56="",$K56=""),"",IF(SUMIFS(Calendar!$C$16:$C$141,Calendar!$A$16:$A$141,"&gt;="&amp;MAX(P$7,$J56),Calendar!$A$16:$A$141,"&lt;="&amp;MIN(P$7+4,$K56))=0,0,IF($H56="","EXT",SUMIFS(Calendar!$C$16:$C$141,Calendar!$A$16:$A$141,"&gt;="&amp;MAX(P$7,$J56),Calendar!$A$16:$A$141,"&lt;="&amp;MIN(P$7+4,$K56))*$H56/$G56)))</x:f>
        <x:v>0</x:v>
      </x:c>
      <x:c r="Q56" s="45" t="n">
        <x:f>IF(OR($J56="",$K56=""),"",IF(SUMIFS(Calendar!$C$16:$C$141,Calendar!$A$16:$A$141,"&gt;="&amp;MAX(Q$7,$J56),Calendar!$A$16:$A$141,"&lt;="&amp;MIN(Q$7+4,$K56))=0,0,IF($H56="","EXT",SUMIFS(Calendar!$C$16:$C$141,Calendar!$A$16:$A$141,"&gt;="&amp;MAX(Q$7,$J56),Calendar!$A$16:$A$141,"&lt;="&amp;MIN(Q$7+4,$K56))*$H56/$G56)))</x:f>
        <x:v>0</x:v>
      </x:c>
      <x:c r="R56" s="45" t="n">
        <x:f>IF(OR($J56="",$K56=""),"",IF(SUMIFS(Calendar!$C$16:$C$141,Calendar!$A$16:$A$141,"&gt;="&amp;MAX(R$7,$J56),Calendar!$A$16:$A$141,"&lt;="&amp;MIN(R$7+4,$K56))=0,0,IF($H56="","EXT",SUMIFS(Calendar!$C$16:$C$141,Calendar!$A$16:$A$141,"&gt;="&amp;MAX(R$7,$J56),Calendar!$A$16:$A$141,"&lt;="&amp;MIN(R$7+4,$K56))*$H56/$G56)))</x:f>
        <x:v>2.4</x:v>
      </x:c>
      <x:c r="S56" s="45" t="n">
        <x:f>IF(OR($J56="",$K56=""),"",IF(SUMIFS(Calendar!$C$16:$C$141,Calendar!$A$16:$A$141,"&gt;="&amp;MAX(S$7,$J56),Calendar!$A$16:$A$141,"&lt;="&amp;MIN(S$7+4,$K56))=0,0,IF($H56="","EXT",SUMIFS(Calendar!$C$16:$C$141,Calendar!$A$16:$A$141,"&gt;="&amp;MAX(S$7,$J56),Calendar!$A$16:$A$141,"&lt;="&amp;MIN(S$7+4,$K56))*$H56/$G56)))</x:f>
        <x:v>0</x:v>
      </x:c>
      <x:c r="T56" s="45" t="n">
        <x:f>IF(OR($J56="",$K56=""),"",IF(SUMIFS(Calendar!$C$16:$C$141,Calendar!$A$16:$A$141,"&gt;="&amp;MAX(T$7,$J56),Calendar!$A$16:$A$141,"&lt;="&amp;MIN(T$7+4,$K56))=0,0,IF($H56="","EXT",SUMIFS(Calendar!$C$16:$C$141,Calendar!$A$16:$A$141,"&gt;="&amp;MAX(T$7,$J56),Calendar!$A$16:$A$141,"&lt;="&amp;MIN(T$7+4,$K56))*$H56/$G56)))</x:f>
        <x:v>0</x:v>
      </x:c>
      <x:c r="U56" s="45" t="n">
        <x:f>IF(OR($J56="",$K56=""),"",IF(SUMIFS(Calendar!$C$16:$C$141,Calendar!$A$16:$A$141,"&gt;="&amp;MAX(U$7,$J56),Calendar!$A$16:$A$141,"&lt;="&amp;MIN(U$7+4,$K56))=0,0,IF($H56="","EXT",SUMIFS(Calendar!$C$16:$C$141,Calendar!$A$16:$A$141,"&gt;="&amp;MAX(U$7,$J56),Calendar!$A$16:$A$141,"&lt;="&amp;MIN(U$7+4,$K56))*$H56/$G56)))</x:f>
        <x:v>0</x:v>
      </x:c>
      <x:c r="V56" s="45" t="n">
        <x:f>IF(OR($J56="",$K56=""),"",IF(SUMIFS(Calendar!$C$16:$C$141,Calendar!$A$16:$A$141,"&gt;="&amp;MAX(V$7,$J56),Calendar!$A$16:$A$141,"&lt;="&amp;MIN(V$7+4,$K56))=0,0,IF($H56="","EXT",SUMIFS(Calendar!$C$16:$C$141,Calendar!$A$16:$A$141,"&gt;="&amp;MAX(V$7,$J56),Calendar!$A$16:$A$141,"&lt;="&amp;MIN(V$7+4,$K56))*$H56/$G56)))</x:f>
        <x:v>0</x:v>
      </x:c>
      <x:c r="W56" s="45" t="n">
        <x:f>IF(OR($J56="",$K56=""),"",IF(SUMIFS(Calendar!$C$16:$C$141,Calendar!$A$16:$A$141,"&gt;="&amp;MAX(W$7,$J56),Calendar!$A$16:$A$141,"&lt;="&amp;MIN(W$7+4,$K56))=0,0,IF($H56="","EXT",SUMIFS(Calendar!$C$16:$C$141,Calendar!$A$16:$A$141,"&gt;="&amp;MAX(W$7,$J56),Calendar!$A$16:$A$141,"&lt;="&amp;MIN(W$7+4,$K56))*$H56/$G56)))</x:f>
        <x:v>0</x:v>
      </x:c>
      <x:c r="X56" s="45" t="n">
        <x:f>IF(OR($J56="",$K56=""),"",IF(SUMIFS(Calendar!$C$16:$C$141,Calendar!$A$16:$A$141,"&gt;="&amp;MAX(X$7,$J56),Calendar!$A$16:$A$141,"&lt;="&amp;MIN(X$7+4,$K56))=0,0,IF($H56="","EXT",SUMIFS(Calendar!$C$16:$C$141,Calendar!$A$16:$A$141,"&gt;="&amp;MAX(X$7,$J56),Calendar!$A$16:$A$141,"&lt;="&amp;MIN(X$7+4,$K56))*$H56/$G56)))</x:f>
        <x:v>0</x:v>
      </x:c>
      <x:c r="Y56" s="45" t="n">
        <x:f>IF(OR($J56="",$K56=""),"",IF(SUMIFS(Calendar!$C$16:$C$141,Calendar!$A$16:$A$141,"&gt;="&amp;MAX(Y$7,$J56),Calendar!$A$16:$A$141,"&lt;="&amp;MIN(Y$7+4,$K56))=0,0,IF($H56="","EXT",SUMIFS(Calendar!$C$16:$C$141,Calendar!$A$16:$A$141,"&gt;="&amp;MAX(Y$7,$J56),Calendar!$A$16:$A$141,"&lt;="&amp;MIN(Y$7+4,$K56))*$H56/$G56)))</x:f>
        <x:v>0</x:v>
      </x:c>
      <x:c r="Z56" s="45" t="n">
        <x:f>IF(OR($J56="",$K56=""),"",IF(SUMIFS(Calendar!$C$16:$C$141,Calendar!$A$16:$A$141,"&gt;="&amp;MAX(Z$7,$J56),Calendar!$A$16:$A$141,"&lt;="&amp;MIN(Z$7+4,$K56))=0,0,IF($H56="","EXT",SUMIFS(Calendar!$C$16:$C$141,Calendar!$A$16:$A$141,"&gt;="&amp;MAX(Z$7,$J56),Calendar!$A$16:$A$141,"&lt;="&amp;MIN(Z$7+4,$K56))*$H56/$G56)))</x:f>
        <x:v>0</x:v>
      </x:c>
      <x:c r="AA56" s="45" t="n">
        <x:f>IF(OR($J56="",$K56=""),"",IF(SUMIFS(Calendar!$C$16:$C$141,Calendar!$A$16:$A$141,"&gt;="&amp;MAX(AA$7,$J56),Calendar!$A$16:$A$141,"&lt;="&amp;MIN(AA$7+4,$K56))=0,0,IF($H56="","EXT",SUMIFS(Calendar!$C$16:$C$141,Calendar!$A$16:$A$141,"&gt;="&amp;MAX(AA$7,$J56),Calendar!$A$16:$A$141,"&lt;="&amp;MIN(AA$7+4,$K56))*$H56/$G56)))</x:f>
        <x:v>0</x:v>
      </x:c>
      <x:c r="AB56" s="45" t="n">
        <x:f>IF(OR($J56="",$K56=""),"",IF(SUMIFS(Calendar!$C$16:$C$141,Calendar!$A$16:$A$141,"&gt;="&amp;MAX(AB$7,$J56),Calendar!$A$16:$A$141,"&lt;="&amp;MIN(AB$7+4,$K56))=0,0,IF($H56="","EXT",SUMIFS(Calendar!$C$16:$C$141,Calendar!$A$16:$A$141,"&gt;="&amp;MAX(AB$7,$J56),Calendar!$A$16:$A$141,"&lt;="&amp;MIN(AB$7+4,$K56))*$H56/$G56)))</x:f>
        <x:v>0</x:v>
      </x:c>
      <x:c r="AC56" s="45" t="n">
        <x:f>IF(OR($J56="",$K56=""),"",IF(SUMIFS(Calendar!$C$16:$C$141,Calendar!$A$16:$A$141,"&gt;="&amp;MAX(AC$7,$J56),Calendar!$A$16:$A$141,"&lt;="&amp;MIN(AC$7+4,$K56))=0,0,IF($H56="","EXT",SUMIFS(Calendar!$C$16:$C$141,Calendar!$A$16:$A$141,"&gt;="&amp;MAX(AC$7,$J56),Calendar!$A$16:$A$141,"&lt;="&amp;MIN(AC$7+4,$K56))*$H56/$G56)))</x:f>
        <x:v>0</x:v>
      </x:c>
      <x:c r="AD56" s="45" t="n">
        <x:f>IF(OR($J56="",$K56=""),"",IF(SUMIFS(Calendar!$C$16:$C$141,Calendar!$A$16:$A$141,"&gt;="&amp;MAX(AD$7,$J56),Calendar!$A$16:$A$141,"&lt;="&amp;MIN(AD$7+4,$K56))=0,0,IF($H56="","EXT",SUMIFS(Calendar!$C$16:$C$141,Calendar!$A$16:$A$141,"&gt;="&amp;MAX(AD$7,$J56),Calendar!$A$16:$A$141,"&lt;="&amp;MIN(AD$7+4,$K56))*$H56/$G56)))</x:f>
        <x:v>0</x:v>
      </x:c>
      <x:c r="AE56" s="45" t="n">
        <x:f>IF(OR($J56="",$K56=""),"",IF(SUMIFS(Calendar!$C$16:$C$141,Calendar!$A$16:$A$141,"&gt;="&amp;MAX(AE$7,$J56),Calendar!$A$16:$A$141,"&lt;="&amp;MIN(AE$7+4,$K56))=0,0,IF($H56="","EXT",SUMIFS(Calendar!$C$16:$C$141,Calendar!$A$16:$A$141,"&gt;="&amp;MAX(AE$7,$J56),Calendar!$A$16:$A$141,"&lt;="&amp;MIN(AE$7+4,$K56))*$H56/$G56)))</x:f>
        <x:v>0</x:v>
      </x:c>
      <x:c r="AF56" s="8" t="n">
        <x:f>IF(OR(M56&lt;&gt;"Scheduled",INDEX('Team and Gates'!$C$7:$C$13,MATCH($D56,'Team and Gates'!$A$7:$A$13,0))=""),"CHECK",SUM(N56:AE56)*INDEX('Team and Gates'!$C$7:$C$13,MATCH($D56,'Team and Gates'!$A$7:$A$13,0)))</x:f>
        <x:v>864</x:v>
      </x:c>
      <x:c r="AG56" s="46" t="str">
        <x:v>Typed outputs, prompts and examples pass functional replay; quality is not yet signed off.</x:v>
      </x:c>
      <x:c r="AH56" s="46" t="str">
        <x:v>Three-week feature implementation window after FSD signoff; use Codex with developer review and continuous tests.</x:v>
      </x:c>
    </x:row>
    <x:row r="57" ht="45" customHeight="1">
      <x:c r="A57" s="39" t="str">
        <x:v>S08</x:v>
      </x:c>
      <x:c r="B57" s="39" t="str">
        <x:v>Model quality</x:v>
      </x:c>
      <x:c r="C57" s="47" t="str">
        <x:v>Focused tuning: mail intent, customer resolution and Case matching</x:v>
      </x:c>
      <x:c r="D57" s="30" t="str">
        <x:v>DS</x:v>
      </x:c>
      <x:c r="E57" s="47" t="str">
        <x:v>S07</x:v>
      </x:c>
      <x:c r="F57" s="50" t="n">
        <x:v>26</x:v>
      </x:c>
      <x:c r="G57" s="50" t="n">
        <x:v>5</x:v>
      </x:c>
      <x:c r="H57" s="51" t="n">
        <x:v>4</x:v>
      </x:c>
      <x:c r="I57" s="39" t="n">
        <x:f>IF(OR(F57="",G57=""),"",F57+G57-1)</x:f>
        <x:v>30</x:v>
      </x:c>
      <x:c r="J57" s="41" t="n">
        <x:f>IF(OR(F57="",F57&lt;1,F57&gt;Calendar!$B$9),"",INDEX(Calendar!$A$16:$A$141,MATCH(F57,Calendar!$D$16:$D$141,0)))</x:f>
        <x:v>46363</x:v>
      </x:c>
      <x:c r="K57" s="41" t="n">
        <x:f>IF(OR(I57="",I57&lt;1,I57&gt;Calendar!$B$9),"",INDEX(Calendar!$A$16:$A$141,MATCH(I57,Calendar!$D$16:$D$141,0)))</x:f>
        <x:v>46367</x:v>
      </x:c>
      <x:c r="L57" s="53" t="n">
        <x:v>0</x:v>
      </x:c>
      <x:c r="M57" s="39" t="str">
        <x:f>IF(OR(F57="",G57="",H57=""),"Missing input",IF(OR(F57&lt;1,G57&lt;1,I57&gt;Calendar!$B$9),"Outside calendar",IF(F57&lt;MAX(INDEX($I$8:$I$157,MATCH("S07",$A$8:$A$157,0))+1),"Dependency conflict","Scheduled")))</x:f>
        <x:v>Scheduled</x:v>
      </x:c>
      <x:c r="N57" s="45" t="n">
        <x:f>IF(OR($J57="",$K57=""),"",IF(SUMIFS(Calendar!$C$16:$C$141,Calendar!$A$16:$A$141,"&gt;="&amp;MAX(N$7,$J57),Calendar!$A$16:$A$141,"&lt;="&amp;MIN(N$7+4,$K57))=0,0,IF($H57="","EXT",SUMIFS(Calendar!$C$16:$C$141,Calendar!$A$16:$A$141,"&gt;="&amp;MAX(N$7,$J57),Calendar!$A$16:$A$141,"&lt;="&amp;MIN(N$7+4,$K57))*$H57/$G57)))</x:f>
        <x:v>0</x:v>
      </x:c>
      <x:c r="O57" s="45" t="n">
        <x:f>IF(OR($J57="",$K57=""),"",IF(SUMIFS(Calendar!$C$16:$C$141,Calendar!$A$16:$A$141,"&gt;="&amp;MAX(O$7,$J57),Calendar!$A$16:$A$141,"&lt;="&amp;MIN(O$7+4,$K57))=0,0,IF($H57="","EXT",SUMIFS(Calendar!$C$16:$C$141,Calendar!$A$16:$A$141,"&gt;="&amp;MAX(O$7,$J57),Calendar!$A$16:$A$141,"&lt;="&amp;MIN(O$7+4,$K57))*$H57/$G57)))</x:f>
        <x:v>0</x:v>
      </x:c>
      <x:c r="P57" s="45" t="n">
        <x:f>IF(OR($J57="",$K57=""),"",IF(SUMIFS(Calendar!$C$16:$C$141,Calendar!$A$16:$A$141,"&gt;="&amp;MAX(P$7,$J57),Calendar!$A$16:$A$141,"&lt;="&amp;MIN(P$7+4,$K57))=0,0,IF($H57="","EXT",SUMIFS(Calendar!$C$16:$C$141,Calendar!$A$16:$A$141,"&gt;="&amp;MAX(P$7,$J57),Calendar!$A$16:$A$141,"&lt;="&amp;MIN(P$7+4,$K57))*$H57/$G57)))</x:f>
        <x:v>0</x:v>
      </x:c>
      <x:c r="Q57" s="45" t="n">
        <x:f>IF(OR($J57="",$K57=""),"",IF(SUMIFS(Calendar!$C$16:$C$141,Calendar!$A$16:$A$141,"&gt;="&amp;MAX(Q$7,$J57),Calendar!$A$16:$A$141,"&lt;="&amp;MIN(Q$7+4,$K57))=0,0,IF($H57="","EXT",SUMIFS(Calendar!$C$16:$C$141,Calendar!$A$16:$A$141,"&gt;="&amp;MAX(Q$7,$J57),Calendar!$A$16:$A$141,"&lt;="&amp;MIN(Q$7+4,$K57))*$H57/$G57)))</x:f>
        <x:v>0</x:v>
      </x:c>
      <x:c r="R57" s="45" t="n">
        <x:f>IF(OR($J57="",$K57=""),"",IF(SUMIFS(Calendar!$C$16:$C$141,Calendar!$A$16:$A$141,"&gt;="&amp;MAX(R$7,$J57),Calendar!$A$16:$A$141,"&lt;="&amp;MIN(R$7+4,$K57))=0,0,IF($H57="","EXT",SUMIFS(Calendar!$C$16:$C$141,Calendar!$A$16:$A$141,"&gt;="&amp;MAX(R$7,$J57),Calendar!$A$16:$A$141,"&lt;="&amp;MIN(R$7+4,$K57))*$H57/$G57)))</x:f>
        <x:v>0</x:v>
      </x:c>
      <x:c r="S57" s="45" t="n">
        <x:f>IF(OR($J57="",$K57=""),"",IF(SUMIFS(Calendar!$C$16:$C$141,Calendar!$A$16:$A$141,"&gt;="&amp;MAX(S$7,$J57),Calendar!$A$16:$A$141,"&lt;="&amp;MIN(S$7+4,$K57))=0,0,IF($H57="","EXT",SUMIFS(Calendar!$C$16:$C$141,Calendar!$A$16:$A$141,"&gt;="&amp;MAX(S$7,$J57),Calendar!$A$16:$A$141,"&lt;="&amp;MIN(S$7+4,$K57))*$H57/$G57)))</x:f>
        <x:v>4</x:v>
      </x:c>
      <x:c r="T57" s="45" t="n">
        <x:f>IF(OR($J57="",$K57=""),"",IF(SUMIFS(Calendar!$C$16:$C$141,Calendar!$A$16:$A$141,"&gt;="&amp;MAX(T$7,$J57),Calendar!$A$16:$A$141,"&lt;="&amp;MIN(T$7+4,$K57))=0,0,IF($H57="","EXT",SUMIFS(Calendar!$C$16:$C$141,Calendar!$A$16:$A$141,"&gt;="&amp;MAX(T$7,$J57),Calendar!$A$16:$A$141,"&lt;="&amp;MIN(T$7+4,$K57))*$H57/$G57)))</x:f>
        <x:v>0</x:v>
      </x:c>
      <x:c r="U57" s="45" t="n">
        <x:f>IF(OR($J57="",$K57=""),"",IF(SUMIFS(Calendar!$C$16:$C$141,Calendar!$A$16:$A$141,"&gt;="&amp;MAX(U$7,$J57),Calendar!$A$16:$A$141,"&lt;="&amp;MIN(U$7+4,$K57))=0,0,IF($H57="","EXT",SUMIFS(Calendar!$C$16:$C$141,Calendar!$A$16:$A$141,"&gt;="&amp;MAX(U$7,$J57),Calendar!$A$16:$A$141,"&lt;="&amp;MIN(U$7+4,$K57))*$H57/$G57)))</x:f>
        <x:v>0</x:v>
      </x:c>
      <x:c r="V57" s="45" t="n">
        <x:f>IF(OR($J57="",$K57=""),"",IF(SUMIFS(Calendar!$C$16:$C$141,Calendar!$A$16:$A$141,"&gt;="&amp;MAX(V$7,$J57),Calendar!$A$16:$A$141,"&lt;="&amp;MIN(V$7+4,$K57))=0,0,IF($H57="","EXT",SUMIFS(Calendar!$C$16:$C$141,Calendar!$A$16:$A$141,"&gt;="&amp;MAX(V$7,$J57),Calendar!$A$16:$A$141,"&lt;="&amp;MIN(V$7+4,$K57))*$H57/$G57)))</x:f>
        <x:v>0</x:v>
      </x:c>
      <x:c r="W57" s="45" t="n">
        <x:f>IF(OR($J57="",$K57=""),"",IF(SUMIFS(Calendar!$C$16:$C$141,Calendar!$A$16:$A$141,"&gt;="&amp;MAX(W$7,$J57),Calendar!$A$16:$A$141,"&lt;="&amp;MIN(W$7+4,$K57))=0,0,IF($H57="","EXT",SUMIFS(Calendar!$C$16:$C$141,Calendar!$A$16:$A$141,"&gt;="&amp;MAX(W$7,$J57),Calendar!$A$16:$A$141,"&lt;="&amp;MIN(W$7+4,$K57))*$H57/$G57)))</x:f>
        <x:v>0</x:v>
      </x:c>
      <x:c r="X57" s="45" t="n">
        <x:f>IF(OR($J57="",$K57=""),"",IF(SUMIFS(Calendar!$C$16:$C$141,Calendar!$A$16:$A$141,"&gt;="&amp;MAX(X$7,$J57),Calendar!$A$16:$A$141,"&lt;="&amp;MIN(X$7+4,$K57))=0,0,IF($H57="","EXT",SUMIFS(Calendar!$C$16:$C$141,Calendar!$A$16:$A$141,"&gt;="&amp;MAX(X$7,$J57),Calendar!$A$16:$A$141,"&lt;="&amp;MIN(X$7+4,$K57))*$H57/$G57)))</x:f>
        <x:v>0</x:v>
      </x:c>
      <x:c r="Y57" s="45" t="n">
        <x:f>IF(OR($J57="",$K57=""),"",IF(SUMIFS(Calendar!$C$16:$C$141,Calendar!$A$16:$A$141,"&gt;="&amp;MAX(Y$7,$J57),Calendar!$A$16:$A$141,"&lt;="&amp;MIN(Y$7+4,$K57))=0,0,IF($H57="","EXT",SUMIFS(Calendar!$C$16:$C$141,Calendar!$A$16:$A$141,"&gt;="&amp;MAX(Y$7,$J57),Calendar!$A$16:$A$141,"&lt;="&amp;MIN(Y$7+4,$K57))*$H57/$G57)))</x:f>
        <x:v>0</x:v>
      </x:c>
      <x:c r="Z57" s="45" t="n">
        <x:f>IF(OR($J57="",$K57=""),"",IF(SUMIFS(Calendar!$C$16:$C$141,Calendar!$A$16:$A$141,"&gt;="&amp;MAX(Z$7,$J57),Calendar!$A$16:$A$141,"&lt;="&amp;MIN(Z$7+4,$K57))=0,0,IF($H57="","EXT",SUMIFS(Calendar!$C$16:$C$141,Calendar!$A$16:$A$141,"&gt;="&amp;MAX(Z$7,$J57),Calendar!$A$16:$A$141,"&lt;="&amp;MIN(Z$7+4,$K57))*$H57/$G57)))</x:f>
        <x:v>0</x:v>
      </x:c>
      <x:c r="AA57" s="45" t="n">
        <x:f>IF(OR($J57="",$K57=""),"",IF(SUMIFS(Calendar!$C$16:$C$141,Calendar!$A$16:$A$141,"&gt;="&amp;MAX(AA$7,$J57),Calendar!$A$16:$A$141,"&lt;="&amp;MIN(AA$7+4,$K57))=0,0,IF($H57="","EXT",SUMIFS(Calendar!$C$16:$C$141,Calendar!$A$16:$A$141,"&gt;="&amp;MAX(AA$7,$J57),Calendar!$A$16:$A$141,"&lt;="&amp;MIN(AA$7+4,$K57))*$H57/$G57)))</x:f>
        <x:v>0</x:v>
      </x:c>
      <x:c r="AB57" s="45" t="n">
        <x:f>IF(OR($J57="",$K57=""),"",IF(SUMIFS(Calendar!$C$16:$C$141,Calendar!$A$16:$A$141,"&gt;="&amp;MAX(AB$7,$J57),Calendar!$A$16:$A$141,"&lt;="&amp;MIN(AB$7+4,$K57))=0,0,IF($H57="","EXT",SUMIFS(Calendar!$C$16:$C$141,Calendar!$A$16:$A$141,"&gt;="&amp;MAX(AB$7,$J57),Calendar!$A$16:$A$141,"&lt;="&amp;MIN(AB$7+4,$K57))*$H57/$G57)))</x:f>
        <x:v>0</x:v>
      </x:c>
      <x:c r="AC57" s="45" t="n">
        <x:f>IF(OR($J57="",$K57=""),"",IF(SUMIFS(Calendar!$C$16:$C$141,Calendar!$A$16:$A$141,"&gt;="&amp;MAX(AC$7,$J57),Calendar!$A$16:$A$141,"&lt;="&amp;MIN(AC$7+4,$K57))=0,0,IF($H57="","EXT",SUMIFS(Calendar!$C$16:$C$141,Calendar!$A$16:$A$141,"&gt;="&amp;MAX(AC$7,$J57),Calendar!$A$16:$A$141,"&lt;="&amp;MIN(AC$7+4,$K57))*$H57/$G57)))</x:f>
        <x:v>0</x:v>
      </x:c>
      <x:c r="AD57" s="45" t="n">
        <x:f>IF(OR($J57="",$K57=""),"",IF(SUMIFS(Calendar!$C$16:$C$141,Calendar!$A$16:$A$141,"&gt;="&amp;MAX(AD$7,$J57),Calendar!$A$16:$A$141,"&lt;="&amp;MIN(AD$7+4,$K57))=0,0,IF($H57="","EXT",SUMIFS(Calendar!$C$16:$C$141,Calendar!$A$16:$A$141,"&gt;="&amp;MAX(AD$7,$J57),Calendar!$A$16:$A$141,"&lt;="&amp;MIN(AD$7+4,$K57))*$H57/$G57)))</x:f>
        <x:v>0</x:v>
      </x:c>
      <x:c r="AE57" s="45" t="n">
        <x:f>IF(OR($J57="",$K57=""),"",IF(SUMIFS(Calendar!$C$16:$C$141,Calendar!$A$16:$A$141,"&gt;="&amp;MAX(AE$7,$J57),Calendar!$A$16:$A$141,"&lt;="&amp;MIN(AE$7+4,$K57))=0,0,IF($H57="","EXT",SUMIFS(Calendar!$C$16:$C$141,Calendar!$A$16:$A$141,"&gt;="&amp;MAX(AE$7,$J57),Calendar!$A$16:$A$141,"&lt;="&amp;MIN(AE$7+4,$K57))*$H57/$G57)))</x:f>
        <x:v>0</x:v>
      </x:c>
      <x:c r="AF57" s="8" t="n">
        <x:f>IF(OR(M57&lt;&gt;"Scheduled",INDEX('Team and Gates'!$C$7:$C$13,MATCH($D57,'Team and Gates'!$A$7:$A$13,0))=""),"CHECK",SUM(N57:AE57)*INDEX('Team and Gates'!$C$7:$C$13,MATCH($D57,'Team and Gates'!$A$7:$A$13,0)))</x:f>
        <x:v>1440</x:v>
      </x:c>
      <x:c r="AG57" s="46" t="str">
        <x:v>Versioned tuning/dev replay reports error classes, intent accuracy, draft acceptance and valid Playbook replay.</x:v>
      </x:c>
      <x:c r="AH57" s="46" t="str">
        <x:v>Protect extended SIT, tuning and post-holiday UAT time. If quality gates slip, reduce scope or replan; do not assume more AI coding fixes quality.</x:v>
      </x:c>
    </x:row>
    <x:row r="58" ht="45" customHeight="1">
      <x:c r="A58" s="2" t="str">
        <x:v>S09</x:v>
      </x:c>
      <x:c r="B58" s="2" t="str">
        <x:v>Model quality</x:v>
      </x:c>
      <x:c r="C58" s="46" t="str">
        <x:v>Focused tuning: draft-mail facts, recipients, tone and usefulness</x:v>
      </x:c>
      <x:c r="D58" s="30" t="str">
        <x:v>DS</x:v>
      </x:c>
      <x:c r="E58" s="46" t="str">
        <x:v>S08</x:v>
      </x:c>
      <x:c r="F58" s="50" t="n">
        <x:v>31</x:v>
      </x:c>
      <x:c r="G58" s="50" t="n">
        <x:v>5</x:v>
      </x:c>
      <x:c r="H58" s="51" t="n">
        <x:v>4</x:v>
      </x:c>
      <x:c r="I58" s="2" t="n">
        <x:f>IF(OR(F58="",G58=""),"",F58+G58-1)</x:f>
        <x:v>35</x:v>
      </x:c>
      <x:c r="J58" s="5" t="n">
        <x:f>IF(OR(F58="",F58&lt;1,F58&gt;Calendar!$B$9),"",INDEX(Calendar!$A$16:$A$141,MATCH(F58,Calendar!$D$16:$D$141,0)))</x:f>
        <x:v>46370</x:v>
      </x:c>
      <x:c r="K58" s="5" t="n">
        <x:f>IF(OR(I58="",I58&lt;1,I58&gt;Calendar!$B$9),"",INDEX(Calendar!$A$16:$A$141,MATCH(I58,Calendar!$D$16:$D$141,0)))</x:f>
        <x:v>46374</x:v>
      </x:c>
      <x:c r="L58" s="53" t="n">
        <x:v>0</x:v>
      </x:c>
      <x:c r="M58" s="2" t="str">
        <x:f>IF(OR(F58="",G58="",H58=""),"Missing input",IF(OR(F58&lt;1,G58&lt;1,I58&gt;Calendar!$B$9),"Outside calendar",IF(F58&lt;MAX(INDEX($I$8:$I$157,MATCH("S08",$A$8:$A$157,0))+1),"Dependency conflict","Scheduled")))</x:f>
        <x:v>Scheduled</x:v>
      </x:c>
      <x:c r="N58" s="45" t="n">
        <x:f>IF(OR($J58="",$K58=""),"",IF(SUMIFS(Calendar!$C$16:$C$141,Calendar!$A$16:$A$141,"&gt;="&amp;MAX(N$7,$J58),Calendar!$A$16:$A$141,"&lt;="&amp;MIN(N$7+4,$K58))=0,0,IF($H58="","EXT",SUMIFS(Calendar!$C$16:$C$141,Calendar!$A$16:$A$141,"&gt;="&amp;MAX(N$7,$J58),Calendar!$A$16:$A$141,"&lt;="&amp;MIN(N$7+4,$K58))*$H58/$G58)))</x:f>
        <x:v>0</x:v>
      </x:c>
      <x:c r="O58" s="45" t="n">
        <x:f>IF(OR($J58="",$K58=""),"",IF(SUMIFS(Calendar!$C$16:$C$141,Calendar!$A$16:$A$141,"&gt;="&amp;MAX(O$7,$J58),Calendar!$A$16:$A$141,"&lt;="&amp;MIN(O$7+4,$K58))=0,0,IF($H58="","EXT",SUMIFS(Calendar!$C$16:$C$141,Calendar!$A$16:$A$141,"&gt;="&amp;MAX(O$7,$J58),Calendar!$A$16:$A$141,"&lt;="&amp;MIN(O$7+4,$K58))*$H58/$G58)))</x:f>
        <x:v>0</x:v>
      </x:c>
      <x:c r="P58" s="45" t="n">
        <x:f>IF(OR($J58="",$K58=""),"",IF(SUMIFS(Calendar!$C$16:$C$141,Calendar!$A$16:$A$141,"&gt;="&amp;MAX(P$7,$J58),Calendar!$A$16:$A$141,"&lt;="&amp;MIN(P$7+4,$K58))=0,0,IF($H58="","EXT",SUMIFS(Calendar!$C$16:$C$141,Calendar!$A$16:$A$141,"&gt;="&amp;MAX(P$7,$J58),Calendar!$A$16:$A$141,"&lt;="&amp;MIN(P$7+4,$K58))*$H58/$G58)))</x:f>
        <x:v>0</x:v>
      </x:c>
      <x:c r="Q58" s="45" t="n">
        <x:f>IF(OR($J58="",$K58=""),"",IF(SUMIFS(Calendar!$C$16:$C$141,Calendar!$A$16:$A$141,"&gt;="&amp;MAX(Q$7,$J58),Calendar!$A$16:$A$141,"&lt;="&amp;MIN(Q$7+4,$K58))=0,0,IF($H58="","EXT",SUMIFS(Calendar!$C$16:$C$141,Calendar!$A$16:$A$141,"&gt;="&amp;MAX(Q$7,$J58),Calendar!$A$16:$A$141,"&lt;="&amp;MIN(Q$7+4,$K58))*$H58/$G58)))</x:f>
        <x:v>0</x:v>
      </x:c>
      <x:c r="R58" s="45" t="n">
        <x:f>IF(OR($J58="",$K58=""),"",IF(SUMIFS(Calendar!$C$16:$C$141,Calendar!$A$16:$A$141,"&gt;="&amp;MAX(R$7,$J58),Calendar!$A$16:$A$141,"&lt;="&amp;MIN(R$7+4,$K58))=0,0,IF($H58="","EXT",SUMIFS(Calendar!$C$16:$C$141,Calendar!$A$16:$A$141,"&gt;="&amp;MAX(R$7,$J58),Calendar!$A$16:$A$141,"&lt;="&amp;MIN(R$7+4,$K58))*$H58/$G58)))</x:f>
        <x:v>0</x:v>
      </x:c>
      <x:c r="S58" s="45" t="n">
        <x:f>IF(OR($J58="",$K58=""),"",IF(SUMIFS(Calendar!$C$16:$C$141,Calendar!$A$16:$A$141,"&gt;="&amp;MAX(S$7,$J58),Calendar!$A$16:$A$141,"&lt;="&amp;MIN(S$7+4,$K58))=0,0,IF($H58="","EXT",SUMIFS(Calendar!$C$16:$C$141,Calendar!$A$16:$A$141,"&gt;="&amp;MAX(S$7,$J58),Calendar!$A$16:$A$141,"&lt;="&amp;MIN(S$7+4,$K58))*$H58/$G58)))</x:f>
        <x:v>0</x:v>
      </x:c>
      <x:c r="T58" s="45" t="n">
        <x:f>IF(OR($J58="",$K58=""),"",IF(SUMIFS(Calendar!$C$16:$C$141,Calendar!$A$16:$A$141,"&gt;="&amp;MAX(T$7,$J58),Calendar!$A$16:$A$141,"&lt;="&amp;MIN(T$7+4,$K58))=0,0,IF($H58="","EXT",SUMIFS(Calendar!$C$16:$C$141,Calendar!$A$16:$A$141,"&gt;="&amp;MAX(T$7,$J58),Calendar!$A$16:$A$141,"&lt;="&amp;MIN(T$7+4,$K58))*$H58/$G58)))</x:f>
        <x:v>4</x:v>
      </x:c>
      <x:c r="U58" s="45" t="n">
        <x:f>IF(OR($J58="",$K58=""),"",IF(SUMIFS(Calendar!$C$16:$C$141,Calendar!$A$16:$A$141,"&gt;="&amp;MAX(U$7,$J58),Calendar!$A$16:$A$141,"&lt;="&amp;MIN(U$7+4,$K58))=0,0,IF($H58="","EXT",SUMIFS(Calendar!$C$16:$C$141,Calendar!$A$16:$A$141,"&gt;="&amp;MAX(U$7,$J58),Calendar!$A$16:$A$141,"&lt;="&amp;MIN(U$7+4,$K58))*$H58/$G58)))</x:f>
        <x:v>0</x:v>
      </x:c>
      <x:c r="V58" s="45" t="n">
        <x:f>IF(OR($J58="",$K58=""),"",IF(SUMIFS(Calendar!$C$16:$C$141,Calendar!$A$16:$A$141,"&gt;="&amp;MAX(V$7,$J58),Calendar!$A$16:$A$141,"&lt;="&amp;MIN(V$7+4,$K58))=0,0,IF($H58="","EXT",SUMIFS(Calendar!$C$16:$C$141,Calendar!$A$16:$A$141,"&gt;="&amp;MAX(V$7,$J58),Calendar!$A$16:$A$141,"&lt;="&amp;MIN(V$7+4,$K58))*$H58/$G58)))</x:f>
        <x:v>0</x:v>
      </x:c>
      <x:c r="W58" s="45" t="n">
        <x:f>IF(OR($J58="",$K58=""),"",IF(SUMIFS(Calendar!$C$16:$C$141,Calendar!$A$16:$A$141,"&gt;="&amp;MAX(W$7,$J58),Calendar!$A$16:$A$141,"&lt;="&amp;MIN(W$7+4,$K58))=0,0,IF($H58="","EXT",SUMIFS(Calendar!$C$16:$C$141,Calendar!$A$16:$A$141,"&gt;="&amp;MAX(W$7,$J58),Calendar!$A$16:$A$141,"&lt;="&amp;MIN(W$7+4,$K58))*$H58/$G58)))</x:f>
        <x:v>0</x:v>
      </x:c>
      <x:c r="X58" s="45" t="n">
        <x:f>IF(OR($J58="",$K58=""),"",IF(SUMIFS(Calendar!$C$16:$C$141,Calendar!$A$16:$A$141,"&gt;="&amp;MAX(X$7,$J58),Calendar!$A$16:$A$141,"&lt;="&amp;MIN(X$7+4,$K58))=0,0,IF($H58="","EXT",SUMIFS(Calendar!$C$16:$C$141,Calendar!$A$16:$A$141,"&gt;="&amp;MAX(X$7,$J58),Calendar!$A$16:$A$141,"&lt;="&amp;MIN(X$7+4,$K58))*$H58/$G58)))</x:f>
        <x:v>0</x:v>
      </x:c>
      <x:c r="Y58" s="45" t="n">
        <x:f>IF(OR($J58="",$K58=""),"",IF(SUMIFS(Calendar!$C$16:$C$141,Calendar!$A$16:$A$141,"&gt;="&amp;MAX(Y$7,$J58),Calendar!$A$16:$A$141,"&lt;="&amp;MIN(Y$7+4,$K58))=0,0,IF($H58="","EXT",SUMIFS(Calendar!$C$16:$C$141,Calendar!$A$16:$A$141,"&gt;="&amp;MAX(Y$7,$J58),Calendar!$A$16:$A$141,"&lt;="&amp;MIN(Y$7+4,$K58))*$H58/$G58)))</x:f>
        <x:v>0</x:v>
      </x:c>
      <x:c r="Z58" s="45" t="n">
        <x:f>IF(OR($J58="",$K58=""),"",IF(SUMIFS(Calendar!$C$16:$C$141,Calendar!$A$16:$A$141,"&gt;="&amp;MAX(Z$7,$J58),Calendar!$A$16:$A$141,"&lt;="&amp;MIN(Z$7+4,$K58))=0,0,IF($H58="","EXT",SUMIFS(Calendar!$C$16:$C$141,Calendar!$A$16:$A$141,"&gt;="&amp;MAX(Z$7,$J58),Calendar!$A$16:$A$141,"&lt;="&amp;MIN(Z$7+4,$K58))*$H58/$G58)))</x:f>
        <x:v>0</x:v>
      </x:c>
      <x:c r="AA58" s="45" t="n">
        <x:f>IF(OR($J58="",$K58=""),"",IF(SUMIFS(Calendar!$C$16:$C$141,Calendar!$A$16:$A$141,"&gt;="&amp;MAX(AA$7,$J58),Calendar!$A$16:$A$141,"&lt;="&amp;MIN(AA$7+4,$K58))=0,0,IF($H58="","EXT",SUMIFS(Calendar!$C$16:$C$141,Calendar!$A$16:$A$141,"&gt;="&amp;MAX(AA$7,$J58),Calendar!$A$16:$A$141,"&lt;="&amp;MIN(AA$7+4,$K58))*$H58/$G58)))</x:f>
        <x:v>0</x:v>
      </x:c>
      <x:c r="AB58" s="45" t="n">
        <x:f>IF(OR($J58="",$K58=""),"",IF(SUMIFS(Calendar!$C$16:$C$141,Calendar!$A$16:$A$141,"&gt;="&amp;MAX(AB$7,$J58),Calendar!$A$16:$A$141,"&lt;="&amp;MIN(AB$7+4,$K58))=0,0,IF($H58="","EXT",SUMIFS(Calendar!$C$16:$C$141,Calendar!$A$16:$A$141,"&gt;="&amp;MAX(AB$7,$J58),Calendar!$A$16:$A$141,"&lt;="&amp;MIN(AB$7+4,$K58))*$H58/$G58)))</x:f>
        <x:v>0</x:v>
      </x:c>
      <x:c r="AC58" s="45" t="n">
        <x:f>IF(OR($J58="",$K58=""),"",IF(SUMIFS(Calendar!$C$16:$C$141,Calendar!$A$16:$A$141,"&gt;="&amp;MAX(AC$7,$J58),Calendar!$A$16:$A$141,"&lt;="&amp;MIN(AC$7+4,$K58))=0,0,IF($H58="","EXT",SUMIFS(Calendar!$C$16:$C$141,Calendar!$A$16:$A$141,"&gt;="&amp;MAX(AC$7,$J58),Calendar!$A$16:$A$141,"&lt;="&amp;MIN(AC$7+4,$K58))*$H58/$G58)))</x:f>
        <x:v>0</x:v>
      </x:c>
      <x:c r="AD58" s="45" t="n">
        <x:f>IF(OR($J58="",$K58=""),"",IF(SUMIFS(Calendar!$C$16:$C$141,Calendar!$A$16:$A$141,"&gt;="&amp;MAX(AD$7,$J58),Calendar!$A$16:$A$141,"&lt;="&amp;MIN(AD$7+4,$K58))=0,0,IF($H58="","EXT",SUMIFS(Calendar!$C$16:$C$141,Calendar!$A$16:$A$141,"&gt;="&amp;MAX(AD$7,$J58),Calendar!$A$16:$A$141,"&lt;="&amp;MIN(AD$7+4,$K58))*$H58/$G58)))</x:f>
        <x:v>0</x:v>
      </x:c>
      <x:c r="AE58" s="45" t="n">
        <x:f>IF(OR($J58="",$K58=""),"",IF(SUMIFS(Calendar!$C$16:$C$141,Calendar!$A$16:$A$141,"&gt;="&amp;MAX(AE$7,$J58),Calendar!$A$16:$A$141,"&lt;="&amp;MIN(AE$7+4,$K58))=0,0,IF($H58="","EXT",SUMIFS(Calendar!$C$16:$C$141,Calendar!$A$16:$A$141,"&gt;="&amp;MAX(AE$7,$J58),Calendar!$A$16:$A$141,"&lt;="&amp;MIN(AE$7+4,$K58))*$H58/$G58)))</x:f>
        <x:v>0</x:v>
      </x:c>
      <x:c r="AF58" s="8" t="n">
        <x:f>IF(OR(M58&lt;&gt;"Scheduled",INDEX('Team and Gates'!$C$7:$C$13,MATCH($D58,'Team and Gates'!$A$7:$A$13,0))=""),"CHECK",SUM(N58:AE58)*INDEX('Team and Gates'!$C$7:$C$13,MATCH($D58,'Team and Gates'!$A$7:$A$13,0)))</x:f>
        <x:v>1440</x:v>
      </x:c>
      <x:c r="AG58" s="46" t="str">
        <x:v>Versioned tuning/dev replay reports error classes, intent accuracy, draft acceptance and valid Playbook replay.</x:v>
      </x:c>
      <x:c r="AH58" s="46" t="str">
        <x:v>Protect extended SIT, tuning and post-holiday UAT time. If quality gates slip, reduce scope or replan; do not assume more AI coding fixes quality.</x:v>
      </x:c>
    </x:row>
    <x:row r="59" ht="45" customHeight="1">
      <x:c r="A59" s="39" t="str">
        <x:v>S10</x:v>
      </x:c>
      <x:c r="B59" s="39" t="str">
        <x:v>Model quality</x:v>
      </x:c>
      <x:c r="C59" s="47" t="str">
        <x:v>Focused tuning: Playbook rules and example replay; release QA candidate Dec 25</x:v>
      </x:c>
      <x:c r="D59" s="30" t="str">
        <x:v>DS</x:v>
      </x:c>
      <x:c r="E59" s="47" t="str">
        <x:v>S09</x:v>
      </x:c>
      <x:c r="F59" s="50" t="n">
        <x:v>36</x:v>
      </x:c>
      <x:c r="G59" s="50" t="n">
        <x:v>5</x:v>
      </x:c>
      <x:c r="H59" s="51" t="n">
        <x:v>4</x:v>
      </x:c>
      <x:c r="I59" s="39" t="n">
        <x:f>IF(OR(F59="",G59=""),"",F59+G59-1)</x:f>
        <x:v>40</x:v>
      </x:c>
      <x:c r="J59" s="41" t="n">
        <x:f>IF(OR(F59="",F59&lt;1,F59&gt;Calendar!$B$9),"",INDEX(Calendar!$A$16:$A$141,MATCH(F59,Calendar!$D$16:$D$141,0)))</x:f>
        <x:v>46377</x:v>
      </x:c>
      <x:c r="K59" s="41" t="n">
        <x:f>IF(OR(I59="",I59&lt;1,I59&gt;Calendar!$B$9),"",INDEX(Calendar!$A$16:$A$141,MATCH(I59,Calendar!$D$16:$D$141,0)))</x:f>
        <x:v>46381</x:v>
      </x:c>
      <x:c r="L59" s="53" t="n">
        <x:v>0</x:v>
      </x:c>
      <x:c r="M59" s="39" t="str">
        <x:f>IF(OR(F59="",G59="",H59=""),"Missing input",IF(OR(F59&lt;1,G59&lt;1,I59&gt;Calendar!$B$9),"Outside calendar",IF(F59&lt;MAX(INDEX($I$8:$I$157,MATCH("S09",$A$8:$A$157,0))+1),"Dependency conflict","Scheduled")))</x:f>
        <x:v>Scheduled</x:v>
      </x:c>
      <x:c r="N59" s="45" t="n">
        <x:f>IF(OR($J59="",$K59=""),"",IF(SUMIFS(Calendar!$C$16:$C$141,Calendar!$A$16:$A$141,"&gt;="&amp;MAX(N$7,$J59),Calendar!$A$16:$A$141,"&lt;="&amp;MIN(N$7+4,$K59))=0,0,IF($H59="","EXT",SUMIFS(Calendar!$C$16:$C$141,Calendar!$A$16:$A$141,"&gt;="&amp;MAX(N$7,$J59),Calendar!$A$16:$A$141,"&lt;="&amp;MIN(N$7+4,$K59))*$H59/$G59)))</x:f>
        <x:v>0</x:v>
      </x:c>
      <x:c r="O59" s="45" t="n">
        <x:f>IF(OR($J59="",$K59=""),"",IF(SUMIFS(Calendar!$C$16:$C$141,Calendar!$A$16:$A$141,"&gt;="&amp;MAX(O$7,$J59),Calendar!$A$16:$A$141,"&lt;="&amp;MIN(O$7+4,$K59))=0,0,IF($H59="","EXT",SUMIFS(Calendar!$C$16:$C$141,Calendar!$A$16:$A$141,"&gt;="&amp;MAX(O$7,$J59),Calendar!$A$16:$A$141,"&lt;="&amp;MIN(O$7+4,$K59))*$H59/$G59)))</x:f>
        <x:v>0</x:v>
      </x:c>
      <x:c r="P59" s="45" t="n">
        <x:f>IF(OR($J59="",$K59=""),"",IF(SUMIFS(Calendar!$C$16:$C$141,Calendar!$A$16:$A$141,"&gt;="&amp;MAX(P$7,$J59),Calendar!$A$16:$A$141,"&lt;="&amp;MIN(P$7+4,$K59))=0,0,IF($H59="","EXT",SUMIFS(Calendar!$C$16:$C$141,Calendar!$A$16:$A$141,"&gt;="&amp;MAX(P$7,$J59),Calendar!$A$16:$A$141,"&lt;="&amp;MIN(P$7+4,$K59))*$H59/$G59)))</x:f>
        <x:v>0</x:v>
      </x:c>
      <x:c r="Q59" s="45" t="n">
        <x:f>IF(OR($J59="",$K59=""),"",IF(SUMIFS(Calendar!$C$16:$C$141,Calendar!$A$16:$A$141,"&gt;="&amp;MAX(Q$7,$J59),Calendar!$A$16:$A$141,"&lt;="&amp;MIN(Q$7+4,$K59))=0,0,IF($H59="","EXT",SUMIFS(Calendar!$C$16:$C$141,Calendar!$A$16:$A$141,"&gt;="&amp;MAX(Q$7,$J59),Calendar!$A$16:$A$141,"&lt;="&amp;MIN(Q$7+4,$K59))*$H59/$G59)))</x:f>
        <x:v>0</x:v>
      </x:c>
      <x:c r="R59" s="45" t="n">
        <x:f>IF(OR($J59="",$K59=""),"",IF(SUMIFS(Calendar!$C$16:$C$141,Calendar!$A$16:$A$141,"&gt;="&amp;MAX(R$7,$J59),Calendar!$A$16:$A$141,"&lt;="&amp;MIN(R$7+4,$K59))=0,0,IF($H59="","EXT",SUMIFS(Calendar!$C$16:$C$141,Calendar!$A$16:$A$141,"&gt;="&amp;MAX(R$7,$J59),Calendar!$A$16:$A$141,"&lt;="&amp;MIN(R$7+4,$K59))*$H59/$G59)))</x:f>
        <x:v>0</x:v>
      </x:c>
      <x:c r="S59" s="45" t="n">
        <x:f>IF(OR($J59="",$K59=""),"",IF(SUMIFS(Calendar!$C$16:$C$141,Calendar!$A$16:$A$141,"&gt;="&amp;MAX(S$7,$J59),Calendar!$A$16:$A$141,"&lt;="&amp;MIN(S$7+4,$K59))=0,0,IF($H59="","EXT",SUMIFS(Calendar!$C$16:$C$141,Calendar!$A$16:$A$141,"&gt;="&amp;MAX(S$7,$J59),Calendar!$A$16:$A$141,"&lt;="&amp;MIN(S$7+4,$K59))*$H59/$G59)))</x:f>
        <x:v>0</x:v>
      </x:c>
      <x:c r="T59" s="45" t="n">
        <x:f>IF(OR($J59="",$K59=""),"",IF(SUMIFS(Calendar!$C$16:$C$141,Calendar!$A$16:$A$141,"&gt;="&amp;MAX(T$7,$J59),Calendar!$A$16:$A$141,"&lt;="&amp;MIN(T$7+4,$K59))=0,0,IF($H59="","EXT",SUMIFS(Calendar!$C$16:$C$141,Calendar!$A$16:$A$141,"&gt;="&amp;MAX(T$7,$J59),Calendar!$A$16:$A$141,"&lt;="&amp;MIN(T$7+4,$K59))*$H59/$G59)))</x:f>
        <x:v>0</x:v>
      </x:c>
      <x:c r="U59" s="45" t="n">
        <x:f>IF(OR($J59="",$K59=""),"",IF(SUMIFS(Calendar!$C$16:$C$141,Calendar!$A$16:$A$141,"&gt;="&amp;MAX(U$7,$J59),Calendar!$A$16:$A$141,"&lt;="&amp;MIN(U$7+4,$K59))=0,0,IF($H59="","EXT",SUMIFS(Calendar!$C$16:$C$141,Calendar!$A$16:$A$141,"&gt;="&amp;MAX(U$7,$J59),Calendar!$A$16:$A$141,"&lt;="&amp;MIN(U$7+4,$K59))*$H59/$G59)))</x:f>
        <x:v>4</x:v>
      </x:c>
      <x:c r="V59" s="45" t="n">
        <x:f>IF(OR($J59="",$K59=""),"",IF(SUMIFS(Calendar!$C$16:$C$141,Calendar!$A$16:$A$141,"&gt;="&amp;MAX(V$7,$J59),Calendar!$A$16:$A$141,"&lt;="&amp;MIN(V$7+4,$K59))=0,0,IF($H59="","EXT",SUMIFS(Calendar!$C$16:$C$141,Calendar!$A$16:$A$141,"&gt;="&amp;MAX(V$7,$J59),Calendar!$A$16:$A$141,"&lt;="&amp;MIN(V$7+4,$K59))*$H59/$G59)))</x:f>
        <x:v>0</x:v>
      </x:c>
      <x:c r="W59" s="45" t="n">
        <x:f>IF(OR($J59="",$K59=""),"",IF(SUMIFS(Calendar!$C$16:$C$141,Calendar!$A$16:$A$141,"&gt;="&amp;MAX(W$7,$J59),Calendar!$A$16:$A$141,"&lt;="&amp;MIN(W$7+4,$K59))=0,0,IF($H59="","EXT",SUMIFS(Calendar!$C$16:$C$141,Calendar!$A$16:$A$141,"&gt;="&amp;MAX(W$7,$J59),Calendar!$A$16:$A$141,"&lt;="&amp;MIN(W$7+4,$K59))*$H59/$G59)))</x:f>
        <x:v>0</x:v>
      </x:c>
      <x:c r="X59" s="45" t="n">
        <x:f>IF(OR($J59="",$K59=""),"",IF(SUMIFS(Calendar!$C$16:$C$141,Calendar!$A$16:$A$141,"&gt;="&amp;MAX(X$7,$J59),Calendar!$A$16:$A$141,"&lt;="&amp;MIN(X$7+4,$K59))=0,0,IF($H59="","EXT",SUMIFS(Calendar!$C$16:$C$141,Calendar!$A$16:$A$141,"&gt;="&amp;MAX(X$7,$J59),Calendar!$A$16:$A$141,"&lt;="&amp;MIN(X$7+4,$K59))*$H59/$G59)))</x:f>
        <x:v>0</x:v>
      </x:c>
      <x:c r="Y59" s="45" t="n">
        <x:f>IF(OR($J59="",$K59=""),"",IF(SUMIFS(Calendar!$C$16:$C$141,Calendar!$A$16:$A$141,"&gt;="&amp;MAX(Y$7,$J59),Calendar!$A$16:$A$141,"&lt;="&amp;MIN(Y$7+4,$K59))=0,0,IF($H59="","EXT",SUMIFS(Calendar!$C$16:$C$141,Calendar!$A$16:$A$141,"&gt;="&amp;MAX(Y$7,$J59),Calendar!$A$16:$A$141,"&lt;="&amp;MIN(Y$7+4,$K59))*$H59/$G59)))</x:f>
        <x:v>0</x:v>
      </x:c>
      <x:c r="Z59" s="45" t="n">
        <x:f>IF(OR($J59="",$K59=""),"",IF(SUMIFS(Calendar!$C$16:$C$141,Calendar!$A$16:$A$141,"&gt;="&amp;MAX(Z$7,$J59),Calendar!$A$16:$A$141,"&lt;="&amp;MIN(Z$7+4,$K59))=0,0,IF($H59="","EXT",SUMIFS(Calendar!$C$16:$C$141,Calendar!$A$16:$A$141,"&gt;="&amp;MAX(Z$7,$J59),Calendar!$A$16:$A$141,"&lt;="&amp;MIN(Z$7+4,$K59))*$H59/$G59)))</x:f>
        <x:v>0</x:v>
      </x:c>
      <x:c r="AA59" s="45" t="n">
        <x:f>IF(OR($J59="",$K59=""),"",IF(SUMIFS(Calendar!$C$16:$C$141,Calendar!$A$16:$A$141,"&gt;="&amp;MAX(AA$7,$J59),Calendar!$A$16:$A$141,"&lt;="&amp;MIN(AA$7+4,$K59))=0,0,IF($H59="","EXT",SUMIFS(Calendar!$C$16:$C$141,Calendar!$A$16:$A$141,"&gt;="&amp;MAX(AA$7,$J59),Calendar!$A$16:$A$141,"&lt;="&amp;MIN(AA$7+4,$K59))*$H59/$G59)))</x:f>
        <x:v>0</x:v>
      </x:c>
      <x:c r="AB59" s="45" t="n">
        <x:f>IF(OR($J59="",$K59=""),"",IF(SUMIFS(Calendar!$C$16:$C$141,Calendar!$A$16:$A$141,"&gt;="&amp;MAX(AB$7,$J59),Calendar!$A$16:$A$141,"&lt;="&amp;MIN(AB$7+4,$K59))=0,0,IF($H59="","EXT",SUMIFS(Calendar!$C$16:$C$141,Calendar!$A$16:$A$141,"&gt;="&amp;MAX(AB$7,$J59),Calendar!$A$16:$A$141,"&lt;="&amp;MIN(AB$7+4,$K59))*$H59/$G59)))</x:f>
        <x:v>0</x:v>
      </x:c>
      <x:c r="AC59" s="45" t="n">
        <x:f>IF(OR($J59="",$K59=""),"",IF(SUMIFS(Calendar!$C$16:$C$141,Calendar!$A$16:$A$141,"&gt;="&amp;MAX(AC$7,$J59),Calendar!$A$16:$A$141,"&lt;="&amp;MIN(AC$7+4,$K59))=0,0,IF($H59="","EXT",SUMIFS(Calendar!$C$16:$C$141,Calendar!$A$16:$A$141,"&gt;="&amp;MAX(AC$7,$J59),Calendar!$A$16:$A$141,"&lt;="&amp;MIN(AC$7+4,$K59))*$H59/$G59)))</x:f>
        <x:v>0</x:v>
      </x:c>
      <x:c r="AD59" s="45" t="n">
        <x:f>IF(OR($J59="",$K59=""),"",IF(SUMIFS(Calendar!$C$16:$C$141,Calendar!$A$16:$A$141,"&gt;="&amp;MAX(AD$7,$J59),Calendar!$A$16:$A$141,"&lt;="&amp;MIN(AD$7+4,$K59))=0,0,IF($H59="","EXT",SUMIFS(Calendar!$C$16:$C$141,Calendar!$A$16:$A$141,"&gt;="&amp;MAX(AD$7,$J59),Calendar!$A$16:$A$141,"&lt;="&amp;MIN(AD$7+4,$K59))*$H59/$G59)))</x:f>
        <x:v>0</x:v>
      </x:c>
      <x:c r="AE59" s="45" t="n">
        <x:f>IF(OR($J59="",$K59=""),"",IF(SUMIFS(Calendar!$C$16:$C$141,Calendar!$A$16:$A$141,"&gt;="&amp;MAX(AE$7,$J59),Calendar!$A$16:$A$141,"&lt;="&amp;MIN(AE$7+4,$K59))=0,0,IF($H59="","EXT",SUMIFS(Calendar!$C$16:$C$141,Calendar!$A$16:$A$141,"&gt;="&amp;MAX(AE$7,$J59),Calendar!$A$16:$A$141,"&lt;="&amp;MIN(AE$7+4,$K59))*$H59/$G59)))</x:f>
        <x:v>0</x:v>
      </x:c>
      <x:c r="AF59" s="8" t="n">
        <x:f>IF(OR(M59&lt;&gt;"Scheduled",INDEX('Team and Gates'!$C$7:$C$13,MATCH($D59,'Team and Gates'!$A$7:$A$13,0))=""),"CHECK",SUM(N59:AE59)*INDEX('Team and Gates'!$C$7:$C$13,MATCH($D59,'Team and Gates'!$A$7:$A$13,0)))</x:f>
        <x:v>1440</x:v>
      </x:c>
      <x:c r="AG59" s="46" t="str">
        <x:v>Versioned tuning/dev replay reports error classes, intent accuracy, draft acceptance and valid Playbook replay.</x:v>
      </x:c>
      <x:c r="AH59" s="46" t="str">
        <x:v>Protect extended SIT, tuning and post-holiday UAT time. If quality gates slip, reduce scope or replan; do not assume more AI coding fixes quality.</x:v>
      </x:c>
    </x:row>
    <x:row r="60" ht="45" customHeight="1">
      <x:c r="A60" s="2" t="str">
        <x:v>S11</x:v>
      </x:c>
      <x:c r="B60" s="2" t="str">
        <x:v>Model quality</x:v>
      </x:c>
      <x:c r="C60" s="46" t="str">
        <x:v>Analyze QA validation failures and tune on development data</x:v>
      </x:c>
      <x:c r="D60" s="30" t="str">
        <x:v>DS</x:v>
      </x:c>
      <x:c r="E60" s="46" t="str">
        <x:v>S10, U10</x:v>
      </x:c>
      <x:c r="F60" s="50" t="n">
        <x:v>41</x:v>
      </x:c>
      <x:c r="G60" s="50" t="n">
        <x:v>5</x:v>
      </x:c>
      <x:c r="H60" s="51" t="n">
        <x:v>4</x:v>
      </x:c>
      <x:c r="I60" s="2" t="n">
        <x:f>IF(OR(F60="",G60=""),"",F60+G60-1)</x:f>
        <x:v>45</x:v>
      </x:c>
      <x:c r="J60" s="5" t="n">
        <x:f>IF(OR(F60="",F60&lt;1,F60&gt;Calendar!$B$9),"",INDEX(Calendar!$A$16:$A$141,MATCH(F60,Calendar!$D$16:$D$141,0)))</x:f>
        <x:v>46384</x:v>
      </x:c>
      <x:c r="K60" s="5" t="n">
        <x:f>IF(OR(I60="",I60&lt;1,I60&gt;Calendar!$B$9),"",INDEX(Calendar!$A$16:$A$141,MATCH(I60,Calendar!$D$16:$D$141,0)))</x:f>
        <x:v>46388</x:v>
      </x:c>
      <x:c r="L60" s="53" t="n">
        <x:v>0</x:v>
      </x:c>
      <x:c r="M60" s="2" t="str">
        <x:f>IF(OR(F60="",G60="",H60=""),"Missing input",IF(OR(F60&lt;1,G60&lt;1,I60&gt;Calendar!$B$9),"Outside calendar",IF(F60&lt;MAX(INDEX($I$8:$I$157,MATCH("S10",$A$8:$A$157,0))+1,INDEX($I$8:$I$157,MATCH("U10",$A$8:$A$157,0))+1),"Dependency conflict","Scheduled")))</x:f>
        <x:v>Scheduled</x:v>
      </x:c>
      <x:c r="N60" s="45" t="n">
        <x:f>IF(OR($J60="",$K60=""),"",IF(SUMIFS(Calendar!$C$16:$C$141,Calendar!$A$16:$A$141,"&gt;="&amp;MAX(N$7,$J60),Calendar!$A$16:$A$141,"&lt;="&amp;MIN(N$7+4,$K60))=0,0,IF($H60="","EXT",SUMIFS(Calendar!$C$16:$C$141,Calendar!$A$16:$A$141,"&gt;="&amp;MAX(N$7,$J60),Calendar!$A$16:$A$141,"&lt;="&amp;MIN(N$7+4,$K60))*$H60/$G60)))</x:f>
        <x:v>0</x:v>
      </x:c>
      <x:c r="O60" s="45" t="n">
        <x:f>IF(OR($J60="",$K60=""),"",IF(SUMIFS(Calendar!$C$16:$C$141,Calendar!$A$16:$A$141,"&gt;="&amp;MAX(O$7,$J60),Calendar!$A$16:$A$141,"&lt;="&amp;MIN(O$7+4,$K60))=0,0,IF($H60="","EXT",SUMIFS(Calendar!$C$16:$C$141,Calendar!$A$16:$A$141,"&gt;="&amp;MAX(O$7,$J60),Calendar!$A$16:$A$141,"&lt;="&amp;MIN(O$7+4,$K60))*$H60/$G60)))</x:f>
        <x:v>0</x:v>
      </x:c>
      <x:c r="P60" s="45" t="n">
        <x:f>IF(OR($J60="",$K60=""),"",IF(SUMIFS(Calendar!$C$16:$C$141,Calendar!$A$16:$A$141,"&gt;="&amp;MAX(P$7,$J60),Calendar!$A$16:$A$141,"&lt;="&amp;MIN(P$7+4,$K60))=0,0,IF($H60="","EXT",SUMIFS(Calendar!$C$16:$C$141,Calendar!$A$16:$A$141,"&gt;="&amp;MAX(P$7,$J60),Calendar!$A$16:$A$141,"&lt;="&amp;MIN(P$7+4,$K60))*$H60/$G60)))</x:f>
        <x:v>0</x:v>
      </x:c>
      <x:c r="Q60" s="45" t="n">
        <x:f>IF(OR($J60="",$K60=""),"",IF(SUMIFS(Calendar!$C$16:$C$141,Calendar!$A$16:$A$141,"&gt;="&amp;MAX(Q$7,$J60),Calendar!$A$16:$A$141,"&lt;="&amp;MIN(Q$7+4,$K60))=0,0,IF($H60="","EXT",SUMIFS(Calendar!$C$16:$C$141,Calendar!$A$16:$A$141,"&gt;="&amp;MAX(Q$7,$J60),Calendar!$A$16:$A$141,"&lt;="&amp;MIN(Q$7+4,$K60))*$H60/$G60)))</x:f>
        <x:v>0</x:v>
      </x:c>
      <x:c r="R60" s="45" t="n">
        <x:f>IF(OR($J60="",$K60=""),"",IF(SUMIFS(Calendar!$C$16:$C$141,Calendar!$A$16:$A$141,"&gt;="&amp;MAX(R$7,$J60),Calendar!$A$16:$A$141,"&lt;="&amp;MIN(R$7+4,$K60))=0,0,IF($H60="","EXT",SUMIFS(Calendar!$C$16:$C$141,Calendar!$A$16:$A$141,"&gt;="&amp;MAX(R$7,$J60),Calendar!$A$16:$A$141,"&lt;="&amp;MIN(R$7+4,$K60))*$H60/$G60)))</x:f>
        <x:v>0</x:v>
      </x:c>
      <x:c r="S60" s="45" t="n">
        <x:f>IF(OR($J60="",$K60=""),"",IF(SUMIFS(Calendar!$C$16:$C$141,Calendar!$A$16:$A$141,"&gt;="&amp;MAX(S$7,$J60),Calendar!$A$16:$A$141,"&lt;="&amp;MIN(S$7+4,$K60))=0,0,IF($H60="","EXT",SUMIFS(Calendar!$C$16:$C$141,Calendar!$A$16:$A$141,"&gt;="&amp;MAX(S$7,$J60),Calendar!$A$16:$A$141,"&lt;="&amp;MIN(S$7+4,$K60))*$H60/$G60)))</x:f>
        <x:v>0</x:v>
      </x:c>
      <x:c r="T60" s="45" t="n">
        <x:f>IF(OR($J60="",$K60=""),"",IF(SUMIFS(Calendar!$C$16:$C$141,Calendar!$A$16:$A$141,"&gt;="&amp;MAX(T$7,$J60),Calendar!$A$16:$A$141,"&lt;="&amp;MIN(T$7+4,$K60))=0,0,IF($H60="","EXT",SUMIFS(Calendar!$C$16:$C$141,Calendar!$A$16:$A$141,"&gt;="&amp;MAX(T$7,$J60),Calendar!$A$16:$A$141,"&lt;="&amp;MIN(T$7+4,$K60))*$H60/$G60)))</x:f>
        <x:v>0</x:v>
      </x:c>
      <x:c r="U60" s="45" t="n">
        <x:f>IF(OR($J60="",$K60=""),"",IF(SUMIFS(Calendar!$C$16:$C$141,Calendar!$A$16:$A$141,"&gt;="&amp;MAX(U$7,$J60),Calendar!$A$16:$A$141,"&lt;="&amp;MIN(U$7+4,$K60))=0,0,IF($H60="","EXT",SUMIFS(Calendar!$C$16:$C$141,Calendar!$A$16:$A$141,"&gt;="&amp;MAX(U$7,$J60),Calendar!$A$16:$A$141,"&lt;="&amp;MIN(U$7+4,$K60))*$H60/$G60)))</x:f>
        <x:v>0</x:v>
      </x:c>
      <x:c r="V60" s="45" t="n">
        <x:f>IF(OR($J60="",$K60=""),"",IF(SUMIFS(Calendar!$C$16:$C$141,Calendar!$A$16:$A$141,"&gt;="&amp;MAX(V$7,$J60),Calendar!$A$16:$A$141,"&lt;="&amp;MIN(V$7+4,$K60))=0,0,IF($H60="","EXT",SUMIFS(Calendar!$C$16:$C$141,Calendar!$A$16:$A$141,"&gt;="&amp;MAX(V$7,$J60),Calendar!$A$16:$A$141,"&lt;="&amp;MIN(V$7+4,$K60))*$H60/$G60)))</x:f>
        <x:v>4</x:v>
      </x:c>
      <x:c r="W60" s="45" t="n">
        <x:f>IF(OR($J60="",$K60=""),"",IF(SUMIFS(Calendar!$C$16:$C$141,Calendar!$A$16:$A$141,"&gt;="&amp;MAX(W$7,$J60),Calendar!$A$16:$A$141,"&lt;="&amp;MIN(W$7+4,$K60))=0,0,IF($H60="","EXT",SUMIFS(Calendar!$C$16:$C$141,Calendar!$A$16:$A$141,"&gt;="&amp;MAX(W$7,$J60),Calendar!$A$16:$A$141,"&lt;="&amp;MIN(W$7+4,$K60))*$H60/$G60)))</x:f>
        <x:v>0</x:v>
      </x:c>
      <x:c r="X60" s="45" t="n">
        <x:f>IF(OR($J60="",$K60=""),"",IF(SUMIFS(Calendar!$C$16:$C$141,Calendar!$A$16:$A$141,"&gt;="&amp;MAX(X$7,$J60),Calendar!$A$16:$A$141,"&lt;="&amp;MIN(X$7+4,$K60))=0,0,IF($H60="","EXT",SUMIFS(Calendar!$C$16:$C$141,Calendar!$A$16:$A$141,"&gt;="&amp;MAX(X$7,$J60),Calendar!$A$16:$A$141,"&lt;="&amp;MIN(X$7+4,$K60))*$H60/$G60)))</x:f>
        <x:v>0</x:v>
      </x:c>
      <x:c r="Y60" s="45" t="n">
        <x:f>IF(OR($J60="",$K60=""),"",IF(SUMIFS(Calendar!$C$16:$C$141,Calendar!$A$16:$A$141,"&gt;="&amp;MAX(Y$7,$J60),Calendar!$A$16:$A$141,"&lt;="&amp;MIN(Y$7+4,$K60))=0,0,IF($H60="","EXT",SUMIFS(Calendar!$C$16:$C$141,Calendar!$A$16:$A$141,"&gt;="&amp;MAX(Y$7,$J60),Calendar!$A$16:$A$141,"&lt;="&amp;MIN(Y$7+4,$K60))*$H60/$G60)))</x:f>
        <x:v>0</x:v>
      </x:c>
      <x:c r="Z60" s="45" t="n">
        <x:f>IF(OR($J60="",$K60=""),"",IF(SUMIFS(Calendar!$C$16:$C$141,Calendar!$A$16:$A$141,"&gt;="&amp;MAX(Z$7,$J60),Calendar!$A$16:$A$141,"&lt;="&amp;MIN(Z$7+4,$K60))=0,0,IF($H60="","EXT",SUMIFS(Calendar!$C$16:$C$141,Calendar!$A$16:$A$141,"&gt;="&amp;MAX(Z$7,$J60),Calendar!$A$16:$A$141,"&lt;="&amp;MIN(Z$7+4,$K60))*$H60/$G60)))</x:f>
        <x:v>0</x:v>
      </x:c>
      <x:c r="AA60" s="45" t="n">
        <x:f>IF(OR($J60="",$K60=""),"",IF(SUMIFS(Calendar!$C$16:$C$141,Calendar!$A$16:$A$141,"&gt;="&amp;MAX(AA$7,$J60),Calendar!$A$16:$A$141,"&lt;="&amp;MIN(AA$7+4,$K60))=0,0,IF($H60="","EXT",SUMIFS(Calendar!$C$16:$C$141,Calendar!$A$16:$A$141,"&gt;="&amp;MAX(AA$7,$J60),Calendar!$A$16:$A$141,"&lt;="&amp;MIN(AA$7+4,$K60))*$H60/$G60)))</x:f>
        <x:v>0</x:v>
      </x:c>
      <x:c r="AB60" s="45" t="n">
        <x:f>IF(OR($J60="",$K60=""),"",IF(SUMIFS(Calendar!$C$16:$C$141,Calendar!$A$16:$A$141,"&gt;="&amp;MAX(AB$7,$J60),Calendar!$A$16:$A$141,"&lt;="&amp;MIN(AB$7+4,$K60))=0,0,IF($H60="","EXT",SUMIFS(Calendar!$C$16:$C$141,Calendar!$A$16:$A$141,"&gt;="&amp;MAX(AB$7,$J60),Calendar!$A$16:$A$141,"&lt;="&amp;MIN(AB$7+4,$K60))*$H60/$G60)))</x:f>
        <x:v>0</x:v>
      </x:c>
      <x:c r="AC60" s="45" t="n">
        <x:f>IF(OR($J60="",$K60=""),"",IF(SUMIFS(Calendar!$C$16:$C$141,Calendar!$A$16:$A$141,"&gt;="&amp;MAX(AC$7,$J60),Calendar!$A$16:$A$141,"&lt;="&amp;MIN(AC$7+4,$K60))=0,0,IF($H60="","EXT",SUMIFS(Calendar!$C$16:$C$141,Calendar!$A$16:$A$141,"&gt;="&amp;MAX(AC$7,$J60),Calendar!$A$16:$A$141,"&lt;="&amp;MIN(AC$7+4,$K60))*$H60/$G60)))</x:f>
        <x:v>0</x:v>
      </x:c>
      <x:c r="AD60" s="45" t="n">
        <x:f>IF(OR($J60="",$K60=""),"",IF(SUMIFS(Calendar!$C$16:$C$141,Calendar!$A$16:$A$141,"&gt;="&amp;MAX(AD$7,$J60),Calendar!$A$16:$A$141,"&lt;="&amp;MIN(AD$7+4,$K60))=0,0,IF($H60="","EXT",SUMIFS(Calendar!$C$16:$C$141,Calendar!$A$16:$A$141,"&gt;="&amp;MAX(AD$7,$J60),Calendar!$A$16:$A$141,"&lt;="&amp;MIN(AD$7+4,$K60))*$H60/$G60)))</x:f>
        <x:v>0</x:v>
      </x:c>
      <x:c r="AE60" s="45" t="n">
        <x:f>IF(OR($J60="",$K60=""),"",IF(SUMIFS(Calendar!$C$16:$C$141,Calendar!$A$16:$A$141,"&gt;="&amp;MAX(AE$7,$J60),Calendar!$A$16:$A$141,"&lt;="&amp;MIN(AE$7+4,$K60))=0,0,IF($H60="","EXT",SUMIFS(Calendar!$C$16:$C$141,Calendar!$A$16:$A$141,"&gt;="&amp;MAX(AE$7,$J60),Calendar!$A$16:$A$141,"&lt;="&amp;MIN(AE$7+4,$K60))*$H60/$G60)))</x:f>
        <x:v>0</x:v>
      </x:c>
      <x:c r="AF60" s="8" t="n">
        <x:f>IF(OR(M60&lt;&gt;"Scheduled",INDEX('Team and Gates'!$C$7:$C$13,MATCH($D60,'Team and Gates'!$A$7:$A$13,0))=""),"CHECK",SUM(N60:AE60)*INDEX('Team and Gates'!$C$7:$C$13,MATCH($D60,'Team and Gates'!$A$7:$A$13,0)))</x:f>
        <x:v>1440</x:v>
      </x:c>
      <x:c r="AG60" s="46" t="str">
        <x:v>Analyze Tester 2 validation findings; tune using development data and submit versioned candidates for independent retesting.</x:v>
      </x:c>
      <x:c r="AH60" s="46" t="str">
        <x:v>Protect extended SIT, tuning and post-holiday UAT time. If quality gates slip, reduce scope or replan; do not assume more AI coding fixes quality.</x:v>
      </x:c>
    </x:row>
    <x:row r="61" ht="45" customHeight="1">
      <x:c r="A61" s="39" t="str">
        <x:v>S-FB10</x:v>
      </x:c>
      <x:c r="B61" s="39" t="str">
        <x:v>Model quality</x:v>
      </x:c>
      <x:c r="C61" s="47" t="str">
        <x:v>QA-feedback tuning and independent candidate retests</x:v>
      </x:c>
      <x:c r="D61" s="30" t="str">
        <x:v>DS</x:v>
      </x:c>
      <x:c r="E61" s="47" t="str">
        <x:v>S11</x:v>
      </x:c>
      <x:c r="F61" s="50" t="n">
        <x:v>46</x:v>
      </x:c>
      <x:c r="G61" s="50" t="n">
        <x:v>5</x:v>
      </x:c>
      <x:c r="H61" s="51" t="n">
        <x:v>4</x:v>
      </x:c>
      <x:c r="I61" s="39" t="n">
        <x:f>IF(OR(F61="",G61=""),"",F61+G61-1)</x:f>
        <x:v>50</x:v>
      </x:c>
      <x:c r="J61" s="41" t="n">
        <x:f>IF(OR(F61="",F61&lt;1,F61&gt;Calendar!$B$9),"",INDEX(Calendar!$A$16:$A$141,MATCH(F61,Calendar!$D$16:$D$141,0)))</x:f>
        <x:v>46391</x:v>
      </x:c>
      <x:c r="K61" s="41" t="n">
        <x:f>IF(OR(I61="",I61&lt;1,I61&gt;Calendar!$B$9),"",INDEX(Calendar!$A$16:$A$141,MATCH(I61,Calendar!$D$16:$D$141,0)))</x:f>
        <x:v>46395</x:v>
      </x:c>
      <x:c r="L61" s="53" t="n">
        <x:v>0</x:v>
      </x:c>
      <x:c r="M61" s="39" t="str">
        <x:f>IF(OR(F61="",G61="",H61=""),"Missing input",IF(OR(F61&lt;1,G61&lt;1,I61&gt;Calendar!$B$9),"Outside calendar",IF(F61&lt;MAX(INDEX($I$8:$I$157,MATCH("S11",$A$8:$A$157,0))+1),"Dependency conflict","Scheduled")))</x:f>
        <x:v>Scheduled</x:v>
      </x:c>
      <x:c r="N61" s="45" t="n">
        <x:f>IF(OR($J61="",$K61=""),"",IF(SUMIFS(Calendar!$C$16:$C$141,Calendar!$A$16:$A$141,"&gt;="&amp;MAX(N$7,$J61),Calendar!$A$16:$A$141,"&lt;="&amp;MIN(N$7+4,$K61))=0,0,IF($H61="","EXT",SUMIFS(Calendar!$C$16:$C$141,Calendar!$A$16:$A$141,"&gt;="&amp;MAX(N$7,$J61),Calendar!$A$16:$A$141,"&lt;="&amp;MIN(N$7+4,$K61))*$H61/$G61)))</x:f>
        <x:v>0</x:v>
      </x:c>
      <x:c r="O61" s="45" t="n">
        <x:f>IF(OR($J61="",$K61=""),"",IF(SUMIFS(Calendar!$C$16:$C$141,Calendar!$A$16:$A$141,"&gt;="&amp;MAX(O$7,$J61),Calendar!$A$16:$A$141,"&lt;="&amp;MIN(O$7+4,$K61))=0,0,IF($H61="","EXT",SUMIFS(Calendar!$C$16:$C$141,Calendar!$A$16:$A$141,"&gt;="&amp;MAX(O$7,$J61),Calendar!$A$16:$A$141,"&lt;="&amp;MIN(O$7+4,$K61))*$H61/$G61)))</x:f>
        <x:v>0</x:v>
      </x:c>
      <x:c r="P61" s="45" t="n">
        <x:f>IF(OR($J61="",$K61=""),"",IF(SUMIFS(Calendar!$C$16:$C$141,Calendar!$A$16:$A$141,"&gt;="&amp;MAX(P$7,$J61),Calendar!$A$16:$A$141,"&lt;="&amp;MIN(P$7+4,$K61))=0,0,IF($H61="","EXT",SUMIFS(Calendar!$C$16:$C$141,Calendar!$A$16:$A$141,"&gt;="&amp;MAX(P$7,$J61),Calendar!$A$16:$A$141,"&lt;="&amp;MIN(P$7+4,$K61))*$H61/$G61)))</x:f>
        <x:v>0</x:v>
      </x:c>
      <x:c r="Q61" s="45" t="n">
        <x:f>IF(OR($J61="",$K61=""),"",IF(SUMIFS(Calendar!$C$16:$C$141,Calendar!$A$16:$A$141,"&gt;="&amp;MAX(Q$7,$J61),Calendar!$A$16:$A$141,"&lt;="&amp;MIN(Q$7+4,$K61))=0,0,IF($H61="","EXT",SUMIFS(Calendar!$C$16:$C$141,Calendar!$A$16:$A$141,"&gt;="&amp;MAX(Q$7,$J61),Calendar!$A$16:$A$141,"&lt;="&amp;MIN(Q$7+4,$K61))*$H61/$G61)))</x:f>
        <x:v>0</x:v>
      </x:c>
      <x:c r="R61" s="45" t="n">
        <x:f>IF(OR($J61="",$K61=""),"",IF(SUMIFS(Calendar!$C$16:$C$141,Calendar!$A$16:$A$141,"&gt;="&amp;MAX(R$7,$J61),Calendar!$A$16:$A$141,"&lt;="&amp;MIN(R$7+4,$K61))=0,0,IF($H61="","EXT",SUMIFS(Calendar!$C$16:$C$141,Calendar!$A$16:$A$141,"&gt;="&amp;MAX(R$7,$J61),Calendar!$A$16:$A$141,"&lt;="&amp;MIN(R$7+4,$K61))*$H61/$G61)))</x:f>
        <x:v>0</x:v>
      </x:c>
      <x:c r="S61" s="45" t="n">
        <x:f>IF(OR($J61="",$K61=""),"",IF(SUMIFS(Calendar!$C$16:$C$141,Calendar!$A$16:$A$141,"&gt;="&amp;MAX(S$7,$J61),Calendar!$A$16:$A$141,"&lt;="&amp;MIN(S$7+4,$K61))=0,0,IF($H61="","EXT",SUMIFS(Calendar!$C$16:$C$141,Calendar!$A$16:$A$141,"&gt;="&amp;MAX(S$7,$J61),Calendar!$A$16:$A$141,"&lt;="&amp;MIN(S$7+4,$K61))*$H61/$G61)))</x:f>
        <x:v>0</x:v>
      </x:c>
      <x:c r="T61" s="45" t="n">
        <x:f>IF(OR($J61="",$K61=""),"",IF(SUMIFS(Calendar!$C$16:$C$141,Calendar!$A$16:$A$141,"&gt;="&amp;MAX(T$7,$J61),Calendar!$A$16:$A$141,"&lt;="&amp;MIN(T$7+4,$K61))=0,0,IF($H61="","EXT",SUMIFS(Calendar!$C$16:$C$141,Calendar!$A$16:$A$141,"&gt;="&amp;MAX(T$7,$J61),Calendar!$A$16:$A$141,"&lt;="&amp;MIN(T$7+4,$K61))*$H61/$G61)))</x:f>
        <x:v>0</x:v>
      </x:c>
      <x:c r="U61" s="45" t="n">
        <x:f>IF(OR($J61="",$K61=""),"",IF(SUMIFS(Calendar!$C$16:$C$141,Calendar!$A$16:$A$141,"&gt;="&amp;MAX(U$7,$J61),Calendar!$A$16:$A$141,"&lt;="&amp;MIN(U$7+4,$K61))=0,0,IF($H61="","EXT",SUMIFS(Calendar!$C$16:$C$141,Calendar!$A$16:$A$141,"&gt;="&amp;MAX(U$7,$J61),Calendar!$A$16:$A$141,"&lt;="&amp;MIN(U$7+4,$K61))*$H61/$G61)))</x:f>
        <x:v>0</x:v>
      </x:c>
      <x:c r="V61" s="45" t="n">
        <x:f>IF(OR($J61="",$K61=""),"",IF(SUMIFS(Calendar!$C$16:$C$141,Calendar!$A$16:$A$141,"&gt;="&amp;MAX(V$7,$J61),Calendar!$A$16:$A$141,"&lt;="&amp;MIN(V$7+4,$K61))=0,0,IF($H61="","EXT",SUMIFS(Calendar!$C$16:$C$141,Calendar!$A$16:$A$141,"&gt;="&amp;MAX(V$7,$J61),Calendar!$A$16:$A$141,"&lt;="&amp;MIN(V$7+4,$K61))*$H61/$G61)))</x:f>
        <x:v>0</x:v>
      </x:c>
      <x:c r="W61" s="45" t="n">
        <x:f>IF(OR($J61="",$K61=""),"",IF(SUMIFS(Calendar!$C$16:$C$141,Calendar!$A$16:$A$141,"&gt;="&amp;MAX(W$7,$J61),Calendar!$A$16:$A$141,"&lt;="&amp;MIN(W$7+4,$K61))=0,0,IF($H61="","EXT",SUMIFS(Calendar!$C$16:$C$141,Calendar!$A$16:$A$141,"&gt;="&amp;MAX(W$7,$J61),Calendar!$A$16:$A$141,"&lt;="&amp;MIN(W$7+4,$K61))*$H61/$G61)))</x:f>
        <x:v>4</x:v>
      </x:c>
      <x:c r="X61" s="45" t="n">
        <x:f>IF(OR($J61="",$K61=""),"",IF(SUMIFS(Calendar!$C$16:$C$141,Calendar!$A$16:$A$141,"&gt;="&amp;MAX(X$7,$J61),Calendar!$A$16:$A$141,"&lt;="&amp;MIN(X$7+4,$K61))=0,0,IF($H61="","EXT",SUMIFS(Calendar!$C$16:$C$141,Calendar!$A$16:$A$141,"&gt;="&amp;MAX(X$7,$J61),Calendar!$A$16:$A$141,"&lt;="&amp;MIN(X$7+4,$K61))*$H61/$G61)))</x:f>
        <x:v>0</x:v>
      </x:c>
      <x:c r="Y61" s="45" t="n">
        <x:f>IF(OR($J61="",$K61=""),"",IF(SUMIFS(Calendar!$C$16:$C$141,Calendar!$A$16:$A$141,"&gt;="&amp;MAX(Y$7,$J61),Calendar!$A$16:$A$141,"&lt;="&amp;MIN(Y$7+4,$K61))=0,0,IF($H61="","EXT",SUMIFS(Calendar!$C$16:$C$141,Calendar!$A$16:$A$141,"&gt;="&amp;MAX(Y$7,$J61),Calendar!$A$16:$A$141,"&lt;="&amp;MIN(Y$7+4,$K61))*$H61/$G61)))</x:f>
        <x:v>0</x:v>
      </x:c>
      <x:c r="Z61" s="45" t="n">
        <x:f>IF(OR($J61="",$K61=""),"",IF(SUMIFS(Calendar!$C$16:$C$141,Calendar!$A$16:$A$141,"&gt;="&amp;MAX(Z$7,$J61),Calendar!$A$16:$A$141,"&lt;="&amp;MIN(Z$7+4,$K61))=0,0,IF($H61="","EXT",SUMIFS(Calendar!$C$16:$C$141,Calendar!$A$16:$A$141,"&gt;="&amp;MAX(Z$7,$J61),Calendar!$A$16:$A$141,"&lt;="&amp;MIN(Z$7+4,$K61))*$H61/$G61)))</x:f>
        <x:v>0</x:v>
      </x:c>
      <x:c r="AA61" s="45" t="n">
        <x:f>IF(OR($J61="",$K61=""),"",IF(SUMIFS(Calendar!$C$16:$C$141,Calendar!$A$16:$A$141,"&gt;="&amp;MAX(AA$7,$J61),Calendar!$A$16:$A$141,"&lt;="&amp;MIN(AA$7+4,$K61))=0,0,IF($H61="","EXT",SUMIFS(Calendar!$C$16:$C$141,Calendar!$A$16:$A$141,"&gt;="&amp;MAX(AA$7,$J61),Calendar!$A$16:$A$141,"&lt;="&amp;MIN(AA$7+4,$K61))*$H61/$G61)))</x:f>
        <x:v>0</x:v>
      </x:c>
      <x:c r="AB61" s="45" t="n">
        <x:f>IF(OR($J61="",$K61=""),"",IF(SUMIFS(Calendar!$C$16:$C$141,Calendar!$A$16:$A$141,"&gt;="&amp;MAX(AB$7,$J61),Calendar!$A$16:$A$141,"&lt;="&amp;MIN(AB$7+4,$K61))=0,0,IF($H61="","EXT",SUMIFS(Calendar!$C$16:$C$141,Calendar!$A$16:$A$141,"&gt;="&amp;MAX(AB$7,$J61),Calendar!$A$16:$A$141,"&lt;="&amp;MIN(AB$7+4,$K61))*$H61/$G61)))</x:f>
        <x:v>0</x:v>
      </x:c>
      <x:c r="AC61" s="45" t="n">
        <x:f>IF(OR($J61="",$K61=""),"",IF(SUMIFS(Calendar!$C$16:$C$141,Calendar!$A$16:$A$141,"&gt;="&amp;MAX(AC$7,$J61),Calendar!$A$16:$A$141,"&lt;="&amp;MIN(AC$7+4,$K61))=0,0,IF($H61="","EXT",SUMIFS(Calendar!$C$16:$C$141,Calendar!$A$16:$A$141,"&gt;="&amp;MAX(AC$7,$J61),Calendar!$A$16:$A$141,"&lt;="&amp;MIN(AC$7+4,$K61))*$H61/$G61)))</x:f>
        <x:v>0</x:v>
      </x:c>
      <x:c r="AD61" s="45" t="n">
        <x:f>IF(OR($J61="",$K61=""),"",IF(SUMIFS(Calendar!$C$16:$C$141,Calendar!$A$16:$A$141,"&gt;="&amp;MAX(AD$7,$J61),Calendar!$A$16:$A$141,"&lt;="&amp;MIN(AD$7+4,$K61))=0,0,IF($H61="","EXT",SUMIFS(Calendar!$C$16:$C$141,Calendar!$A$16:$A$141,"&gt;="&amp;MAX(AD$7,$J61),Calendar!$A$16:$A$141,"&lt;="&amp;MIN(AD$7+4,$K61))*$H61/$G61)))</x:f>
        <x:v>0</x:v>
      </x:c>
      <x:c r="AE61" s="45" t="n">
        <x:f>IF(OR($J61="",$K61=""),"",IF(SUMIFS(Calendar!$C$16:$C$141,Calendar!$A$16:$A$141,"&gt;="&amp;MAX(AE$7,$J61),Calendar!$A$16:$A$141,"&lt;="&amp;MIN(AE$7+4,$K61))=0,0,IF($H61="","EXT",SUMIFS(Calendar!$C$16:$C$141,Calendar!$A$16:$A$141,"&gt;="&amp;MAX(AE$7,$J61),Calendar!$A$16:$A$141,"&lt;="&amp;MIN(AE$7+4,$K61))*$H61/$G61)))</x:f>
        <x:v>0</x:v>
      </x:c>
      <x:c r="AF61" s="8" t="n">
        <x:f>IF(OR(M61&lt;&gt;"Scheduled",INDEX('Team and Gates'!$C$7:$C$13,MATCH($D61,'Team and Gates'!$A$7:$A$13,0))=""),"CHECK",SUM(N61:AE61)*INDEX('Team and Gates'!$C$7:$C$13,MATCH($D61,'Team and Gates'!$A$7:$A$13,0)))</x:f>
        <x:v>1440</x:v>
      </x:c>
      <x:c r="AG61" s="46" t="str">
        <x:v>Record versioned technical/business results, QA feedback, DS/developer fixes and affected-path retests. Business validation remains independent of DS tuning.</x:v>
      </x:c>
      <x:c r="AH61" s="46" t="str">
        <x:v>Two additional weeks of tuning, independent QA and stabilization recovered from shorter preparation/coding.</x:v>
      </x:c>
    </x:row>
    <x:row r="62" ht="45" customHeight="1">
      <x:c r="A62" s="2" t="str">
        <x:v>S-FB11</x:v>
      </x:c>
      <x:c r="B62" s="2" t="str">
        <x:v>Model quality</x:v>
      </x:c>
      <x:c r="C62" s="46" t="str">
        <x:v>Cross-scenario quality fixes and development-set replay</x:v>
      </x:c>
      <x:c r="D62" s="30" t="str">
        <x:v>DS</x:v>
      </x:c>
      <x:c r="E62" s="46" t="str">
        <x:v>S-FB10</x:v>
      </x:c>
      <x:c r="F62" s="50" t="n">
        <x:v>51</x:v>
      </x:c>
      <x:c r="G62" s="50" t="n">
        <x:v>5</x:v>
      </x:c>
      <x:c r="H62" s="51" t="n">
        <x:v>4</x:v>
      </x:c>
      <x:c r="I62" s="2" t="n">
        <x:f>IF(OR(F62="",G62=""),"",F62+G62-1)</x:f>
        <x:v>55</x:v>
      </x:c>
      <x:c r="J62" s="5" t="n">
        <x:f>IF(OR(F62="",F62&lt;1,F62&gt;Calendar!$B$9),"",INDEX(Calendar!$A$16:$A$141,MATCH(F62,Calendar!$D$16:$D$141,0)))</x:f>
        <x:v>46398</x:v>
      </x:c>
      <x:c r="K62" s="5" t="n">
        <x:f>IF(OR(I62="",I62&lt;1,I62&gt;Calendar!$B$9),"",INDEX(Calendar!$A$16:$A$141,MATCH(I62,Calendar!$D$16:$D$141,0)))</x:f>
        <x:v>46402</x:v>
      </x:c>
      <x:c r="L62" s="53" t="n">
        <x:v>0</x:v>
      </x:c>
      <x:c r="M62" s="2" t="str">
        <x:f>IF(OR(F62="",G62="",H62=""),"Missing input",IF(OR(F62&lt;1,G62&lt;1,I62&gt;Calendar!$B$9),"Outside calendar",IF(F62&lt;MAX(INDEX($I$8:$I$157,MATCH("S-FB10",$A$8:$A$157,0))+1),"Dependency conflict","Scheduled")))</x:f>
        <x:v>Scheduled</x:v>
      </x:c>
      <x:c r="N62" s="45" t="n">
        <x:f>IF(OR($J62="",$K62=""),"",IF(SUMIFS(Calendar!$C$16:$C$141,Calendar!$A$16:$A$141,"&gt;="&amp;MAX(N$7,$J62),Calendar!$A$16:$A$141,"&lt;="&amp;MIN(N$7+4,$K62))=0,0,IF($H62="","EXT",SUMIFS(Calendar!$C$16:$C$141,Calendar!$A$16:$A$141,"&gt;="&amp;MAX(N$7,$J62),Calendar!$A$16:$A$141,"&lt;="&amp;MIN(N$7+4,$K62))*$H62/$G62)))</x:f>
        <x:v>0</x:v>
      </x:c>
      <x:c r="O62" s="45" t="n">
        <x:f>IF(OR($J62="",$K62=""),"",IF(SUMIFS(Calendar!$C$16:$C$141,Calendar!$A$16:$A$141,"&gt;="&amp;MAX(O$7,$J62),Calendar!$A$16:$A$141,"&lt;="&amp;MIN(O$7+4,$K62))=0,0,IF($H62="","EXT",SUMIFS(Calendar!$C$16:$C$141,Calendar!$A$16:$A$141,"&gt;="&amp;MAX(O$7,$J62),Calendar!$A$16:$A$141,"&lt;="&amp;MIN(O$7+4,$K62))*$H62/$G62)))</x:f>
        <x:v>0</x:v>
      </x:c>
      <x:c r="P62" s="45" t="n">
        <x:f>IF(OR($J62="",$K62=""),"",IF(SUMIFS(Calendar!$C$16:$C$141,Calendar!$A$16:$A$141,"&gt;="&amp;MAX(P$7,$J62),Calendar!$A$16:$A$141,"&lt;="&amp;MIN(P$7+4,$K62))=0,0,IF($H62="","EXT",SUMIFS(Calendar!$C$16:$C$141,Calendar!$A$16:$A$141,"&gt;="&amp;MAX(P$7,$J62),Calendar!$A$16:$A$141,"&lt;="&amp;MIN(P$7+4,$K62))*$H62/$G62)))</x:f>
        <x:v>0</x:v>
      </x:c>
      <x:c r="Q62" s="45" t="n">
        <x:f>IF(OR($J62="",$K62=""),"",IF(SUMIFS(Calendar!$C$16:$C$141,Calendar!$A$16:$A$141,"&gt;="&amp;MAX(Q$7,$J62),Calendar!$A$16:$A$141,"&lt;="&amp;MIN(Q$7+4,$K62))=0,0,IF($H62="","EXT",SUMIFS(Calendar!$C$16:$C$141,Calendar!$A$16:$A$141,"&gt;="&amp;MAX(Q$7,$J62),Calendar!$A$16:$A$141,"&lt;="&amp;MIN(Q$7+4,$K62))*$H62/$G62)))</x:f>
        <x:v>0</x:v>
      </x:c>
      <x:c r="R62" s="45" t="n">
        <x:f>IF(OR($J62="",$K62=""),"",IF(SUMIFS(Calendar!$C$16:$C$141,Calendar!$A$16:$A$141,"&gt;="&amp;MAX(R$7,$J62),Calendar!$A$16:$A$141,"&lt;="&amp;MIN(R$7+4,$K62))=0,0,IF($H62="","EXT",SUMIFS(Calendar!$C$16:$C$141,Calendar!$A$16:$A$141,"&gt;="&amp;MAX(R$7,$J62),Calendar!$A$16:$A$141,"&lt;="&amp;MIN(R$7+4,$K62))*$H62/$G62)))</x:f>
        <x:v>0</x:v>
      </x:c>
      <x:c r="S62" s="45" t="n">
        <x:f>IF(OR($J62="",$K62=""),"",IF(SUMIFS(Calendar!$C$16:$C$141,Calendar!$A$16:$A$141,"&gt;="&amp;MAX(S$7,$J62),Calendar!$A$16:$A$141,"&lt;="&amp;MIN(S$7+4,$K62))=0,0,IF($H62="","EXT",SUMIFS(Calendar!$C$16:$C$141,Calendar!$A$16:$A$141,"&gt;="&amp;MAX(S$7,$J62),Calendar!$A$16:$A$141,"&lt;="&amp;MIN(S$7+4,$K62))*$H62/$G62)))</x:f>
        <x:v>0</x:v>
      </x:c>
      <x:c r="T62" s="45" t="n">
        <x:f>IF(OR($J62="",$K62=""),"",IF(SUMIFS(Calendar!$C$16:$C$141,Calendar!$A$16:$A$141,"&gt;="&amp;MAX(T$7,$J62),Calendar!$A$16:$A$141,"&lt;="&amp;MIN(T$7+4,$K62))=0,0,IF($H62="","EXT",SUMIFS(Calendar!$C$16:$C$141,Calendar!$A$16:$A$141,"&gt;="&amp;MAX(T$7,$J62),Calendar!$A$16:$A$141,"&lt;="&amp;MIN(T$7+4,$K62))*$H62/$G62)))</x:f>
        <x:v>0</x:v>
      </x:c>
      <x:c r="U62" s="45" t="n">
        <x:f>IF(OR($J62="",$K62=""),"",IF(SUMIFS(Calendar!$C$16:$C$141,Calendar!$A$16:$A$141,"&gt;="&amp;MAX(U$7,$J62),Calendar!$A$16:$A$141,"&lt;="&amp;MIN(U$7+4,$K62))=0,0,IF($H62="","EXT",SUMIFS(Calendar!$C$16:$C$141,Calendar!$A$16:$A$141,"&gt;="&amp;MAX(U$7,$J62),Calendar!$A$16:$A$141,"&lt;="&amp;MIN(U$7+4,$K62))*$H62/$G62)))</x:f>
        <x:v>0</x:v>
      </x:c>
      <x:c r="V62" s="45" t="n">
        <x:f>IF(OR($J62="",$K62=""),"",IF(SUMIFS(Calendar!$C$16:$C$141,Calendar!$A$16:$A$141,"&gt;="&amp;MAX(V$7,$J62),Calendar!$A$16:$A$141,"&lt;="&amp;MIN(V$7+4,$K62))=0,0,IF($H62="","EXT",SUMIFS(Calendar!$C$16:$C$141,Calendar!$A$16:$A$141,"&gt;="&amp;MAX(V$7,$J62),Calendar!$A$16:$A$141,"&lt;="&amp;MIN(V$7+4,$K62))*$H62/$G62)))</x:f>
        <x:v>0</x:v>
      </x:c>
      <x:c r="W62" s="45" t="n">
        <x:f>IF(OR($J62="",$K62=""),"",IF(SUMIFS(Calendar!$C$16:$C$141,Calendar!$A$16:$A$141,"&gt;="&amp;MAX(W$7,$J62),Calendar!$A$16:$A$141,"&lt;="&amp;MIN(W$7+4,$K62))=0,0,IF($H62="","EXT",SUMIFS(Calendar!$C$16:$C$141,Calendar!$A$16:$A$141,"&gt;="&amp;MAX(W$7,$J62),Calendar!$A$16:$A$141,"&lt;="&amp;MIN(W$7+4,$K62))*$H62/$G62)))</x:f>
        <x:v>0</x:v>
      </x:c>
      <x:c r="X62" s="45" t="n">
        <x:f>IF(OR($J62="",$K62=""),"",IF(SUMIFS(Calendar!$C$16:$C$141,Calendar!$A$16:$A$141,"&gt;="&amp;MAX(X$7,$J62),Calendar!$A$16:$A$141,"&lt;="&amp;MIN(X$7+4,$K62))=0,0,IF($H62="","EXT",SUMIFS(Calendar!$C$16:$C$141,Calendar!$A$16:$A$141,"&gt;="&amp;MAX(X$7,$J62),Calendar!$A$16:$A$141,"&lt;="&amp;MIN(X$7+4,$K62))*$H62/$G62)))</x:f>
        <x:v>4</x:v>
      </x:c>
      <x:c r="Y62" s="45" t="n">
        <x:f>IF(OR($J62="",$K62=""),"",IF(SUMIFS(Calendar!$C$16:$C$141,Calendar!$A$16:$A$141,"&gt;="&amp;MAX(Y$7,$J62),Calendar!$A$16:$A$141,"&lt;="&amp;MIN(Y$7+4,$K62))=0,0,IF($H62="","EXT",SUMIFS(Calendar!$C$16:$C$141,Calendar!$A$16:$A$141,"&gt;="&amp;MAX(Y$7,$J62),Calendar!$A$16:$A$141,"&lt;="&amp;MIN(Y$7+4,$K62))*$H62/$G62)))</x:f>
        <x:v>0</x:v>
      </x:c>
      <x:c r="Z62" s="45" t="n">
        <x:f>IF(OR($J62="",$K62=""),"",IF(SUMIFS(Calendar!$C$16:$C$141,Calendar!$A$16:$A$141,"&gt;="&amp;MAX(Z$7,$J62),Calendar!$A$16:$A$141,"&lt;="&amp;MIN(Z$7+4,$K62))=0,0,IF($H62="","EXT",SUMIFS(Calendar!$C$16:$C$141,Calendar!$A$16:$A$141,"&gt;="&amp;MAX(Z$7,$J62),Calendar!$A$16:$A$141,"&lt;="&amp;MIN(Z$7+4,$K62))*$H62/$G62)))</x:f>
        <x:v>0</x:v>
      </x:c>
      <x:c r="AA62" s="45" t="n">
        <x:f>IF(OR($J62="",$K62=""),"",IF(SUMIFS(Calendar!$C$16:$C$141,Calendar!$A$16:$A$141,"&gt;="&amp;MAX(AA$7,$J62),Calendar!$A$16:$A$141,"&lt;="&amp;MIN(AA$7+4,$K62))=0,0,IF($H62="","EXT",SUMIFS(Calendar!$C$16:$C$141,Calendar!$A$16:$A$141,"&gt;="&amp;MAX(AA$7,$J62),Calendar!$A$16:$A$141,"&lt;="&amp;MIN(AA$7+4,$K62))*$H62/$G62)))</x:f>
        <x:v>0</x:v>
      </x:c>
      <x:c r="AB62" s="45" t="n">
        <x:f>IF(OR($J62="",$K62=""),"",IF(SUMIFS(Calendar!$C$16:$C$141,Calendar!$A$16:$A$141,"&gt;="&amp;MAX(AB$7,$J62),Calendar!$A$16:$A$141,"&lt;="&amp;MIN(AB$7+4,$K62))=0,0,IF($H62="","EXT",SUMIFS(Calendar!$C$16:$C$141,Calendar!$A$16:$A$141,"&gt;="&amp;MAX(AB$7,$J62),Calendar!$A$16:$A$141,"&lt;="&amp;MIN(AB$7+4,$K62))*$H62/$G62)))</x:f>
        <x:v>0</x:v>
      </x:c>
      <x:c r="AC62" s="45" t="n">
        <x:f>IF(OR($J62="",$K62=""),"",IF(SUMIFS(Calendar!$C$16:$C$141,Calendar!$A$16:$A$141,"&gt;="&amp;MAX(AC$7,$J62),Calendar!$A$16:$A$141,"&lt;="&amp;MIN(AC$7+4,$K62))=0,0,IF($H62="","EXT",SUMIFS(Calendar!$C$16:$C$141,Calendar!$A$16:$A$141,"&gt;="&amp;MAX(AC$7,$J62),Calendar!$A$16:$A$141,"&lt;="&amp;MIN(AC$7+4,$K62))*$H62/$G62)))</x:f>
        <x:v>0</x:v>
      </x:c>
      <x:c r="AD62" s="45" t="n">
        <x:f>IF(OR($J62="",$K62=""),"",IF(SUMIFS(Calendar!$C$16:$C$141,Calendar!$A$16:$A$141,"&gt;="&amp;MAX(AD$7,$J62),Calendar!$A$16:$A$141,"&lt;="&amp;MIN(AD$7+4,$K62))=0,0,IF($H62="","EXT",SUMIFS(Calendar!$C$16:$C$141,Calendar!$A$16:$A$141,"&gt;="&amp;MAX(AD$7,$J62),Calendar!$A$16:$A$141,"&lt;="&amp;MIN(AD$7+4,$K62))*$H62/$G62)))</x:f>
        <x:v>0</x:v>
      </x:c>
      <x:c r="AE62" s="45" t="n">
        <x:f>IF(OR($J62="",$K62=""),"",IF(SUMIFS(Calendar!$C$16:$C$141,Calendar!$A$16:$A$141,"&gt;="&amp;MAX(AE$7,$J62),Calendar!$A$16:$A$141,"&lt;="&amp;MIN(AE$7+4,$K62))=0,0,IF($H62="","EXT",SUMIFS(Calendar!$C$16:$C$141,Calendar!$A$16:$A$141,"&gt;="&amp;MAX(AE$7,$J62),Calendar!$A$16:$A$141,"&lt;="&amp;MIN(AE$7+4,$K62))*$H62/$G62)))</x:f>
        <x:v>0</x:v>
      </x:c>
      <x:c r="AF62" s="8" t="n">
        <x:f>IF(OR(M62&lt;&gt;"Scheduled",INDEX('Team and Gates'!$C$7:$C$13,MATCH($D62,'Team and Gates'!$A$7:$A$13,0))=""),"CHECK",SUM(N62:AE62)*INDEX('Team and Gates'!$C$7:$C$13,MATCH($D62,'Team and Gates'!$A$7:$A$13,0)))</x:f>
        <x:v>1440</x:v>
      </x:c>
      <x:c r="AG62" s="46" t="str">
        <x:v>Record versioned technical/business results, QA feedback, DS/developer fixes and affected-path retests. Business validation remains independent of DS tuning.</x:v>
      </x:c>
      <x:c r="AH62" s="46" t="str">
        <x:v>Two additional weeks of tuning, independent QA and stabilization recovered from shorter preparation/coding.</x:v>
      </x:c>
    </x:row>
    <x:row r="63" ht="45" customHeight="1">
      <x:c r="A63" s="39" t="str">
        <x:v>S12</x:v>
      </x:c>
      <x:c r="B63" s="39" t="str">
        <x:v>Model quality</x:v>
      </x:c>
      <x:c r="C63" s="47" t="str">
        <x:v>QA-feedback tuning, dev-set replay and final candidate freeze Jan 22</x:v>
      </x:c>
      <x:c r="D63" s="30" t="str">
        <x:v>DS</x:v>
      </x:c>
      <x:c r="E63" s="47" t="str">
        <x:v>S11, S-FB11</x:v>
      </x:c>
      <x:c r="F63" s="50" t="n">
        <x:v>56</x:v>
      </x:c>
      <x:c r="G63" s="50" t="n">
        <x:v>5</x:v>
      </x:c>
      <x:c r="H63" s="51" t="n">
        <x:v>4</x:v>
      </x:c>
      <x:c r="I63" s="39" t="n">
        <x:f>IF(OR(F63="",G63=""),"",F63+G63-1)</x:f>
        <x:v>60</x:v>
      </x:c>
      <x:c r="J63" s="41" t="n">
        <x:f>IF(OR(F63="",F63&lt;1,F63&gt;Calendar!$B$9),"",INDEX(Calendar!$A$16:$A$141,MATCH(F63,Calendar!$D$16:$D$141,0)))</x:f>
        <x:v>46405</x:v>
      </x:c>
      <x:c r="K63" s="41" t="n">
        <x:f>IF(OR(I63="",I63&lt;1,I63&gt;Calendar!$B$9),"",INDEX(Calendar!$A$16:$A$141,MATCH(I63,Calendar!$D$16:$D$141,0)))</x:f>
        <x:v>46409</x:v>
      </x:c>
      <x:c r="L63" s="53" t="n">
        <x:v>0</x:v>
      </x:c>
      <x:c r="M63" s="39" t="str">
        <x:f>IF(OR(F63="",G63="",H63=""),"Missing input",IF(OR(F63&lt;1,G63&lt;1,I63&gt;Calendar!$B$9),"Outside calendar",IF(F63&lt;MAX(INDEX($I$8:$I$157,MATCH("S11",$A$8:$A$157,0))+1,INDEX($I$8:$I$157,MATCH("S-FB11",$A$8:$A$157,0))+1),"Dependency conflict","Scheduled")))</x:f>
        <x:v>Scheduled</x:v>
      </x:c>
      <x:c r="N63" s="45" t="n">
        <x:f>IF(OR($J63="",$K63=""),"",IF(SUMIFS(Calendar!$C$16:$C$141,Calendar!$A$16:$A$141,"&gt;="&amp;MAX(N$7,$J63),Calendar!$A$16:$A$141,"&lt;="&amp;MIN(N$7+4,$K63))=0,0,IF($H63="","EXT",SUMIFS(Calendar!$C$16:$C$141,Calendar!$A$16:$A$141,"&gt;="&amp;MAX(N$7,$J63),Calendar!$A$16:$A$141,"&lt;="&amp;MIN(N$7+4,$K63))*$H63/$G63)))</x:f>
        <x:v>0</x:v>
      </x:c>
      <x:c r="O63" s="45" t="n">
        <x:f>IF(OR($J63="",$K63=""),"",IF(SUMIFS(Calendar!$C$16:$C$141,Calendar!$A$16:$A$141,"&gt;="&amp;MAX(O$7,$J63),Calendar!$A$16:$A$141,"&lt;="&amp;MIN(O$7+4,$K63))=0,0,IF($H63="","EXT",SUMIFS(Calendar!$C$16:$C$141,Calendar!$A$16:$A$141,"&gt;="&amp;MAX(O$7,$J63),Calendar!$A$16:$A$141,"&lt;="&amp;MIN(O$7+4,$K63))*$H63/$G63)))</x:f>
        <x:v>0</x:v>
      </x:c>
      <x:c r="P63" s="45" t="n">
        <x:f>IF(OR($J63="",$K63=""),"",IF(SUMIFS(Calendar!$C$16:$C$141,Calendar!$A$16:$A$141,"&gt;="&amp;MAX(P$7,$J63),Calendar!$A$16:$A$141,"&lt;="&amp;MIN(P$7+4,$K63))=0,0,IF($H63="","EXT",SUMIFS(Calendar!$C$16:$C$141,Calendar!$A$16:$A$141,"&gt;="&amp;MAX(P$7,$J63),Calendar!$A$16:$A$141,"&lt;="&amp;MIN(P$7+4,$K63))*$H63/$G63)))</x:f>
        <x:v>0</x:v>
      </x:c>
      <x:c r="Q63" s="45" t="n">
        <x:f>IF(OR($J63="",$K63=""),"",IF(SUMIFS(Calendar!$C$16:$C$141,Calendar!$A$16:$A$141,"&gt;="&amp;MAX(Q$7,$J63),Calendar!$A$16:$A$141,"&lt;="&amp;MIN(Q$7+4,$K63))=0,0,IF($H63="","EXT",SUMIFS(Calendar!$C$16:$C$141,Calendar!$A$16:$A$141,"&gt;="&amp;MAX(Q$7,$J63),Calendar!$A$16:$A$141,"&lt;="&amp;MIN(Q$7+4,$K63))*$H63/$G63)))</x:f>
        <x:v>0</x:v>
      </x:c>
      <x:c r="R63" s="45" t="n">
        <x:f>IF(OR($J63="",$K63=""),"",IF(SUMIFS(Calendar!$C$16:$C$141,Calendar!$A$16:$A$141,"&gt;="&amp;MAX(R$7,$J63),Calendar!$A$16:$A$141,"&lt;="&amp;MIN(R$7+4,$K63))=0,0,IF($H63="","EXT",SUMIFS(Calendar!$C$16:$C$141,Calendar!$A$16:$A$141,"&gt;="&amp;MAX(R$7,$J63),Calendar!$A$16:$A$141,"&lt;="&amp;MIN(R$7+4,$K63))*$H63/$G63)))</x:f>
        <x:v>0</x:v>
      </x:c>
      <x:c r="S63" s="45" t="n">
        <x:f>IF(OR($J63="",$K63=""),"",IF(SUMIFS(Calendar!$C$16:$C$141,Calendar!$A$16:$A$141,"&gt;="&amp;MAX(S$7,$J63),Calendar!$A$16:$A$141,"&lt;="&amp;MIN(S$7+4,$K63))=0,0,IF($H63="","EXT",SUMIFS(Calendar!$C$16:$C$141,Calendar!$A$16:$A$141,"&gt;="&amp;MAX(S$7,$J63),Calendar!$A$16:$A$141,"&lt;="&amp;MIN(S$7+4,$K63))*$H63/$G63)))</x:f>
        <x:v>0</x:v>
      </x:c>
      <x:c r="T63" s="45" t="n">
        <x:f>IF(OR($J63="",$K63=""),"",IF(SUMIFS(Calendar!$C$16:$C$141,Calendar!$A$16:$A$141,"&gt;="&amp;MAX(T$7,$J63),Calendar!$A$16:$A$141,"&lt;="&amp;MIN(T$7+4,$K63))=0,0,IF($H63="","EXT",SUMIFS(Calendar!$C$16:$C$141,Calendar!$A$16:$A$141,"&gt;="&amp;MAX(T$7,$J63),Calendar!$A$16:$A$141,"&lt;="&amp;MIN(T$7+4,$K63))*$H63/$G63)))</x:f>
        <x:v>0</x:v>
      </x:c>
      <x:c r="U63" s="45" t="n">
        <x:f>IF(OR($J63="",$K63=""),"",IF(SUMIFS(Calendar!$C$16:$C$141,Calendar!$A$16:$A$141,"&gt;="&amp;MAX(U$7,$J63),Calendar!$A$16:$A$141,"&lt;="&amp;MIN(U$7+4,$K63))=0,0,IF($H63="","EXT",SUMIFS(Calendar!$C$16:$C$141,Calendar!$A$16:$A$141,"&gt;="&amp;MAX(U$7,$J63),Calendar!$A$16:$A$141,"&lt;="&amp;MIN(U$7+4,$K63))*$H63/$G63)))</x:f>
        <x:v>0</x:v>
      </x:c>
      <x:c r="V63" s="45" t="n">
        <x:f>IF(OR($J63="",$K63=""),"",IF(SUMIFS(Calendar!$C$16:$C$141,Calendar!$A$16:$A$141,"&gt;="&amp;MAX(V$7,$J63),Calendar!$A$16:$A$141,"&lt;="&amp;MIN(V$7+4,$K63))=0,0,IF($H63="","EXT",SUMIFS(Calendar!$C$16:$C$141,Calendar!$A$16:$A$141,"&gt;="&amp;MAX(V$7,$J63),Calendar!$A$16:$A$141,"&lt;="&amp;MIN(V$7+4,$K63))*$H63/$G63)))</x:f>
        <x:v>0</x:v>
      </x:c>
      <x:c r="W63" s="45" t="n">
        <x:f>IF(OR($J63="",$K63=""),"",IF(SUMIFS(Calendar!$C$16:$C$141,Calendar!$A$16:$A$141,"&gt;="&amp;MAX(W$7,$J63),Calendar!$A$16:$A$141,"&lt;="&amp;MIN(W$7+4,$K63))=0,0,IF($H63="","EXT",SUMIFS(Calendar!$C$16:$C$141,Calendar!$A$16:$A$141,"&gt;="&amp;MAX(W$7,$J63),Calendar!$A$16:$A$141,"&lt;="&amp;MIN(W$7+4,$K63))*$H63/$G63)))</x:f>
        <x:v>0</x:v>
      </x:c>
      <x:c r="X63" s="45" t="n">
        <x:f>IF(OR($J63="",$K63=""),"",IF(SUMIFS(Calendar!$C$16:$C$141,Calendar!$A$16:$A$141,"&gt;="&amp;MAX(X$7,$J63),Calendar!$A$16:$A$141,"&lt;="&amp;MIN(X$7+4,$K63))=0,0,IF($H63="","EXT",SUMIFS(Calendar!$C$16:$C$141,Calendar!$A$16:$A$141,"&gt;="&amp;MAX(X$7,$J63),Calendar!$A$16:$A$141,"&lt;="&amp;MIN(X$7+4,$K63))*$H63/$G63)))</x:f>
        <x:v>0</x:v>
      </x:c>
      <x:c r="Y63" s="45" t="n">
        <x:f>IF(OR($J63="",$K63=""),"",IF(SUMIFS(Calendar!$C$16:$C$141,Calendar!$A$16:$A$141,"&gt;="&amp;MAX(Y$7,$J63),Calendar!$A$16:$A$141,"&lt;="&amp;MIN(Y$7+4,$K63))=0,0,IF($H63="","EXT",SUMIFS(Calendar!$C$16:$C$141,Calendar!$A$16:$A$141,"&gt;="&amp;MAX(Y$7,$J63),Calendar!$A$16:$A$141,"&lt;="&amp;MIN(Y$7+4,$K63))*$H63/$G63)))</x:f>
        <x:v>4</x:v>
      </x:c>
      <x:c r="Z63" s="45" t="n">
        <x:f>IF(OR($J63="",$K63=""),"",IF(SUMIFS(Calendar!$C$16:$C$141,Calendar!$A$16:$A$141,"&gt;="&amp;MAX(Z$7,$J63),Calendar!$A$16:$A$141,"&lt;="&amp;MIN(Z$7+4,$K63))=0,0,IF($H63="","EXT",SUMIFS(Calendar!$C$16:$C$141,Calendar!$A$16:$A$141,"&gt;="&amp;MAX(Z$7,$J63),Calendar!$A$16:$A$141,"&lt;="&amp;MIN(Z$7+4,$K63))*$H63/$G63)))</x:f>
        <x:v>0</x:v>
      </x:c>
      <x:c r="AA63" s="45" t="n">
        <x:f>IF(OR($J63="",$K63=""),"",IF(SUMIFS(Calendar!$C$16:$C$141,Calendar!$A$16:$A$141,"&gt;="&amp;MAX(AA$7,$J63),Calendar!$A$16:$A$141,"&lt;="&amp;MIN(AA$7+4,$K63))=0,0,IF($H63="","EXT",SUMIFS(Calendar!$C$16:$C$141,Calendar!$A$16:$A$141,"&gt;="&amp;MAX(AA$7,$J63),Calendar!$A$16:$A$141,"&lt;="&amp;MIN(AA$7+4,$K63))*$H63/$G63)))</x:f>
        <x:v>0</x:v>
      </x:c>
      <x:c r="AB63" s="45" t="n">
        <x:f>IF(OR($J63="",$K63=""),"",IF(SUMIFS(Calendar!$C$16:$C$141,Calendar!$A$16:$A$141,"&gt;="&amp;MAX(AB$7,$J63),Calendar!$A$16:$A$141,"&lt;="&amp;MIN(AB$7+4,$K63))=0,0,IF($H63="","EXT",SUMIFS(Calendar!$C$16:$C$141,Calendar!$A$16:$A$141,"&gt;="&amp;MAX(AB$7,$J63),Calendar!$A$16:$A$141,"&lt;="&amp;MIN(AB$7+4,$K63))*$H63/$G63)))</x:f>
        <x:v>0</x:v>
      </x:c>
      <x:c r="AC63" s="45" t="n">
        <x:f>IF(OR($J63="",$K63=""),"",IF(SUMIFS(Calendar!$C$16:$C$141,Calendar!$A$16:$A$141,"&gt;="&amp;MAX(AC$7,$J63),Calendar!$A$16:$A$141,"&lt;="&amp;MIN(AC$7+4,$K63))=0,0,IF($H63="","EXT",SUMIFS(Calendar!$C$16:$C$141,Calendar!$A$16:$A$141,"&gt;="&amp;MAX(AC$7,$J63),Calendar!$A$16:$A$141,"&lt;="&amp;MIN(AC$7+4,$K63))*$H63/$G63)))</x:f>
        <x:v>0</x:v>
      </x:c>
      <x:c r="AD63" s="45" t="n">
        <x:f>IF(OR($J63="",$K63=""),"",IF(SUMIFS(Calendar!$C$16:$C$141,Calendar!$A$16:$A$141,"&gt;="&amp;MAX(AD$7,$J63),Calendar!$A$16:$A$141,"&lt;="&amp;MIN(AD$7+4,$K63))=0,0,IF($H63="","EXT",SUMIFS(Calendar!$C$16:$C$141,Calendar!$A$16:$A$141,"&gt;="&amp;MAX(AD$7,$J63),Calendar!$A$16:$A$141,"&lt;="&amp;MIN(AD$7+4,$K63))*$H63/$G63)))</x:f>
        <x:v>0</x:v>
      </x:c>
      <x:c r="AE63" s="45" t="n">
        <x:f>IF(OR($J63="",$K63=""),"",IF(SUMIFS(Calendar!$C$16:$C$141,Calendar!$A$16:$A$141,"&gt;="&amp;MAX(AE$7,$J63),Calendar!$A$16:$A$141,"&lt;="&amp;MIN(AE$7+4,$K63))=0,0,IF($H63="","EXT",SUMIFS(Calendar!$C$16:$C$141,Calendar!$A$16:$A$141,"&gt;="&amp;MAX(AE$7,$J63),Calendar!$A$16:$A$141,"&lt;="&amp;MIN(AE$7+4,$K63))*$H63/$G63)))</x:f>
        <x:v>0</x:v>
      </x:c>
      <x:c r="AF63" s="8" t="n">
        <x:f>IF(OR(M63&lt;&gt;"Scheduled",INDEX('Team and Gates'!$C$7:$C$13,MATCH($D63,'Team and Gates'!$A$7:$A$13,0))=""),"CHECK",SUM(N63:AE63)*INDEX('Team and Gates'!$C$7:$C$13,MATCH($D63,'Team and Gates'!$A$7:$A$13,0)))</x:f>
        <x:v>1440</x:v>
      </x:c>
      <x:c r="AG63" s="46" t="str">
        <x:v>SIT findings reproduce on dev data; changed candidates receive affected independent re-evaluation.</x:v>
      </x:c>
      <x:c r="AH63" s="46" t="str">
        <x:v>Protect extended SIT, tuning and post-holiday UAT time. If quality gates slip, reduce scope or replan; do not assume more AI coding fixes quality.</x:v>
      </x:c>
    </x:row>
    <x:row r="64" ht="45" customHeight="1">
      <x:c r="A64" s="2" t="str">
        <x:v>S13</x:v>
      </x:c>
      <x:c r="B64" s="2" t="str">
        <x:v>Model quality</x:v>
      </x:c>
      <x:c r="C64" s="46" t="str">
        <x:v>Support independent final evaluation and controlled defect retests</x:v>
      </x:c>
      <x:c r="D64" s="30" t="str">
        <x:v>DS</x:v>
      </x:c>
      <x:c r="E64" s="46" t="str">
        <x:v>S12</x:v>
      </x:c>
      <x:c r="F64" s="50" t="n">
        <x:v>61</x:v>
      </x:c>
      <x:c r="G64" s="50" t="n">
        <x:v>5</x:v>
      </x:c>
      <x:c r="H64" s="51" t="n">
        <x:v>4</x:v>
      </x:c>
      <x:c r="I64" s="2" t="n">
        <x:f>IF(OR(F64="",G64=""),"",F64+G64-1)</x:f>
        <x:v>65</x:v>
      </x:c>
      <x:c r="J64" s="5" t="n">
        <x:f>IF(OR(F64="",F64&lt;1,F64&gt;Calendar!$B$9),"",INDEX(Calendar!$A$16:$A$141,MATCH(F64,Calendar!$D$16:$D$141,0)))</x:f>
        <x:v>46412</x:v>
      </x:c>
      <x:c r="K64" s="5" t="n">
        <x:f>IF(OR(I64="",I64&lt;1,I64&gt;Calendar!$B$9),"",INDEX(Calendar!$A$16:$A$141,MATCH(I64,Calendar!$D$16:$D$141,0)))</x:f>
        <x:v>46416</x:v>
      </x:c>
      <x:c r="L64" s="53" t="n">
        <x:v>0</x:v>
      </x:c>
      <x:c r="M64" s="2" t="str">
        <x:f>IF(OR(F64="",G64="",H64=""),"Missing input",IF(OR(F64&lt;1,G64&lt;1,I64&gt;Calendar!$B$9),"Outside calendar",IF(F64&lt;MAX(INDEX($I$8:$I$157,MATCH("S12",$A$8:$A$157,0))+1),"Dependency conflict","Scheduled")))</x:f>
        <x:v>Scheduled</x:v>
      </x:c>
      <x:c r="N64" s="45" t="n">
        <x:f>IF(OR($J64="",$K64=""),"",IF(SUMIFS(Calendar!$C$16:$C$141,Calendar!$A$16:$A$141,"&gt;="&amp;MAX(N$7,$J64),Calendar!$A$16:$A$141,"&lt;="&amp;MIN(N$7+4,$K64))=0,0,IF($H64="","EXT",SUMIFS(Calendar!$C$16:$C$141,Calendar!$A$16:$A$141,"&gt;="&amp;MAX(N$7,$J64),Calendar!$A$16:$A$141,"&lt;="&amp;MIN(N$7+4,$K64))*$H64/$G64)))</x:f>
        <x:v>0</x:v>
      </x:c>
      <x:c r="O64" s="45" t="n">
        <x:f>IF(OR($J64="",$K64=""),"",IF(SUMIFS(Calendar!$C$16:$C$141,Calendar!$A$16:$A$141,"&gt;="&amp;MAX(O$7,$J64),Calendar!$A$16:$A$141,"&lt;="&amp;MIN(O$7+4,$K64))=0,0,IF($H64="","EXT",SUMIFS(Calendar!$C$16:$C$141,Calendar!$A$16:$A$141,"&gt;="&amp;MAX(O$7,$J64),Calendar!$A$16:$A$141,"&lt;="&amp;MIN(O$7+4,$K64))*$H64/$G64)))</x:f>
        <x:v>0</x:v>
      </x:c>
      <x:c r="P64" s="45" t="n">
        <x:f>IF(OR($J64="",$K64=""),"",IF(SUMIFS(Calendar!$C$16:$C$141,Calendar!$A$16:$A$141,"&gt;="&amp;MAX(P$7,$J64),Calendar!$A$16:$A$141,"&lt;="&amp;MIN(P$7+4,$K64))=0,0,IF($H64="","EXT",SUMIFS(Calendar!$C$16:$C$141,Calendar!$A$16:$A$141,"&gt;="&amp;MAX(P$7,$J64),Calendar!$A$16:$A$141,"&lt;="&amp;MIN(P$7+4,$K64))*$H64/$G64)))</x:f>
        <x:v>0</x:v>
      </x:c>
      <x:c r="Q64" s="45" t="n">
        <x:f>IF(OR($J64="",$K64=""),"",IF(SUMIFS(Calendar!$C$16:$C$141,Calendar!$A$16:$A$141,"&gt;="&amp;MAX(Q$7,$J64),Calendar!$A$16:$A$141,"&lt;="&amp;MIN(Q$7+4,$K64))=0,0,IF($H64="","EXT",SUMIFS(Calendar!$C$16:$C$141,Calendar!$A$16:$A$141,"&gt;="&amp;MAX(Q$7,$J64),Calendar!$A$16:$A$141,"&lt;="&amp;MIN(Q$7+4,$K64))*$H64/$G64)))</x:f>
        <x:v>0</x:v>
      </x:c>
      <x:c r="R64" s="45" t="n">
        <x:f>IF(OR($J64="",$K64=""),"",IF(SUMIFS(Calendar!$C$16:$C$141,Calendar!$A$16:$A$141,"&gt;="&amp;MAX(R$7,$J64),Calendar!$A$16:$A$141,"&lt;="&amp;MIN(R$7+4,$K64))=0,0,IF($H64="","EXT",SUMIFS(Calendar!$C$16:$C$141,Calendar!$A$16:$A$141,"&gt;="&amp;MAX(R$7,$J64),Calendar!$A$16:$A$141,"&lt;="&amp;MIN(R$7+4,$K64))*$H64/$G64)))</x:f>
        <x:v>0</x:v>
      </x:c>
      <x:c r="S64" s="45" t="n">
        <x:f>IF(OR($J64="",$K64=""),"",IF(SUMIFS(Calendar!$C$16:$C$141,Calendar!$A$16:$A$141,"&gt;="&amp;MAX(S$7,$J64),Calendar!$A$16:$A$141,"&lt;="&amp;MIN(S$7+4,$K64))=0,0,IF($H64="","EXT",SUMIFS(Calendar!$C$16:$C$141,Calendar!$A$16:$A$141,"&gt;="&amp;MAX(S$7,$J64),Calendar!$A$16:$A$141,"&lt;="&amp;MIN(S$7+4,$K64))*$H64/$G64)))</x:f>
        <x:v>0</x:v>
      </x:c>
      <x:c r="T64" s="45" t="n">
        <x:f>IF(OR($J64="",$K64=""),"",IF(SUMIFS(Calendar!$C$16:$C$141,Calendar!$A$16:$A$141,"&gt;="&amp;MAX(T$7,$J64),Calendar!$A$16:$A$141,"&lt;="&amp;MIN(T$7+4,$K64))=0,0,IF($H64="","EXT",SUMIFS(Calendar!$C$16:$C$141,Calendar!$A$16:$A$141,"&gt;="&amp;MAX(T$7,$J64),Calendar!$A$16:$A$141,"&lt;="&amp;MIN(T$7+4,$K64))*$H64/$G64)))</x:f>
        <x:v>0</x:v>
      </x:c>
      <x:c r="U64" s="45" t="n">
        <x:f>IF(OR($J64="",$K64=""),"",IF(SUMIFS(Calendar!$C$16:$C$141,Calendar!$A$16:$A$141,"&gt;="&amp;MAX(U$7,$J64),Calendar!$A$16:$A$141,"&lt;="&amp;MIN(U$7+4,$K64))=0,0,IF($H64="","EXT",SUMIFS(Calendar!$C$16:$C$141,Calendar!$A$16:$A$141,"&gt;="&amp;MAX(U$7,$J64),Calendar!$A$16:$A$141,"&lt;="&amp;MIN(U$7+4,$K64))*$H64/$G64)))</x:f>
        <x:v>0</x:v>
      </x:c>
      <x:c r="V64" s="45" t="n">
        <x:f>IF(OR($J64="",$K64=""),"",IF(SUMIFS(Calendar!$C$16:$C$141,Calendar!$A$16:$A$141,"&gt;="&amp;MAX(V$7,$J64),Calendar!$A$16:$A$141,"&lt;="&amp;MIN(V$7+4,$K64))=0,0,IF($H64="","EXT",SUMIFS(Calendar!$C$16:$C$141,Calendar!$A$16:$A$141,"&gt;="&amp;MAX(V$7,$J64),Calendar!$A$16:$A$141,"&lt;="&amp;MIN(V$7+4,$K64))*$H64/$G64)))</x:f>
        <x:v>0</x:v>
      </x:c>
      <x:c r="W64" s="45" t="n">
        <x:f>IF(OR($J64="",$K64=""),"",IF(SUMIFS(Calendar!$C$16:$C$141,Calendar!$A$16:$A$141,"&gt;="&amp;MAX(W$7,$J64),Calendar!$A$16:$A$141,"&lt;="&amp;MIN(W$7+4,$K64))=0,0,IF($H64="","EXT",SUMIFS(Calendar!$C$16:$C$141,Calendar!$A$16:$A$141,"&gt;="&amp;MAX(W$7,$J64),Calendar!$A$16:$A$141,"&lt;="&amp;MIN(W$7+4,$K64))*$H64/$G64)))</x:f>
        <x:v>0</x:v>
      </x:c>
      <x:c r="X64" s="45" t="n">
        <x:f>IF(OR($J64="",$K64=""),"",IF(SUMIFS(Calendar!$C$16:$C$141,Calendar!$A$16:$A$141,"&gt;="&amp;MAX(X$7,$J64),Calendar!$A$16:$A$141,"&lt;="&amp;MIN(X$7+4,$K64))=0,0,IF($H64="","EXT",SUMIFS(Calendar!$C$16:$C$141,Calendar!$A$16:$A$141,"&gt;="&amp;MAX(X$7,$J64),Calendar!$A$16:$A$141,"&lt;="&amp;MIN(X$7+4,$K64))*$H64/$G64)))</x:f>
        <x:v>0</x:v>
      </x:c>
      <x:c r="Y64" s="45" t="n">
        <x:f>IF(OR($J64="",$K64=""),"",IF(SUMIFS(Calendar!$C$16:$C$141,Calendar!$A$16:$A$141,"&gt;="&amp;MAX(Y$7,$J64),Calendar!$A$16:$A$141,"&lt;="&amp;MIN(Y$7+4,$K64))=0,0,IF($H64="","EXT",SUMIFS(Calendar!$C$16:$C$141,Calendar!$A$16:$A$141,"&gt;="&amp;MAX(Y$7,$J64),Calendar!$A$16:$A$141,"&lt;="&amp;MIN(Y$7+4,$K64))*$H64/$G64)))</x:f>
        <x:v>0</x:v>
      </x:c>
      <x:c r="Z64" s="45" t="n">
        <x:f>IF(OR($J64="",$K64=""),"",IF(SUMIFS(Calendar!$C$16:$C$141,Calendar!$A$16:$A$141,"&gt;="&amp;MAX(Z$7,$J64),Calendar!$A$16:$A$141,"&lt;="&amp;MIN(Z$7+4,$K64))=0,0,IF($H64="","EXT",SUMIFS(Calendar!$C$16:$C$141,Calendar!$A$16:$A$141,"&gt;="&amp;MAX(Z$7,$J64),Calendar!$A$16:$A$141,"&lt;="&amp;MIN(Z$7+4,$K64))*$H64/$G64)))</x:f>
        <x:v>4</x:v>
      </x:c>
      <x:c r="AA64" s="45" t="n">
        <x:f>IF(OR($J64="",$K64=""),"",IF(SUMIFS(Calendar!$C$16:$C$141,Calendar!$A$16:$A$141,"&gt;="&amp;MAX(AA$7,$J64),Calendar!$A$16:$A$141,"&lt;="&amp;MIN(AA$7+4,$K64))=0,0,IF($H64="","EXT",SUMIFS(Calendar!$C$16:$C$141,Calendar!$A$16:$A$141,"&gt;="&amp;MAX(AA$7,$J64),Calendar!$A$16:$A$141,"&lt;="&amp;MIN(AA$7+4,$K64))*$H64/$G64)))</x:f>
        <x:v>0</x:v>
      </x:c>
      <x:c r="AB64" s="45" t="n">
        <x:f>IF(OR($J64="",$K64=""),"",IF(SUMIFS(Calendar!$C$16:$C$141,Calendar!$A$16:$A$141,"&gt;="&amp;MAX(AB$7,$J64),Calendar!$A$16:$A$141,"&lt;="&amp;MIN(AB$7+4,$K64))=0,0,IF($H64="","EXT",SUMIFS(Calendar!$C$16:$C$141,Calendar!$A$16:$A$141,"&gt;="&amp;MAX(AB$7,$J64),Calendar!$A$16:$A$141,"&lt;="&amp;MIN(AB$7+4,$K64))*$H64/$G64)))</x:f>
        <x:v>0</x:v>
      </x:c>
      <x:c r="AC64" s="45" t="n">
        <x:f>IF(OR($J64="",$K64=""),"",IF(SUMIFS(Calendar!$C$16:$C$141,Calendar!$A$16:$A$141,"&gt;="&amp;MAX(AC$7,$J64),Calendar!$A$16:$A$141,"&lt;="&amp;MIN(AC$7+4,$K64))=0,0,IF($H64="","EXT",SUMIFS(Calendar!$C$16:$C$141,Calendar!$A$16:$A$141,"&gt;="&amp;MAX(AC$7,$J64),Calendar!$A$16:$A$141,"&lt;="&amp;MIN(AC$7+4,$K64))*$H64/$G64)))</x:f>
        <x:v>0</x:v>
      </x:c>
      <x:c r="AD64" s="45" t="n">
        <x:f>IF(OR($J64="",$K64=""),"",IF(SUMIFS(Calendar!$C$16:$C$141,Calendar!$A$16:$A$141,"&gt;="&amp;MAX(AD$7,$J64),Calendar!$A$16:$A$141,"&lt;="&amp;MIN(AD$7+4,$K64))=0,0,IF($H64="","EXT",SUMIFS(Calendar!$C$16:$C$141,Calendar!$A$16:$A$141,"&gt;="&amp;MAX(AD$7,$J64),Calendar!$A$16:$A$141,"&lt;="&amp;MIN(AD$7+4,$K64))*$H64/$G64)))</x:f>
        <x:v>0</x:v>
      </x:c>
      <x:c r="AE64" s="45" t="n">
        <x:f>IF(OR($J64="",$K64=""),"",IF(SUMIFS(Calendar!$C$16:$C$141,Calendar!$A$16:$A$141,"&gt;="&amp;MAX(AE$7,$J64),Calendar!$A$16:$A$141,"&lt;="&amp;MIN(AE$7+4,$K64))=0,0,IF($H64="","EXT",SUMIFS(Calendar!$C$16:$C$141,Calendar!$A$16:$A$141,"&gt;="&amp;MAX(AE$7,$J64),Calendar!$A$16:$A$141,"&lt;="&amp;MIN(AE$7+4,$K64))*$H64/$G64)))</x:f>
        <x:v>0</x:v>
      </x:c>
      <x:c r="AF64" s="8" t="n">
        <x:f>IF(OR(M64&lt;&gt;"Scheduled",INDEX('Team and Gates'!$C$7:$C$13,MATCH($D64,'Team and Gates'!$A$7:$A$13,0))=""),"CHECK",SUM(N64:AE64)*INDEX('Team and Gates'!$C$7:$C$13,MATCH($D64,'Team and Gates'!$A$7:$A$13,0)))</x:f>
        <x:v>1440</x:v>
      </x:c>
      <x:c r="AG64" s="46" t="str">
        <x:v>SIT findings reproduce on dev data; changed candidates receive affected independent re-evaluation.</x:v>
      </x:c>
      <x:c r="AH64" s="46" t="str">
        <x:v>Protect extended SIT, tuning and post-holiday UAT time. If quality gates slip, reduce scope or replan; do not assume more AI coding fixes quality.</x:v>
      </x:c>
    </x:row>
    <x:row r="65" ht="45" customHeight="1">
      <x:c r="A65" s="39" t="str">
        <x:v>S14</x:v>
      </x:c>
      <x:c r="B65" s="39" t="str">
        <x:v>Model quality</x:v>
      </x:c>
      <x:c r="C65" s="47" t="str">
        <x:v>UAT model deployment smoke and configuration lock</x:v>
      </x:c>
      <x:c r="D65" s="30" t="str">
        <x:v>DS</x:v>
      </x:c>
      <x:c r="E65" s="47" t="str">
        <x:v>S13</x:v>
      </x:c>
      <x:c r="F65" s="50" t="n">
        <x:v>66</x:v>
      </x:c>
      <x:c r="G65" s="50" t="n">
        <x:v>2</x:v>
      </x:c>
      <x:c r="H65" s="51" t="n">
        <x:v>1</x:v>
      </x:c>
      <x:c r="I65" s="39" t="n">
        <x:f>IF(OR(F65="",G65=""),"",F65+G65-1)</x:f>
        <x:v>67</x:v>
      </x:c>
      <x:c r="J65" s="41" t="n">
        <x:f>IF(OR(F65="",F65&lt;1,F65&gt;Calendar!$B$9),"",INDEX(Calendar!$A$16:$A$141,MATCH(F65,Calendar!$D$16:$D$141,0)))</x:f>
        <x:v>46419</x:v>
      </x:c>
      <x:c r="K65" s="41" t="n">
        <x:f>IF(OR(I65="",I65&lt;1,I65&gt;Calendar!$B$9),"",INDEX(Calendar!$A$16:$A$141,MATCH(I65,Calendar!$D$16:$D$141,0)))</x:f>
        <x:v>46420</x:v>
      </x:c>
      <x:c r="L65" s="53" t="n">
        <x:v>0</x:v>
      </x:c>
      <x:c r="M65" s="39" t="str">
        <x:f>IF(OR(F65="",G65="",H65=""),"Missing input",IF(OR(F65&lt;1,G65&lt;1,I65&gt;Calendar!$B$9),"Outside calendar",IF(F65&lt;MAX(INDEX($I$8:$I$157,MATCH("S13",$A$8:$A$157,0))+1),"Dependency conflict","Scheduled")))</x:f>
        <x:v>Scheduled</x:v>
      </x:c>
      <x:c r="N65" s="45" t="n">
        <x:f>IF(OR($J65="",$K65=""),"",IF(SUMIFS(Calendar!$C$16:$C$141,Calendar!$A$16:$A$141,"&gt;="&amp;MAX(N$7,$J65),Calendar!$A$16:$A$141,"&lt;="&amp;MIN(N$7+4,$K65))=0,0,IF($H65="","EXT",SUMIFS(Calendar!$C$16:$C$141,Calendar!$A$16:$A$141,"&gt;="&amp;MAX(N$7,$J65),Calendar!$A$16:$A$141,"&lt;="&amp;MIN(N$7+4,$K65))*$H65/$G65)))</x:f>
        <x:v>0</x:v>
      </x:c>
      <x:c r="O65" s="45" t="n">
        <x:f>IF(OR($J65="",$K65=""),"",IF(SUMIFS(Calendar!$C$16:$C$141,Calendar!$A$16:$A$141,"&gt;="&amp;MAX(O$7,$J65),Calendar!$A$16:$A$141,"&lt;="&amp;MIN(O$7+4,$K65))=0,0,IF($H65="","EXT",SUMIFS(Calendar!$C$16:$C$141,Calendar!$A$16:$A$141,"&gt;="&amp;MAX(O$7,$J65),Calendar!$A$16:$A$141,"&lt;="&amp;MIN(O$7+4,$K65))*$H65/$G65)))</x:f>
        <x:v>0</x:v>
      </x:c>
      <x:c r="P65" s="45" t="n">
        <x:f>IF(OR($J65="",$K65=""),"",IF(SUMIFS(Calendar!$C$16:$C$141,Calendar!$A$16:$A$141,"&gt;="&amp;MAX(P$7,$J65),Calendar!$A$16:$A$141,"&lt;="&amp;MIN(P$7+4,$K65))=0,0,IF($H65="","EXT",SUMIFS(Calendar!$C$16:$C$141,Calendar!$A$16:$A$141,"&gt;="&amp;MAX(P$7,$J65),Calendar!$A$16:$A$141,"&lt;="&amp;MIN(P$7+4,$K65))*$H65/$G65)))</x:f>
        <x:v>0</x:v>
      </x:c>
      <x:c r="Q65" s="45" t="n">
        <x:f>IF(OR($J65="",$K65=""),"",IF(SUMIFS(Calendar!$C$16:$C$141,Calendar!$A$16:$A$141,"&gt;="&amp;MAX(Q$7,$J65),Calendar!$A$16:$A$141,"&lt;="&amp;MIN(Q$7+4,$K65))=0,0,IF($H65="","EXT",SUMIFS(Calendar!$C$16:$C$141,Calendar!$A$16:$A$141,"&gt;="&amp;MAX(Q$7,$J65),Calendar!$A$16:$A$141,"&lt;="&amp;MIN(Q$7+4,$K65))*$H65/$G65)))</x:f>
        <x:v>0</x:v>
      </x:c>
      <x:c r="R65" s="45" t="n">
        <x:f>IF(OR($J65="",$K65=""),"",IF(SUMIFS(Calendar!$C$16:$C$141,Calendar!$A$16:$A$141,"&gt;="&amp;MAX(R$7,$J65),Calendar!$A$16:$A$141,"&lt;="&amp;MIN(R$7+4,$K65))=0,0,IF($H65="","EXT",SUMIFS(Calendar!$C$16:$C$141,Calendar!$A$16:$A$141,"&gt;="&amp;MAX(R$7,$J65),Calendar!$A$16:$A$141,"&lt;="&amp;MIN(R$7+4,$K65))*$H65/$G65)))</x:f>
        <x:v>0</x:v>
      </x:c>
      <x:c r="S65" s="45" t="n">
        <x:f>IF(OR($J65="",$K65=""),"",IF(SUMIFS(Calendar!$C$16:$C$141,Calendar!$A$16:$A$141,"&gt;="&amp;MAX(S$7,$J65),Calendar!$A$16:$A$141,"&lt;="&amp;MIN(S$7+4,$K65))=0,0,IF($H65="","EXT",SUMIFS(Calendar!$C$16:$C$141,Calendar!$A$16:$A$141,"&gt;="&amp;MAX(S$7,$J65),Calendar!$A$16:$A$141,"&lt;="&amp;MIN(S$7+4,$K65))*$H65/$G65)))</x:f>
        <x:v>0</x:v>
      </x:c>
      <x:c r="T65" s="45" t="n">
        <x:f>IF(OR($J65="",$K65=""),"",IF(SUMIFS(Calendar!$C$16:$C$141,Calendar!$A$16:$A$141,"&gt;="&amp;MAX(T$7,$J65),Calendar!$A$16:$A$141,"&lt;="&amp;MIN(T$7+4,$K65))=0,0,IF($H65="","EXT",SUMIFS(Calendar!$C$16:$C$141,Calendar!$A$16:$A$141,"&gt;="&amp;MAX(T$7,$J65),Calendar!$A$16:$A$141,"&lt;="&amp;MIN(T$7+4,$K65))*$H65/$G65)))</x:f>
        <x:v>0</x:v>
      </x:c>
      <x:c r="U65" s="45" t="n">
        <x:f>IF(OR($J65="",$K65=""),"",IF(SUMIFS(Calendar!$C$16:$C$141,Calendar!$A$16:$A$141,"&gt;="&amp;MAX(U$7,$J65),Calendar!$A$16:$A$141,"&lt;="&amp;MIN(U$7+4,$K65))=0,0,IF($H65="","EXT",SUMIFS(Calendar!$C$16:$C$141,Calendar!$A$16:$A$141,"&gt;="&amp;MAX(U$7,$J65),Calendar!$A$16:$A$141,"&lt;="&amp;MIN(U$7+4,$K65))*$H65/$G65)))</x:f>
        <x:v>0</x:v>
      </x:c>
      <x:c r="V65" s="45" t="n">
        <x:f>IF(OR($J65="",$K65=""),"",IF(SUMIFS(Calendar!$C$16:$C$141,Calendar!$A$16:$A$141,"&gt;="&amp;MAX(V$7,$J65),Calendar!$A$16:$A$141,"&lt;="&amp;MIN(V$7+4,$K65))=0,0,IF($H65="","EXT",SUMIFS(Calendar!$C$16:$C$141,Calendar!$A$16:$A$141,"&gt;="&amp;MAX(V$7,$J65),Calendar!$A$16:$A$141,"&lt;="&amp;MIN(V$7+4,$K65))*$H65/$G65)))</x:f>
        <x:v>0</x:v>
      </x:c>
      <x:c r="W65" s="45" t="n">
        <x:f>IF(OR($J65="",$K65=""),"",IF(SUMIFS(Calendar!$C$16:$C$141,Calendar!$A$16:$A$141,"&gt;="&amp;MAX(W$7,$J65),Calendar!$A$16:$A$141,"&lt;="&amp;MIN(W$7+4,$K65))=0,0,IF($H65="","EXT",SUMIFS(Calendar!$C$16:$C$141,Calendar!$A$16:$A$141,"&gt;="&amp;MAX(W$7,$J65),Calendar!$A$16:$A$141,"&lt;="&amp;MIN(W$7+4,$K65))*$H65/$G65)))</x:f>
        <x:v>0</x:v>
      </x:c>
      <x:c r="X65" s="45" t="n">
        <x:f>IF(OR($J65="",$K65=""),"",IF(SUMIFS(Calendar!$C$16:$C$141,Calendar!$A$16:$A$141,"&gt;="&amp;MAX(X$7,$J65),Calendar!$A$16:$A$141,"&lt;="&amp;MIN(X$7+4,$K65))=0,0,IF($H65="","EXT",SUMIFS(Calendar!$C$16:$C$141,Calendar!$A$16:$A$141,"&gt;="&amp;MAX(X$7,$J65),Calendar!$A$16:$A$141,"&lt;="&amp;MIN(X$7+4,$K65))*$H65/$G65)))</x:f>
        <x:v>0</x:v>
      </x:c>
      <x:c r="Y65" s="45" t="n">
        <x:f>IF(OR($J65="",$K65=""),"",IF(SUMIFS(Calendar!$C$16:$C$141,Calendar!$A$16:$A$141,"&gt;="&amp;MAX(Y$7,$J65),Calendar!$A$16:$A$141,"&lt;="&amp;MIN(Y$7+4,$K65))=0,0,IF($H65="","EXT",SUMIFS(Calendar!$C$16:$C$141,Calendar!$A$16:$A$141,"&gt;="&amp;MAX(Y$7,$J65),Calendar!$A$16:$A$141,"&lt;="&amp;MIN(Y$7+4,$K65))*$H65/$G65)))</x:f>
        <x:v>0</x:v>
      </x:c>
      <x:c r="Z65" s="45" t="n">
        <x:f>IF(OR($J65="",$K65=""),"",IF(SUMIFS(Calendar!$C$16:$C$141,Calendar!$A$16:$A$141,"&gt;="&amp;MAX(Z$7,$J65),Calendar!$A$16:$A$141,"&lt;="&amp;MIN(Z$7+4,$K65))=0,0,IF($H65="","EXT",SUMIFS(Calendar!$C$16:$C$141,Calendar!$A$16:$A$141,"&gt;="&amp;MAX(Z$7,$J65),Calendar!$A$16:$A$141,"&lt;="&amp;MIN(Z$7+4,$K65))*$H65/$G65)))</x:f>
        <x:v>0</x:v>
      </x:c>
      <x:c r="AA65" s="45" t="n">
        <x:f>IF(OR($J65="",$K65=""),"",IF(SUMIFS(Calendar!$C$16:$C$141,Calendar!$A$16:$A$141,"&gt;="&amp;MAX(AA$7,$J65),Calendar!$A$16:$A$141,"&lt;="&amp;MIN(AA$7+4,$K65))=0,0,IF($H65="","EXT",SUMIFS(Calendar!$C$16:$C$141,Calendar!$A$16:$A$141,"&gt;="&amp;MAX(AA$7,$J65),Calendar!$A$16:$A$141,"&lt;="&amp;MIN(AA$7+4,$K65))*$H65/$G65)))</x:f>
        <x:v>1</x:v>
      </x:c>
      <x:c r="AB65" s="45" t="n">
        <x:f>IF(OR($J65="",$K65=""),"",IF(SUMIFS(Calendar!$C$16:$C$141,Calendar!$A$16:$A$141,"&gt;="&amp;MAX(AB$7,$J65),Calendar!$A$16:$A$141,"&lt;="&amp;MIN(AB$7+4,$K65))=0,0,IF($H65="","EXT",SUMIFS(Calendar!$C$16:$C$141,Calendar!$A$16:$A$141,"&gt;="&amp;MAX(AB$7,$J65),Calendar!$A$16:$A$141,"&lt;="&amp;MIN(AB$7+4,$K65))*$H65/$G65)))</x:f>
        <x:v>0</x:v>
      </x:c>
      <x:c r="AC65" s="45" t="n">
        <x:f>IF(OR($J65="",$K65=""),"",IF(SUMIFS(Calendar!$C$16:$C$141,Calendar!$A$16:$A$141,"&gt;="&amp;MAX(AC$7,$J65),Calendar!$A$16:$A$141,"&lt;="&amp;MIN(AC$7+4,$K65))=0,0,IF($H65="","EXT",SUMIFS(Calendar!$C$16:$C$141,Calendar!$A$16:$A$141,"&gt;="&amp;MAX(AC$7,$J65),Calendar!$A$16:$A$141,"&lt;="&amp;MIN(AC$7+4,$K65))*$H65/$G65)))</x:f>
        <x:v>0</x:v>
      </x:c>
      <x:c r="AD65" s="45" t="n">
        <x:f>IF(OR($J65="",$K65=""),"",IF(SUMIFS(Calendar!$C$16:$C$141,Calendar!$A$16:$A$141,"&gt;="&amp;MAX(AD$7,$J65),Calendar!$A$16:$A$141,"&lt;="&amp;MIN(AD$7+4,$K65))=0,0,IF($H65="","EXT",SUMIFS(Calendar!$C$16:$C$141,Calendar!$A$16:$A$141,"&gt;="&amp;MAX(AD$7,$J65),Calendar!$A$16:$A$141,"&lt;="&amp;MIN(AD$7+4,$K65))*$H65/$G65)))</x:f>
        <x:v>0</x:v>
      </x:c>
      <x:c r="AE65" s="45" t="n">
        <x:f>IF(OR($J65="",$K65=""),"",IF(SUMIFS(Calendar!$C$16:$C$141,Calendar!$A$16:$A$141,"&gt;="&amp;MAX(AE$7,$J65),Calendar!$A$16:$A$141,"&lt;="&amp;MIN(AE$7+4,$K65))=0,0,IF($H65="","EXT",SUMIFS(Calendar!$C$16:$C$141,Calendar!$A$16:$A$141,"&gt;="&amp;MAX(AE$7,$J65),Calendar!$A$16:$A$141,"&lt;="&amp;MIN(AE$7+4,$K65))*$H65/$G65)))</x:f>
        <x:v>0</x:v>
      </x:c>
      <x:c r="AF65" s="8" t="n">
        <x:f>IF(OR(M65&lt;&gt;"Scheduled",INDEX('Team and Gates'!$C$7:$C$13,MATCH($D65,'Team and Gates'!$A$7:$A$13,0))=""),"CHECK",SUM(N65:AE65)*INDEX('Team and Gates'!$C$7:$C$13,MATCH($D65,'Team and Gates'!$A$7:$A$13,0)))</x:f>
        <x:v>360</x:v>
      </x:c>
      <x:c r="AG65" s="46" t="str">
        <x:v>Model, prompt, schema and Playbook versions plus quality/cost checks are recorded.</x:v>
      </x:c>
      <x:c r="AH65" s="46" t="str"/>
    </x:row>
    <x:row r="66" ht="45" customHeight="1">
      <x:c r="A66" s="2" t="str">
        <x:v>S16</x:v>
      </x:c>
      <x:c r="B66" s="2" t="str">
        <x:v>Model quality</x:v>
      </x:c>
      <x:c r="C66" s="46" t="str">
        <x:v>Formal UAT AI evaluation and post-holiday model regression</x:v>
      </x:c>
      <x:c r="D66" s="30" t="str">
        <x:v>DS</x:v>
      </x:c>
      <x:c r="E66" s="46" t="str">
        <x:v>S14</x:v>
      </x:c>
      <x:c r="F66" s="50" t="n">
        <x:v>68</x:v>
      </x:c>
      <x:c r="G66" s="50" t="n">
        <x:v>5</x:v>
      </x:c>
      <x:c r="H66" s="51" t="n">
        <x:v>4</x:v>
      </x:c>
      <x:c r="I66" s="2" t="n">
        <x:f>IF(OR(F66="",G66=""),"",F66+G66-1)</x:f>
        <x:v>72</x:v>
      </x:c>
      <x:c r="J66" s="5" t="n">
        <x:f>IF(OR(F66="",F66&lt;1,F66&gt;Calendar!$B$9),"",INDEX(Calendar!$A$16:$A$141,MATCH(F66,Calendar!$D$16:$D$141,0)))</x:f>
        <x:v>46433</x:v>
      </x:c>
      <x:c r="K66" s="5" t="n">
        <x:f>IF(OR(I66="",I66&lt;1,I66&gt;Calendar!$B$9),"",INDEX(Calendar!$A$16:$A$141,MATCH(I66,Calendar!$D$16:$D$141,0)))</x:f>
        <x:v>46437</x:v>
      </x:c>
      <x:c r="L66" s="53" t="n">
        <x:v>0</x:v>
      </x:c>
      <x:c r="M66" s="2" t="str">
        <x:f>IF(OR(F66="",G66="",H66=""),"Missing input",IF(OR(F66&lt;1,G66&lt;1,I66&gt;Calendar!$B$9),"Outside calendar",IF(F66&lt;MAX(INDEX($I$8:$I$157,MATCH("S14",$A$8:$A$157,0))+1),"Dependency conflict","Scheduled")))</x:f>
        <x:v>Scheduled</x:v>
      </x:c>
      <x:c r="N66" s="45" t="n">
        <x:f>IF(OR($J66="",$K66=""),"",IF(SUMIFS(Calendar!$C$16:$C$141,Calendar!$A$16:$A$141,"&gt;="&amp;MAX(N$7,$J66),Calendar!$A$16:$A$141,"&lt;="&amp;MIN(N$7+4,$K66))=0,0,IF($H66="","EXT",SUMIFS(Calendar!$C$16:$C$141,Calendar!$A$16:$A$141,"&gt;="&amp;MAX(N$7,$J66),Calendar!$A$16:$A$141,"&lt;="&amp;MIN(N$7+4,$K66))*$H66/$G66)))</x:f>
        <x:v>0</x:v>
      </x:c>
      <x:c r="O66" s="45" t="n">
        <x:f>IF(OR($J66="",$K66=""),"",IF(SUMIFS(Calendar!$C$16:$C$141,Calendar!$A$16:$A$141,"&gt;="&amp;MAX(O$7,$J66),Calendar!$A$16:$A$141,"&lt;="&amp;MIN(O$7+4,$K66))=0,0,IF($H66="","EXT",SUMIFS(Calendar!$C$16:$C$141,Calendar!$A$16:$A$141,"&gt;="&amp;MAX(O$7,$J66),Calendar!$A$16:$A$141,"&lt;="&amp;MIN(O$7+4,$K66))*$H66/$G66)))</x:f>
        <x:v>0</x:v>
      </x:c>
      <x:c r="P66" s="45" t="n">
        <x:f>IF(OR($J66="",$K66=""),"",IF(SUMIFS(Calendar!$C$16:$C$141,Calendar!$A$16:$A$141,"&gt;="&amp;MAX(P$7,$J66),Calendar!$A$16:$A$141,"&lt;="&amp;MIN(P$7+4,$K66))=0,0,IF($H66="","EXT",SUMIFS(Calendar!$C$16:$C$141,Calendar!$A$16:$A$141,"&gt;="&amp;MAX(P$7,$J66),Calendar!$A$16:$A$141,"&lt;="&amp;MIN(P$7+4,$K66))*$H66/$G66)))</x:f>
        <x:v>0</x:v>
      </x:c>
      <x:c r="Q66" s="45" t="n">
        <x:f>IF(OR($J66="",$K66=""),"",IF(SUMIFS(Calendar!$C$16:$C$141,Calendar!$A$16:$A$141,"&gt;="&amp;MAX(Q$7,$J66),Calendar!$A$16:$A$141,"&lt;="&amp;MIN(Q$7+4,$K66))=0,0,IF($H66="","EXT",SUMIFS(Calendar!$C$16:$C$141,Calendar!$A$16:$A$141,"&gt;="&amp;MAX(Q$7,$J66),Calendar!$A$16:$A$141,"&lt;="&amp;MIN(Q$7+4,$K66))*$H66/$G66)))</x:f>
        <x:v>0</x:v>
      </x:c>
      <x:c r="R66" s="45" t="n">
        <x:f>IF(OR($J66="",$K66=""),"",IF(SUMIFS(Calendar!$C$16:$C$141,Calendar!$A$16:$A$141,"&gt;="&amp;MAX(R$7,$J66),Calendar!$A$16:$A$141,"&lt;="&amp;MIN(R$7+4,$K66))=0,0,IF($H66="","EXT",SUMIFS(Calendar!$C$16:$C$141,Calendar!$A$16:$A$141,"&gt;="&amp;MAX(R$7,$J66),Calendar!$A$16:$A$141,"&lt;="&amp;MIN(R$7+4,$K66))*$H66/$G66)))</x:f>
        <x:v>0</x:v>
      </x:c>
      <x:c r="S66" s="45" t="n">
        <x:f>IF(OR($J66="",$K66=""),"",IF(SUMIFS(Calendar!$C$16:$C$141,Calendar!$A$16:$A$141,"&gt;="&amp;MAX(S$7,$J66),Calendar!$A$16:$A$141,"&lt;="&amp;MIN(S$7+4,$K66))=0,0,IF($H66="","EXT",SUMIFS(Calendar!$C$16:$C$141,Calendar!$A$16:$A$141,"&gt;="&amp;MAX(S$7,$J66),Calendar!$A$16:$A$141,"&lt;="&amp;MIN(S$7+4,$K66))*$H66/$G66)))</x:f>
        <x:v>0</x:v>
      </x:c>
      <x:c r="T66" s="45" t="n">
        <x:f>IF(OR($J66="",$K66=""),"",IF(SUMIFS(Calendar!$C$16:$C$141,Calendar!$A$16:$A$141,"&gt;="&amp;MAX(T$7,$J66),Calendar!$A$16:$A$141,"&lt;="&amp;MIN(T$7+4,$K66))=0,0,IF($H66="","EXT",SUMIFS(Calendar!$C$16:$C$141,Calendar!$A$16:$A$141,"&gt;="&amp;MAX(T$7,$J66),Calendar!$A$16:$A$141,"&lt;="&amp;MIN(T$7+4,$K66))*$H66/$G66)))</x:f>
        <x:v>0</x:v>
      </x:c>
      <x:c r="U66" s="45" t="n">
        <x:f>IF(OR($J66="",$K66=""),"",IF(SUMIFS(Calendar!$C$16:$C$141,Calendar!$A$16:$A$141,"&gt;="&amp;MAX(U$7,$J66),Calendar!$A$16:$A$141,"&lt;="&amp;MIN(U$7+4,$K66))=0,0,IF($H66="","EXT",SUMIFS(Calendar!$C$16:$C$141,Calendar!$A$16:$A$141,"&gt;="&amp;MAX(U$7,$J66),Calendar!$A$16:$A$141,"&lt;="&amp;MIN(U$7+4,$K66))*$H66/$G66)))</x:f>
        <x:v>0</x:v>
      </x:c>
      <x:c r="V66" s="45" t="n">
        <x:f>IF(OR($J66="",$K66=""),"",IF(SUMIFS(Calendar!$C$16:$C$141,Calendar!$A$16:$A$141,"&gt;="&amp;MAX(V$7,$J66),Calendar!$A$16:$A$141,"&lt;="&amp;MIN(V$7+4,$K66))=0,0,IF($H66="","EXT",SUMIFS(Calendar!$C$16:$C$141,Calendar!$A$16:$A$141,"&gt;="&amp;MAX(V$7,$J66),Calendar!$A$16:$A$141,"&lt;="&amp;MIN(V$7+4,$K66))*$H66/$G66)))</x:f>
        <x:v>0</x:v>
      </x:c>
      <x:c r="W66" s="45" t="n">
        <x:f>IF(OR($J66="",$K66=""),"",IF(SUMIFS(Calendar!$C$16:$C$141,Calendar!$A$16:$A$141,"&gt;="&amp;MAX(W$7,$J66),Calendar!$A$16:$A$141,"&lt;="&amp;MIN(W$7+4,$K66))=0,0,IF($H66="","EXT",SUMIFS(Calendar!$C$16:$C$141,Calendar!$A$16:$A$141,"&gt;="&amp;MAX(W$7,$J66),Calendar!$A$16:$A$141,"&lt;="&amp;MIN(W$7+4,$K66))*$H66/$G66)))</x:f>
        <x:v>0</x:v>
      </x:c>
      <x:c r="X66" s="45" t="n">
        <x:f>IF(OR($J66="",$K66=""),"",IF(SUMIFS(Calendar!$C$16:$C$141,Calendar!$A$16:$A$141,"&gt;="&amp;MAX(X$7,$J66),Calendar!$A$16:$A$141,"&lt;="&amp;MIN(X$7+4,$K66))=0,0,IF($H66="","EXT",SUMIFS(Calendar!$C$16:$C$141,Calendar!$A$16:$A$141,"&gt;="&amp;MAX(X$7,$J66),Calendar!$A$16:$A$141,"&lt;="&amp;MIN(X$7+4,$K66))*$H66/$G66)))</x:f>
        <x:v>0</x:v>
      </x:c>
      <x:c r="Y66" s="45" t="n">
        <x:f>IF(OR($J66="",$K66=""),"",IF(SUMIFS(Calendar!$C$16:$C$141,Calendar!$A$16:$A$141,"&gt;="&amp;MAX(Y$7,$J66),Calendar!$A$16:$A$141,"&lt;="&amp;MIN(Y$7+4,$K66))=0,0,IF($H66="","EXT",SUMIFS(Calendar!$C$16:$C$141,Calendar!$A$16:$A$141,"&gt;="&amp;MAX(Y$7,$J66),Calendar!$A$16:$A$141,"&lt;="&amp;MIN(Y$7+4,$K66))*$H66/$G66)))</x:f>
        <x:v>0</x:v>
      </x:c>
      <x:c r="Z66" s="45" t="n">
        <x:f>IF(OR($J66="",$K66=""),"",IF(SUMIFS(Calendar!$C$16:$C$141,Calendar!$A$16:$A$141,"&gt;="&amp;MAX(Z$7,$J66),Calendar!$A$16:$A$141,"&lt;="&amp;MIN(Z$7+4,$K66))=0,0,IF($H66="","EXT",SUMIFS(Calendar!$C$16:$C$141,Calendar!$A$16:$A$141,"&gt;="&amp;MAX(Z$7,$J66),Calendar!$A$16:$A$141,"&lt;="&amp;MIN(Z$7+4,$K66))*$H66/$G66)))</x:f>
        <x:v>0</x:v>
      </x:c>
      <x:c r="AA66" s="45" t="n">
        <x:f>IF(OR($J66="",$K66=""),"",IF(SUMIFS(Calendar!$C$16:$C$141,Calendar!$A$16:$A$141,"&gt;="&amp;MAX(AA$7,$J66),Calendar!$A$16:$A$141,"&lt;="&amp;MIN(AA$7+4,$K66))=0,0,IF($H66="","EXT",SUMIFS(Calendar!$C$16:$C$141,Calendar!$A$16:$A$141,"&gt;="&amp;MAX(AA$7,$J66),Calendar!$A$16:$A$141,"&lt;="&amp;MIN(AA$7+4,$K66))*$H66/$G66)))</x:f>
        <x:v>0</x:v>
      </x:c>
      <x:c r="AB66" s="45" t="n">
        <x:f>IF(OR($J66="",$K66=""),"",IF(SUMIFS(Calendar!$C$16:$C$141,Calendar!$A$16:$A$141,"&gt;="&amp;MAX(AB$7,$J66),Calendar!$A$16:$A$141,"&lt;="&amp;MIN(AB$7+4,$K66))=0,0,IF($H66="","EXT",SUMIFS(Calendar!$C$16:$C$141,Calendar!$A$16:$A$141,"&gt;="&amp;MAX(AB$7,$J66),Calendar!$A$16:$A$141,"&lt;="&amp;MIN(AB$7+4,$K66))*$H66/$G66)))</x:f>
        <x:v>0</x:v>
      </x:c>
      <x:c r="AC66" s="45" t="n">
        <x:f>IF(OR($J66="",$K66=""),"",IF(SUMIFS(Calendar!$C$16:$C$141,Calendar!$A$16:$A$141,"&gt;="&amp;MAX(AC$7,$J66),Calendar!$A$16:$A$141,"&lt;="&amp;MIN(AC$7+4,$K66))=0,0,IF($H66="","EXT",SUMIFS(Calendar!$C$16:$C$141,Calendar!$A$16:$A$141,"&gt;="&amp;MAX(AC$7,$J66),Calendar!$A$16:$A$141,"&lt;="&amp;MIN(AC$7+4,$K66))*$H66/$G66)))</x:f>
        <x:v>4</x:v>
      </x:c>
      <x:c r="AD66" s="45" t="n">
        <x:f>IF(OR($J66="",$K66=""),"",IF(SUMIFS(Calendar!$C$16:$C$141,Calendar!$A$16:$A$141,"&gt;="&amp;MAX(AD$7,$J66),Calendar!$A$16:$A$141,"&lt;="&amp;MIN(AD$7+4,$K66))=0,0,IF($H66="","EXT",SUMIFS(Calendar!$C$16:$C$141,Calendar!$A$16:$A$141,"&gt;="&amp;MAX(AD$7,$J66),Calendar!$A$16:$A$141,"&lt;="&amp;MIN(AD$7+4,$K66))*$H66/$G66)))</x:f>
        <x:v>0</x:v>
      </x:c>
      <x:c r="AE66" s="45" t="n">
        <x:f>IF(OR($J66="",$K66=""),"",IF(SUMIFS(Calendar!$C$16:$C$141,Calendar!$A$16:$A$141,"&gt;="&amp;MAX(AE$7,$J66),Calendar!$A$16:$A$141,"&lt;="&amp;MIN(AE$7+4,$K66))=0,0,IF($H66="","EXT",SUMIFS(Calendar!$C$16:$C$141,Calendar!$A$16:$A$141,"&gt;="&amp;MAX(AE$7,$J66),Calendar!$A$16:$A$141,"&lt;="&amp;MIN(AE$7+4,$K66))*$H66/$G66)))</x:f>
        <x:v>0</x:v>
      </x:c>
      <x:c r="AF66" s="8" t="n">
        <x:f>IF(OR(M66&lt;&gt;"Scheduled",INDEX('Team and Gates'!$C$7:$C$13,MATCH($D66,'Team and Gates'!$A$7:$A$13,0))=""),"CHECK",SUM(N66:AE66)*INDEX('Team and Gates'!$C$7:$C$13,MATCH($D66,'Team and Gates'!$A$7:$A$13,0)))</x:f>
        <x:v>1440</x:v>
      </x:c>
      <x:c r="AG66" s="46" t="str">
        <x:v>Pilot AMs execute first-week UAT scenarios; defects and affected regression/AI retests are recorded for final acceptance on Feb 24.</x:v>
      </x:c>
      <x:c r="AH66" s="46" t="str"/>
    </x:row>
    <x:row r="67" ht="45" customHeight="1">
      <x:c r="A67" s="39" t="str">
        <x:v>S17</x:v>
      </x:c>
      <x:c r="B67" s="39" t="str">
        <x:v>Model quality</x:v>
      </x:c>
      <x:c r="C67" s="47" t="str">
        <x:v>UAT AI-quality retests and final accepted model/prompt package</x:v>
      </x:c>
      <x:c r="D67" s="30" t="str">
        <x:v>DS</x:v>
      </x:c>
      <x:c r="E67" s="47" t="str">
        <x:v>S16, Q16, U16</x:v>
      </x:c>
      <x:c r="F67" s="50" t="n">
        <x:v>73</x:v>
      </x:c>
      <x:c r="G67" s="50" t="n">
        <x:v>3</x:v>
      </x:c>
      <x:c r="H67" s="51" t="n">
        <x:v>1.6</x:v>
      </x:c>
      <x:c r="I67" s="39" t="n">
        <x:f>IF(OR(F67="",G67=""),"",F67+G67-1)</x:f>
        <x:v>75</x:v>
      </x:c>
      <x:c r="J67" s="41" t="n">
        <x:f>IF(OR(F67="",F67&lt;1,F67&gt;Calendar!$B$9),"",INDEX(Calendar!$A$16:$A$141,MATCH(F67,Calendar!$D$16:$D$141,0)))</x:f>
        <x:v>46440</x:v>
      </x:c>
      <x:c r="K67" s="41" t="n">
        <x:f>IF(OR(I67="",I67&lt;1,I67&gt;Calendar!$B$9),"",INDEX(Calendar!$A$16:$A$141,MATCH(I67,Calendar!$D$16:$D$141,0)))</x:f>
        <x:v>46442</x:v>
      </x:c>
      <x:c r="L67" s="53" t="n">
        <x:v>0</x:v>
      </x:c>
      <x:c r="M67" s="39" t="str">
        <x:f>IF(OR(F67="",G67="",H67=""),"Missing input",IF(OR(F67&lt;1,G67&lt;1,I67&gt;Calendar!$B$9),"Outside calendar",IF(F67&lt;MAX(INDEX($I$8:$I$157,MATCH("S16",$A$8:$A$157,0))+1,INDEX($I$8:$I$157,MATCH("Q16",$A$8:$A$157,0))+1,INDEX($I$8:$I$157,MATCH("U16",$A$8:$A$157,0))+1),"Dependency conflict","Scheduled")))</x:f>
        <x:v>Scheduled</x:v>
      </x:c>
      <x:c r="N67" s="45" t="n">
        <x:f>IF(OR($J67="",$K67=""),"",IF(SUMIFS(Calendar!$C$16:$C$141,Calendar!$A$16:$A$141,"&gt;="&amp;MAX(N$7,$J67),Calendar!$A$16:$A$141,"&lt;="&amp;MIN(N$7+4,$K67))=0,0,IF($H67="","EXT",SUMIFS(Calendar!$C$16:$C$141,Calendar!$A$16:$A$141,"&gt;="&amp;MAX(N$7,$J67),Calendar!$A$16:$A$141,"&lt;="&amp;MIN(N$7+4,$K67))*$H67/$G67)))</x:f>
        <x:v>0</x:v>
      </x:c>
      <x:c r="O67" s="45" t="n">
        <x:f>IF(OR($J67="",$K67=""),"",IF(SUMIFS(Calendar!$C$16:$C$141,Calendar!$A$16:$A$141,"&gt;="&amp;MAX(O$7,$J67),Calendar!$A$16:$A$141,"&lt;="&amp;MIN(O$7+4,$K67))=0,0,IF($H67="","EXT",SUMIFS(Calendar!$C$16:$C$141,Calendar!$A$16:$A$141,"&gt;="&amp;MAX(O$7,$J67),Calendar!$A$16:$A$141,"&lt;="&amp;MIN(O$7+4,$K67))*$H67/$G67)))</x:f>
        <x:v>0</x:v>
      </x:c>
      <x:c r="P67" s="45" t="n">
        <x:f>IF(OR($J67="",$K67=""),"",IF(SUMIFS(Calendar!$C$16:$C$141,Calendar!$A$16:$A$141,"&gt;="&amp;MAX(P$7,$J67),Calendar!$A$16:$A$141,"&lt;="&amp;MIN(P$7+4,$K67))=0,0,IF($H67="","EXT",SUMIFS(Calendar!$C$16:$C$141,Calendar!$A$16:$A$141,"&gt;="&amp;MAX(P$7,$J67),Calendar!$A$16:$A$141,"&lt;="&amp;MIN(P$7+4,$K67))*$H67/$G67)))</x:f>
        <x:v>0</x:v>
      </x:c>
      <x:c r="Q67" s="45" t="n">
        <x:f>IF(OR($J67="",$K67=""),"",IF(SUMIFS(Calendar!$C$16:$C$141,Calendar!$A$16:$A$141,"&gt;="&amp;MAX(Q$7,$J67),Calendar!$A$16:$A$141,"&lt;="&amp;MIN(Q$7+4,$K67))=0,0,IF($H67="","EXT",SUMIFS(Calendar!$C$16:$C$141,Calendar!$A$16:$A$141,"&gt;="&amp;MAX(Q$7,$J67),Calendar!$A$16:$A$141,"&lt;="&amp;MIN(Q$7+4,$K67))*$H67/$G67)))</x:f>
        <x:v>0</x:v>
      </x:c>
      <x:c r="R67" s="45" t="n">
        <x:f>IF(OR($J67="",$K67=""),"",IF(SUMIFS(Calendar!$C$16:$C$141,Calendar!$A$16:$A$141,"&gt;="&amp;MAX(R$7,$J67),Calendar!$A$16:$A$141,"&lt;="&amp;MIN(R$7+4,$K67))=0,0,IF($H67="","EXT",SUMIFS(Calendar!$C$16:$C$141,Calendar!$A$16:$A$141,"&gt;="&amp;MAX(R$7,$J67),Calendar!$A$16:$A$141,"&lt;="&amp;MIN(R$7+4,$K67))*$H67/$G67)))</x:f>
        <x:v>0</x:v>
      </x:c>
      <x:c r="S67" s="45" t="n">
        <x:f>IF(OR($J67="",$K67=""),"",IF(SUMIFS(Calendar!$C$16:$C$141,Calendar!$A$16:$A$141,"&gt;="&amp;MAX(S$7,$J67),Calendar!$A$16:$A$141,"&lt;="&amp;MIN(S$7+4,$K67))=0,0,IF($H67="","EXT",SUMIFS(Calendar!$C$16:$C$141,Calendar!$A$16:$A$141,"&gt;="&amp;MAX(S$7,$J67),Calendar!$A$16:$A$141,"&lt;="&amp;MIN(S$7+4,$K67))*$H67/$G67)))</x:f>
        <x:v>0</x:v>
      </x:c>
      <x:c r="T67" s="45" t="n">
        <x:f>IF(OR($J67="",$K67=""),"",IF(SUMIFS(Calendar!$C$16:$C$141,Calendar!$A$16:$A$141,"&gt;="&amp;MAX(T$7,$J67),Calendar!$A$16:$A$141,"&lt;="&amp;MIN(T$7+4,$K67))=0,0,IF($H67="","EXT",SUMIFS(Calendar!$C$16:$C$141,Calendar!$A$16:$A$141,"&gt;="&amp;MAX(T$7,$J67),Calendar!$A$16:$A$141,"&lt;="&amp;MIN(T$7+4,$K67))*$H67/$G67)))</x:f>
        <x:v>0</x:v>
      </x:c>
      <x:c r="U67" s="45" t="n">
        <x:f>IF(OR($J67="",$K67=""),"",IF(SUMIFS(Calendar!$C$16:$C$141,Calendar!$A$16:$A$141,"&gt;="&amp;MAX(U$7,$J67),Calendar!$A$16:$A$141,"&lt;="&amp;MIN(U$7+4,$K67))=0,0,IF($H67="","EXT",SUMIFS(Calendar!$C$16:$C$141,Calendar!$A$16:$A$141,"&gt;="&amp;MAX(U$7,$J67),Calendar!$A$16:$A$141,"&lt;="&amp;MIN(U$7+4,$K67))*$H67/$G67)))</x:f>
        <x:v>0</x:v>
      </x:c>
      <x:c r="V67" s="45" t="n">
        <x:f>IF(OR($J67="",$K67=""),"",IF(SUMIFS(Calendar!$C$16:$C$141,Calendar!$A$16:$A$141,"&gt;="&amp;MAX(V$7,$J67),Calendar!$A$16:$A$141,"&lt;="&amp;MIN(V$7+4,$K67))=0,0,IF($H67="","EXT",SUMIFS(Calendar!$C$16:$C$141,Calendar!$A$16:$A$141,"&gt;="&amp;MAX(V$7,$J67),Calendar!$A$16:$A$141,"&lt;="&amp;MIN(V$7+4,$K67))*$H67/$G67)))</x:f>
        <x:v>0</x:v>
      </x:c>
      <x:c r="W67" s="45" t="n">
        <x:f>IF(OR($J67="",$K67=""),"",IF(SUMIFS(Calendar!$C$16:$C$141,Calendar!$A$16:$A$141,"&gt;="&amp;MAX(W$7,$J67),Calendar!$A$16:$A$141,"&lt;="&amp;MIN(W$7+4,$K67))=0,0,IF($H67="","EXT",SUMIFS(Calendar!$C$16:$C$141,Calendar!$A$16:$A$141,"&gt;="&amp;MAX(W$7,$J67),Calendar!$A$16:$A$141,"&lt;="&amp;MIN(W$7+4,$K67))*$H67/$G67)))</x:f>
        <x:v>0</x:v>
      </x:c>
      <x:c r="X67" s="45" t="n">
        <x:f>IF(OR($J67="",$K67=""),"",IF(SUMIFS(Calendar!$C$16:$C$141,Calendar!$A$16:$A$141,"&gt;="&amp;MAX(X$7,$J67),Calendar!$A$16:$A$141,"&lt;="&amp;MIN(X$7+4,$K67))=0,0,IF($H67="","EXT",SUMIFS(Calendar!$C$16:$C$141,Calendar!$A$16:$A$141,"&gt;="&amp;MAX(X$7,$J67),Calendar!$A$16:$A$141,"&lt;="&amp;MIN(X$7+4,$K67))*$H67/$G67)))</x:f>
        <x:v>0</x:v>
      </x:c>
      <x:c r="Y67" s="45" t="n">
        <x:f>IF(OR($J67="",$K67=""),"",IF(SUMIFS(Calendar!$C$16:$C$141,Calendar!$A$16:$A$141,"&gt;="&amp;MAX(Y$7,$J67),Calendar!$A$16:$A$141,"&lt;="&amp;MIN(Y$7+4,$K67))=0,0,IF($H67="","EXT",SUMIFS(Calendar!$C$16:$C$141,Calendar!$A$16:$A$141,"&gt;="&amp;MAX(Y$7,$J67),Calendar!$A$16:$A$141,"&lt;="&amp;MIN(Y$7+4,$K67))*$H67/$G67)))</x:f>
        <x:v>0</x:v>
      </x:c>
      <x:c r="Z67" s="45" t="n">
        <x:f>IF(OR($J67="",$K67=""),"",IF(SUMIFS(Calendar!$C$16:$C$141,Calendar!$A$16:$A$141,"&gt;="&amp;MAX(Z$7,$J67),Calendar!$A$16:$A$141,"&lt;="&amp;MIN(Z$7+4,$K67))=0,0,IF($H67="","EXT",SUMIFS(Calendar!$C$16:$C$141,Calendar!$A$16:$A$141,"&gt;="&amp;MAX(Z$7,$J67),Calendar!$A$16:$A$141,"&lt;="&amp;MIN(Z$7+4,$K67))*$H67/$G67)))</x:f>
        <x:v>0</x:v>
      </x:c>
      <x:c r="AA67" s="45" t="n">
        <x:f>IF(OR($J67="",$K67=""),"",IF(SUMIFS(Calendar!$C$16:$C$141,Calendar!$A$16:$A$141,"&gt;="&amp;MAX(AA$7,$J67),Calendar!$A$16:$A$141,"&lt;="&amp;MIN(AA$7+4,$K67))=0,0,IF($H67="","EXT",SUMIFS(Calendar!$C$16:$C$141,Calendar!$A$16:$A$141,"&gt;="&amp;MAX(AA$7,$J67),Calendar!$A$16:$A$141,"&lt;="&amp;MIN(AA$7+4,$K67))*$H67/$G67)))</x:f>
        <x:v>0</x:v>
      </x:c>
      <x:c r="AB67" s="45" t="n">
        <x:f>IF(OR($J67="",$K67=""),"",IF(SUMIFS(Calendar!$C$16:$C$141,Calendar!$A$16:$A$141,"&gt;="&amp;MAX(AB$7,$J67),Calendar!$A$16:$A$141,"&lt;="&amp;MIN(AB$7+4,$K67))=0,0,IF($H67="","EXT",SUMIFS(Calendar!$C$16:$C$141,Calendar!$A$16:$A$141,"&gt;="&amp;MAX(AB$7,$J67),Calendar!$A$16:$A$141,"&lt;="&amp;MIN(AB$7+4,$K67))*$H67/$G67)))</x:f>
        <x:v>0</x:v>
      </x:c>
      <x:c r="AC67" s="45" t="n">
        <x:f>IF(OR($J67="",$K67=""),"",IF(SUMIFS(Calendar!$C$16:$C$141,Calendar!$A$16:$A$141,"&gt;="&amp;MAX(AC$7,$J67),Calendar!$A$16:$A$141,"&lt;="&amp;MIN(AC$7+4,$K67))=0,0,IF($H67="","EXT",SUMIFS(Calendar!$C$16:$C$141,Calendar!$A$16:$A$141,"&gt;="&amp;MAX(AC$7,$J67),Calendar!$A$16:$A$141,"&lt;="&amp;MIN(AC$7+4,$K67))*$H67/$G67)))</x:f>
        <x:v>0</x:v>
      </x:c>
      <x:c r="AD67" s="45" t="n">
        <x:f>IF(OR($J67="",$K67=""),"",IF(SUMIFS(Calendar!$C$16:$C$141,Calendar!$A$16:$A$141,"&gt;="&amp;MAX(AD$7,$J67),Calendar!$A$16:$A$141,"&lt;="&amp;MIN(AD$7+4,$K67))=0,0,IF($H67="","EXT",SUMIFS(Calendar!$C$16:$C$141,Calendar!$A$16:$A$141,"&gt;="&amp;MAX(AD$7,$J67),Calendar!$A$16:$A$141,"&lt;="&amp;MIN(AD$7+4,$K67))*$H67/$G67)))</x:f>
        <x:v>1.6000000000000003</x:v>
      </x:c>
      <x:c r="AE67" s="45" t="n">
        <x:f>IF(OR($J67="",$K67=""),"",IF(SUMIFS(Calendar!$C$16:$C$141,Calendar!$A$16:$A$141,"&gt;="&amp;MAX(AE$7,$J67),Calendar!$A$16:$A$141,"&lt;="&amp;MIN(AE$7+4,$K67))=0,0,IF($H67="","EXT",SUMIFS(Calendar!$C$16:$C$141,Calendar!$A$16:$A$141,"&gt;="&amp;MAX(AE$7,$J67),Calendar!$A$16:$A$141,"&lt;="&amp;MIN(AE$7+4,$K67))*$H67/$G67)))</x:f>
        <x:v>0</x:v>
      </x:c>
      <x:c r="AF67" s="8" t="n">
        <x:f>IF(OR(M67&lt;&gt;"Scheduled",INDEX('Team and Gates'!$C$7:$C$13,MATCH($D67,'Team and Gates'!$A$7:$A$13,0))=""),"CHECK",SUM(N67:AE67)*INDEX('Team and Gates'!$C$7:$C$13,MATCH($D67,'Team and Gates'!$A$7:$A$13,0)))</x:f>
        <x:v>576.0000000000001</x:v>
      </x:c>
      <x:c r="AG67" s="46" t="str">
        <x:v>Final UAT evidence, controlled defect retests and business-owner approval are recorded by Feb 24.</x:v>
      </x:c>
      <x:c r="AH67" s="46" t="str"/>
    </x:row>
    <x:row r="68" ht="45" customHeight="1">
      <x:c r="A68" s="2" t="str">
        <x:v>S-GATE</x:v>
      </x:c>
      <x:c r="B68" s="2" t="str">
        <x:v>Model quality</x:v>
      </x:c>
      <x:c r="C68" s="46" t="str">
        <x:v>Feb 25 release readiness and Go/No-Go checks</x:v>
      </x:c>
      <x:c r="D68" s="30" t="str">
        <x:v>DS</x:v>
      </x:c>
      <x:c r="E68" s="46" t="str">
        <x:v>S17, BA17, Q17, U17</x:v>
      </x:c>
      <x:c r="F68" s="50" t="n">
        <x:v>76</x:v>
      </x:c>
      <x:c r="G68" s="50" t="n">
        <x:v>1</x:v>
      </x:c>
      <x:c r="H68" s="51" t="n">
        <x:v>0.4</x:v>
      </x:c>
      <x:c r="I68" s="2" t="n">
        <x:f>IF(OR(F68="",G68=""),"",F68+G68-1)</x:f>
        <x:v>76</x:v>
      </x:c>
      <x:c r="J68" s="5" t="n">
        <x:f>IF(OR(F68="",F68&lt;1,F68&gt;Calendar!$B$9),"",INDEX(Calendar!$A$16:$A$141,MATCH(F68,Calendar!$D$16:$D$141,0)))</x:f>
        <x:v>46443</x:v>
      </x:c>
      <x:c r="K68" s="5" t="n">
        <x:f>IF(OR(I68="",I68&lt;1,I68&gt;Calendar!$B$9),"",INDEX(Calendar!$A$16:$A$141,MATCH(I68,Calendar!$D$16:$D$141,0)))</x:f>
        <x:v>46443</x:v>
      </x:c>
      <x:c r="L68" s="53" t="n">
        <x:v>0</x:v>
      </x:c>
      <x:c r="M68" s="2" t="str">
        <x:f>IF(OR(F68="",G68="",H68=""),"Missing input",IF(OR(F68&lt;1,G68&lt;1,I68&gt;Calendar!$B$9),"Outside calendar",IF(F68&lt;MAX(INDEX($I$8:$I$157,MATCH("S17",$A$8:$A$157,0))+1,INDEX($I$8:$I$157,MATCH("BA17",$A$8:$A$157,0))+1,INDEX($I$8:$I$157,MATCH("Q17",$A$8:$A$157,0))+1,INDEX($I$8:$I$157,MATCH("U17",$A$8:$A$157,0))+1),"Dependency conflict","Scheduled")))</x:f>
        <x:v>Scheduled</x:v>
      </x:c>
      <x:c r="N68" s="45" t="n">
        <x:f>IF(OR($J68="",$K68=""),"",IF(SUMIFS(Calendar!$C$16:$C$141,Calendar!$A$16:$A$141,"&gt;="&amp;MAX(N$7,$J68),Calendar!$A$16:$A$141,"&lt;="&amp;MIN(N$7+4,$K68))=0,0,IF($H68="","EXT",SUMIFS(Calendar!$C$16:$C$141,Calendar!$A$16:$A$141,"&gt;="&amp;MAX(N$7,$J68),Calendar!$A$16:$A$141,"&lt;="&amp;MIN(N$7+4,$K68))*$H68/$G68)))</x:f>
        <x:v>0</x:v>
      </x:c>
      <x:c r="O68" s="45" t="n">
        <x:f>IF(OR($J68="",$K68=""),"",IF(SUMIFS(Calendar!$C$16:$C$141,Calendar!$A$16:$A$141,"&gt;="&amp;MAX(O$7,$J68),Calendar!$A$16:$A$141,"&lt;="&amp;MIN(O$7+4,$K68))=0,0,IF($H68="","EXT",SUMIFS(Calendar!$C$16:$C$141,Calendar!$A$16:$A$141,"&gt;="&amp;MAX(O$7,$J68),Calendar!$A$16:$A$141,"&lt;="&amp;MIN(O$7+4,$K68))*$H68/$G68)))</x:f>
        <x:v>0</x:v>
      </x:c>
      <x:c r="P68" s="45" t="n">
        <x:f>IF(OR($J68="",$K68=""),"",IF(SUMIFS(Calendar!$C$16:$C$141,Calendar!$A$16:$A$141,"&gt;="&amp;MAX(P$7,$J68),Calendar!$A$16:$A$141,"&lt;="&amp;MIN(P$7+4,$K68))=0,0,IF($H68="","EXT",SUMIFS(Calendar!$C$16:$C$141,Calendar!$A$16:$A$141,"&gt;="&amp;MAX(P$7,$J68),Calendar!$A$16:$A$141,"&lt;="&amp;MIN(P$7+4,$K68))*$H68/$G68)))</x:f>
        <x:v>0</x:v>
      </x:c>
      <x:c r="Q68" s="45" t="n">
        <x:f>IF(OR($J68="",$K68=""),"",IF(SUMIFS(Calendar!$C$16:$C$141,Calendar!$A$16:$A$141,"&gt;="&amp;MAX(Q$7,$J68),Calendar!$A$16:$A$141,"&lt;="&amp;MIN(Q$7+4,$K68))=0,0,IF($H68="","EXT",SUMIFS(Calendar!$C$16:$C$141,Calendar!$A$16:$A$141,"&gt;="&amp;MAX(Q$7,$J68),Calendar!$A$16:$A$141,"&lt;="&amp;MIN(Q$7+4,$K68))*$H68/$G68)))</x:f>
        <x:v>0</x:v>
      </x:c>
      <x:c r="R68" s="45" t="n">
        <x:f>IF(OR($J68="",$K68=""),"",IF(SUMIFS(Calendar!$C$16:$C$141,Calendar!$A$16:$A$141,"&gt;="&amp;MAX(R$7,$J68),Calendar!$A$16:$A$141,"&lt;="&amp;MIN(R$7+4,$K68))=0,0,IF($H68="","EXT",SUMIFS(Calendar!$C$16:$C$141,Calendar!$A$16:$A$141,"&gt;="&amp;MAX(R$7,$J68),Calendar!$A$16:$A$141,"&lt;="&amp;MIN(R$7+4,$K68))*$H68/$G68)))</x:f>
        <x:v>0</x:v>
      </x:c>
      <x:c r="S68" s="45" t="n">
        <x:f>IF(OR($J68="",$K68=""),"",IF(SUMIFS(Calendar!$C$16:$C$141,Calendar!$A$16:$A$141,"&gt;="&amp;MAX(S$7,$J68),Calendar!$A$16:$A$141,"&lt;="&amp;MIN(S$7+4,$K68))=0,0,IF($H68="","EXT",SUMIFS(Calendar!$C$16:$C$141,Calendar!$A$16:$A$141,"&gt;="&amp;MAX(S$7,$J68),Calendar!$A$16:$A$141,"&lt;="&amp;MIN(S$7+4,$K68))*$H68/$G68)))</x:f>
        <x:v>0</x:v>
      </x:c>
      <x:c r="T68" s="45" t="n">
        <x:f>IF(OR($J68="",$K68=""),"",IF(SUMIFS(Calendar!$C$16:$C$141,Calendar!$A$16:$A$141,"&gt;="&amp;MAX(T$7,$J68),Calendar!$A$16:$A$141,"&lt;="&amp;MIN(T$7+4,$K68))=0,0,IF($H68="","EXT",SUMIFS(Calendar!$C$16:$C$141,Calendar!$A$16:$A$141,"&gt;="&amp;MAX(T$7,$J68),Calendar!$A$16:$A$141,"&lt;="&amp;MIN(T$7+4,$K68))*$H68/$G68)))</x:f>
        <x:v>0</x:v>
      </x:c>
      <x:c r="U68" s="45" t="n">
        <x:f>IF(OR($J68="",$K68=""),"",IF(SUMIFS(Calendar!$C$16:$C$141,Calendar!$A$16:$A$141,"&gt;="&amp;MAX(U$7,$J68),Calendar!$A$16:$A$141,"&lt;="&amp;MIN(U$7+4,$K68))=0,0,IF($H68="","EXT",SUMIFS(Calendar!$C$16:$C$141,Calendar!$A$16:$A$141,"&gt;="&amp;MAX(U$7,$J68),Calendar!$A$16:$A$141,"&lt;="&amp;MIN(U$7+4,$K68))*$H68/$G68)))</x:f>
        <x:v>0</x:v>
      </x:c>
      <x:c r="V68" s="45" t="n">
        <x:f>IF(OR($J68="",$K68=""),"",IF(SUMIFS(Calendar!$C$16:$C$141,Calendar!$A$16:$A$141,"&gt;="&amp;MAX(V$7,$J68),Calendar!$A$16:$A$141,"&lt;="&amp;MIN(V$7+4,$K68))=0,0,IF($H68="","EXT",SUMIFS(Calendar!$C$16:$C$141,Calendar!$A$16:$A$141,"&gt;="&amp;MAX(V$7,$J68),Calendar!$A$16:$A$141,"&lt;="&amp;MIN(V$7+4,$K68))*$H68/$G68)))</x:f>
        <x:v>0</x:v>
      </x:c>
      <x:c r="W68" s="45" t="n">
        <x:f>IF(OR($J68="",$K68=""),"",IF(SUMIFS(Calendar!$C$16:$C$141,Calendar!$A$16:$A$141,"&gt;="&amp;MAX(W$7,$J68),Calendar!$A$16:$A$141,"&lt;="&amp;MIN(W$7+4,$K68))=0,0,IF($H68="","EXT",SUMIFS(Calendar!$C$16:$C$141,Calendar!$A$16:$A$141,"&gt;="&amp;MAX(W$7,$J68),Calendar!$A$16:$A$141,"&lt;="&amp;MIN(W$7+4,$K68))*$H68/$G68)))</x:f>
        <x:v>0</x:v>
      </x:c>
      <x:c r="X68" s="45" t="n">
        <x:f>IF(OR($J68="",$K68=""),"",IF(SUMIFS(Calendar!$C$16:$C$141,Calendar!$A$16:$A$141,"&gt;="&amp;MAX(X$7,$J68),Calendar!$A$16:$A$141,"&lt;="&amp;MIN(X$7+4,$K68))=0,0,IF($H68="","EXT",SUMIFS(Calendar!$C$16:$C$141,Calendar!$A$16:$A$141,"&gt;="&amp;MAX(X$7,$J68),Calendar!$A$16:$A$141,"&lt;="&amp;MIN(X$7+4,$K68))*$H68/$G68)))</x:f>
        <x:v>0</x:v>
      </x:c>
      <x:c r="Y68" s="45" t="n">
        <x:f>IF(OR($J68="",$K68=""),"",IF(SUMIFS(Calendar!$C$16:$C$141,Calendar!$A$16:$A$141,"&gt;="&amp;MAX(Y$7,$J68),Calendar!$A$16:$A$141,"&lt;="&amp;MIN(Y$7+4,$K68))=0,0,IF($H68="","EXT",SUMIFS(Calendar!$C$16:$C$141,Calendar!$A$16:$A$141,"&gt;="&amp;MAX(Y$7,$J68),Calendar!$A$16:$A$141,"&lt;="&amp;MIN(Y$7+4,$K68))*$H68/$G68)))</x:f>
        <x:v>0</x:v>
      </x:c>
      <x:c r="Z68" s="45" t="n">
        <x:f>IF(OR($J68="",$K68=""),"",IF(SUMIFS(Calendar!$C$16:$C$141,Calendar!$A$16:$A$141,"&gt;="&amp;MAX(Z$7,$J68),Calendar!$A$16:$A$141,"&lt;="&amp;MIN(Z$7+4,$K68))=0,0,IF($H68="","EXT",SUMIFS(Calendar!$C$16:$C$141,Calendar!$A$16:$A$141,"&gt;="&amp;MAX(Z$7,$J68),Calendar!$A$16:$A$141,"&lt;="&amp;MIN(Z$7+4,$K68))*$H68/$G68)))</x:f>
        <x:v>0</x:v>
      </x:c>
      <x:c r="AA68" s="45" t="n">
        <x:f>IF(OR($J68="",$K68=""),"",IF(SUMIFS(Calendar!$C$16:$C$141,Calendar!$A$16:$A$141,"&gt;="&amp;MAX(AA$7,$J68),Calendar!$A$16:$A$141,"&lt;="&amp;MIN(AA$7+4,$K68))=0,0,IF($H68="","EXT",SUMIFS(Calendar!$C$16:$C$141,Calendar!$A$16:$A$141,"&gt;="&amp;MAX(AA$7,$J68),Calendar!$A$16:$A$141,"&lt;="&amp;MIN(AA$7+4,$K68))*$H68/$G68)))</x:f>
        <x:v>0</x:v>
      </x:c>
      <x:c r="AB68" s="45" t="n">
        <x:f>IF(OR($J68="",$K68=""),"",IF(SUMIFS(Calendar!$C$16:$C$141,Calendar!$A$16:$A$141,"&gt;="&amp;MAX(AB$7,$J68),Calendar!$A$16:$A$141,"&lt;="&amp;MIN(AB$7+4,$K68))=0,0,IF($H68="","EXT",SUMIFS(Calendar!$C$16:$C$141,Calendar!$A$16:$A$141,"&gt;="&amp;MAX(AB$7,$J68),Calendar!$A$16:$A$141,"&lt;="&amp;MIN(AB$7+4,$K68))*$H68/$G68)))</x:f>
        <x:v>0</x:v>
      </x:c>
      <x:c r="AC68" s="45" t="n">
        <x:f>IF(OR($J68="",$K68=""),"",IF(SUMIFS(Calendar!$C$16:$C$141,Calendar!$A$16:$A$141,"&gt;="&amp;MAX(AC$7,$J68),Calendar!$A$16:$A$141,"&lt;="&amp;MIN(AC$7+4,$K68))=0,0,IF($H68="","EXT",SUMIFS(Calendar!$C$16:$C$141,Calendar!$A$16:$A$141,"&gt;="&amp;MAX(AC$7,$J68),Calendar!$A$16:$A$141,"&lt;="&amp;MIN(AC$7+4,$K68))*$H68/$G68)))</x:f>
        <x:v>0</x:v>
      </x:c>
      <x:c r="AD68" s="45" t="n">
        <x:f>IF(OR($J68="",$K68=""),"",IF(SUMIFS(Calendar!$C$16:$C$141,Calendar!$A$16:$A$141,"&gt;="&amp;MAX(AD$7,$J68),Calendar!$A$16:$A$141,"&lt;="&amp;MIN(AD$7+4,$K68))=0,0,IF($H68="","EXT",SUMIFS(Calendar!$C$16:$C$141,Calendar!$A$16:$A$141,"&gt;="&amp;MAX(AD$7,$J68),Calendar!$A$16:$A$141,"&lt;="&amp;MIN(AD$7+4,$K68))*$H68/$G68)))</x:f>
        <x:v>0.4</x:v>
      </x:c>
      <x:c r="AE68" s="45" t="n">
        <x:f>IF(OR($J68="",$K68=""),"",IF(SUMIFS(Calendar!$C$16:$C$141,Calendar!$A$16:$A$141,"&gt;="&amp;MAX(AE$7,$J68),Calendar!$A$16:$A$141,"&lt;="&amp;MIN(AE$7+4,$K68))=0,0,IF($H68="","EXT",SUMIFS(Calendar!$C$16:$C$141,Calendar!$A$16:$A$141,"&gt;="&amp;MAX(AE$7,$J68),Calendar!$A$16:$A$141,"&lt;="&amp;MIN(AE$7+4,$K68))*$H68/$G68)))</x:f>
        <x:v>0</x:v>
      </x:c>
      <x:c r="AF68" s="8" t="n">
        <x:f>IF(OR(M68&lt;&gt;"Scheduled",INDEX('Team and Gates'!$C$7:$C$13,MATCH($D68,'Team and Gates'!$A$7:$A$13,0))=""),"CHECK",SUM(N68:AE68)*INDEX('Team and Gates'!$C$7:$C$13,MATCH($D68,'Team and Gates'!$A$7:$A$13,0)))</x:f>
        <x:v>144</x:v>
      </x:c>
      <x:c r="AG68" s="46" t="str">
        <x:v>Release owner, QA and business owner record Go decision after UAT signoff, blocking defect closure, production access and rollback checks.</x:v>
      </x:c>
      <x:c r="AH68" s="46" t="str">
        <x:v>Dedicated working day after Feb 24 UAT approval. Confirm staffed Friday rollout and weekend on-call/rollback coverage.</x:v>
      </x:c>
    </x:row>
    <x:row r="69" ht="45" customHeight="1">
      <x:c r="A69" s="39" t="str">
        <x:v>S-REL</x:v>
      </x:c>
      <x:c r="B69" s="39" t="str">
        <x:v>Model quality</x:v>
      </x:c>
      <x:c r="C69" s="47" t="str">
        <x:v>Feb 26 production rollout support and controlled validation</x:v>
      </x:c>
      <x:c r="D69" s="30" t="str">
        <x:v>DS</x:v>
      </x:c>
      <x:c r="E69" s="47" t="str">
        <x:v>S-GATE, A-GATE, B-GATE, BA-GATE, Q-GATE, U-GATE</x:v>
      </x:c>
      <x:c r="F69" s="50" t="n">
        <x:v>77</x:v>
      </x:c>
      <x:c r="G69" s="50" t="n">
        <x:v>1</x:v>
      </x:c>
      <x:c r="H69" s="51" t="n">
        <x:v>0.4</x:v>
      </x:c>
      <x:c r="I69" s="39" t="n">
        <x:f>IF(OR(F69="",G69=""),"",F69+G69-1)</x:f>
        <x:v>77</x:v>
      </x:c>
      <x:c r="J69" s="41" t="n">
        <x:f>IF(OR(F69="",F69&lt;1,F69&gt;Calendar!$B$9),"",INDEX(Calendar!$A$16:$A$141,MATCH(F69,Calendar!$D$16:$D$141,0)))</x:f>
        <x:v>46444</x:v>
      </x:c>
      <x:c r="K69" s="41" t="n">
        <x:f>IF(OR(I69="",I69&lt;1,I69&gt;Calendar!$B$9),"",INDEX(Calendar!$A$16:$A$141,MATCH(I69,Calendar!$D$16:$D$141,0)))</x:f>
        <x:v>46444</x:v>
      </x:c>
      <x:c r="L69" s="53" t="n">
        <x:v>0</x:v>
      </x:c>
      <x:c r="M69" s="39" t="str">
        <x:f>IF(OR(F69="",G69="",H69=""),"Missing input",IF(OR(F69&lt;1,G69&lt;1,I69&gt;Calendar!$B$9),"Outside calendar",IF(F69&lt;MAX(INDEX($I$8:$I$157,MATCH("S-GATE",$A$8:$A$157,0))+1,INDEX($I$8:$I$157,MATCH("A-GATE",$A$8:$A$157,0))+1,INDEX($I$8:$I$157,MATCH("B-GATE",$A$8:$A$157,0))+1,INDEX($I$8:$I$157,MATCH("BA-GATE",$A$8:$A$157,0))+1,INDEX($I$8:$I$157,MATCH("Q-GATE",$A$8:$A$157,0))+1,INDEX($I$8:$I$157,MATCH("U-GATE",$A$8:$A$157,0))+1),"Dependency conflict","Scheduled")))</x:f>
        <x:v>Scheduled</x:v>
      </x:c>
      <x:c r="N69" s="45" t="n">
        <x:f>IF(OR($J69="",$K69=""),"",IF(SUMIFS(Calendar!$C$16:$C$141,Calendar!$A$16:$A$141,"&gt;="&amp;MAX(N$7,$J69),Calendar!$A$16:$A$141,"&lt;="&amp;MIN(N$7+4,$K69))=0,0,IF($H69="","EXT",SUMIFS(Calendar!$C$16:$C$141,Calendar!$A$16:$A$141,"&gt;="&amp;MAX(N$7,$J69),Calendar!$A$16:$A$141,"&lt;="&amp;MIN(N$7+4,$K69))*$H69/$G69)))</x:f>
        <x:v>0</x:v>
      </x:c>
      <x:c r="O69" s="45" t="n">
        <x:f>IF(OR($J69="",$K69=""),"",IF(SUMIFS(Calendar!$C$16:$C$141,Calendar!$A$16:$A$141,"&gt;="&amp;MAX(O$7,$J69),Calendar!$A$16:$A$141,"&lt;="&amp;MIN(O$7+4,$K69))=0,0,IF($H69="","EXT",SUMIFS(Calendar!$C$16:$C$141,Calendar!$A$16:$A$141,"&gt;="&amp;MAX(O$7,$J69),Calendar!$A$16:$A$141,"&lt;="&amp;MIN(O$7+4,$K69))*$H69/$G69)))</x:f>
        <x:v>0</x:v>
      </x:c>
      <x:c r="P69" s="45" t="n">
        <x:f>IF(OR($J69="",$K69=""),"",IF(SUMIFS(Calendar!$C$16:$C$141,Calendar!$A$16:$A$141,"&gt;="&amp;MAX(P$7,$J69),Calendar!$A$16:$A$141,"&lt;="&amp;MIN(P$7+4,$K69))=0,0,IF($H69="","EXT",SUMIFS(Calendar!$C$16:$C$141,Calendar!$A$16:$A$141,"&gt;="&amp;MAX(P$7,$J69),Calendar!$A$16:$A$141,"&lt;="&amp;MIN(P$7+4,$K69))*$H69/$G69)))</x:f>
        <x:v>0</x:v>
      </x:c>
      <x:c r="Q69" s="45" t="n">
        <x:f>IF(OR($J69="",$K69=""),"",IF(SUMIFS(Calendar!$C$16:$C$141,Calendar!$A$16:$A$141,"&gt;="&amp;MAX(Q$7,$J69),Calendar!$A$16:$A$141,"&lt;="&amp;MIN(Q$7+4,$K69))=0,0,IF($H69="","EXT",SUMIFS(Calendar!$C$16:$C$141,Calendar!$A$16:$A$141,"&gt;="&amp;MAX(Q$7,$J69),Calendar!$A$16:$A$141,"&lt;="&amp;MIN(Q$7+4,$K69))*$H69/$G69)))</x:f>
        <x:v>0</x:v>
      </x:c>
      <x:c r="R69" s="45" t="n">
        <x:f>IF(OR($J69="",$K69=""),"",IF(SUMIFS(Calendar!$C$16:$C$141,Calendar!$A$16:$A$141,"&gt;="&amp;MAX(R$7,$J69),Calendar!$A$16:$A$141,"&lt;="&amp;MIN(R$7+4,$K69))=0,0,IF($H69="","EXT",SUMIFS(Calendar!$C$16:$C$141,Calendar!$A$16:$A$141,"&gt;="&amp;MAX(R$7,$J69),Calendar!$A$16:$A$141,"&lt;="&amp;MIN(R$7+4,$K69))*$H69/$G69)))</x:f>
        <x:v>0</x:v>
      </x:c>
      <x:c r="S69" s="45" t="n">
        <x:f>IF(OR($J69="",$K69=""),"",IF(SUMIFS(Calendar!$C$16:$C$141,Calendar!$A$16:$A$141,"&gt;="&amp;MAX(S$7,$J69),Calendar!$A$16:$A$141,"&lt;="&amp;MIN(S$7+4,$K69))=0,0,IF($H69="","EXT",SUMIFS(Calendar!$C$16:$C$141,Calendar!$A$16:$A$141,"&gt;="&amp;MAX(S$7,$J69),Calendar!$A$16:$A$141,"&lt;="&amp;MIN(S$7+4,$K69))*$H69/$G69)))</x:f>
        <x:v>0</x:v>
      </x:c>
      <x:c r="T69" s="45" t="n">
        <x:f>IF(OR($J69="",$K69=""),"",IF(SUMIFS(Calendar!$C$16:$C$141,Calendar!$A$16:$A$141,"&gt;="&amp;MAX(T$7,$J69),Calendar!$A$16:$A$141,"&lt;="&amp;MIN(T$7+4,$K69))=0,0,IF($H69="","EXT",SUMIFS(Calendar!$C$16:$C$141,Calendar!$A$16:$A$141,"&gt;="&amp;MAX(T$7,$J69),Calendar!$A$16:$A$141,"&lt;="&amp;MIN(T$7+4,$K69))*$H69/$G69)))</x:f>
        <x:v>0</x:v>
      </x:c>
      <x:c r="U69" s="45" t="n">
        <x:f>IF(OR($J69="",$K69=""),"",IF(SUMIFS(Calendar!$C$16:$C$141,Calendar!$A$16:$A$141,"&gt;="&amp;MAX(U$7,$J69),Calendar!$A$16:$A$141,"&lt;="&amp;MIN(U$7+4,$K69))=0,0,IF($H69="","EXT",SUMIFS(Calendar!$C$16:$C$141,Calendar!$A$16:$A$141,"&gt;="&amp;MAX(U$7,$J69),Calendar!$A$16:$A$141,"&lt;="&amp;MIN(U$7+4,$K69))*$H69/$G69)))</x:f>
        <x:v>0</x:v>
      </x:c>
      <x:c r="V69" s="45" t="n">
        <x:f>IF(OR($J69="",$K69=""),"",IF(SUMIFS(Calendar!$C$16:$C$141,Calendar!$A$16:$A$141,"&gt;="&amp;MAX(V$7,$J69),Calendar!$A$16:$A$141,"&lt;="&amp;MIN(V$7+4,$K69))=0,0,IF($H69="","EXT",SUMIFS(Calendar!$C$16:$C$141,Calendar!$A$16:$A$141,"&gt;="&amp;MAX(V$7,$J69),Calendar!$A$16:$A$141,"&lt;="&amp;MIN(V$7+4,$K69))*$H69/$G69)))</x:f>
        <x:v>0</x:v>
      </x:c>
      <x:c r="W69" s="45" t="n">
        <x:f>IF(OR($J69="",$K69=""),"",IF(SUMIFS(Calendar!$C$16:$C$141,Calendar!$A$16:$A$141,"&gt;="&amp;MAX(W$7,$J69),Calendar!$A$16:$A$141,"&lt;="&amp;MIN(W$7+4,$K69))=0,0,IF($H69="","EXT",SUMIFS(Calendar!$C$16:$C$141,Calendar!$A$16:$A$141,"&gt;="&amp;MAX(W$7,$J69),Calendar!$A$16:$A$141,"&lt;="&amp;MIN(W$7+4,$K69))*$H69/$G69)))</x:f>
        <x:v>0</x:v>
      </x:c>
      <x:c r="X69" s="45" t="n">
        <x:f>IF(OR($J69="",$K69=""),"",IF(SUMIFS(Calendar!$C$16:$C$141,Calendar!$A$16:$A$141,"&gt;="&amp;MAX(X$7,$J69),Calendar!$A$16:$A$141,"&lt;="&amp;MIN(X$7+4,$K69))=0,0,IF($H69="","EXT",SUMIFS(Calendar!$C$16:$C$141,Calendar!$A$16:$A$141,"&gt;="&amp;MAX(X$7,$J69),Calendar!$A$16:$A$141,"&lt;="&amp;MIN(X$7+4,$K69))*$H69/$G69)))</x:f>
        <x:v>0</x:v>
      </x:c>
      <x:c r="Y69" s="45" t="n">
        <x:f>IF(OR($J69="",$K69=""),"",IF(SUMIFS(Calendar!$C$16:$C$141,Calendar!$A$16:$A$141,"&gt;="&amp;MAX(Y$7,$J69),Calendar!$A$16:$A$141,"&lt;="&amp;MIN(Y$7+4,$K69))=0,0,IF($H69="","EXT",SUMIFS(Calendar!$C$16:$C$141,Calendar!$A$16:$A$141,"&gt;="&amp;MAX(Y$7,$J69),Calendar!$A$16:$A$141,"&lt;="&amp;MIN(Y$7+4,$K69))*$H69/$G69)))</x:f>
        <x:v>0</x:v>
      </x:c>
      <x:c r="Z69" s="45" t="n">
        <x:f>IF(OR($J69="",$K69=""),"",IF(SUMIFS(Calendar!$C$16:$C$141,Calendar!$A$16:$A$141,"&gt;="&amp;MAX(Z$7,$J69),Calendar!$A$16:$A$141,"&lt;="&amp;MIN(Z$7+4,$K69))=0,0,IF($H69="","EXT",SUMIFS(Calendar!$C$16:$C$141,Calendar!$A$16:$A$141,"&gt;="&amp;MAX(Z$7,$J69),Calendar!$A$16:$A$141,"&lt;="&amp;MIN(Z$7+4,$K69))*$H69/$G69)))</x:f>
        <x:v>0</x:v>
      </x:c>
      <x:c r="AA69" s="45" t="n">
        <x:f>IF(OR($J69="",$K69=""),"",IF(SUMIFS(Calendar!$C$16:$C$141,Calendar!$A$16:$A$141,"&gt;="&amp;MAX(AA$7,$J69),Calendar!$A$16:$A$141,"&lt;="&amp;MIN(AA$7+4,$K69))=0,0,IF($H69="","EXT",SUMIFS(Calendar!$C$16:$C$141,Calendar!$A$16:$A$141,"&gt;="&amp;MAX(AA$7,$J69),Calendar!$A$16:$A$141,"&lt;="&amp;MIN(AA$7+4,$K69))*$H69/$G69)))</x:f>
        <x:v>0</x:v>
      </x:c>
      <x:c r="AB69" s="45" t="n">
        <x:f>IF(OR($J69="",$K69=""),"",IF(SUMIFS(Calendar!$C$16:$C$141,Calendar!$A$16:$A$141,"&gt;="&amp;MAX(AB$7,$J69),Calendar!$A$16:$A$141,"&lt;="&amp;MIN(AB$7+4,$K69))=0,0,IF($H69="","EXT",SUMIFS(Calendar!$C$16:$C$141,Calendar!$A$16:$A$141,"&gt;="&amp;MAX(AB$7,$J69),Calendar!$A$16:$A$141,"&lt;="&amp;MIN(AB$7+4,$K69))*$H69/$G69)))</x:f>
        <x:v>0</x:v>
      </x:c>
      <x:c r="AC69" s="45" t="n">
        <x:f>IF(OR($J69="",$K69=""),"",IF(SUMIFS(Calendar!$C$16:$C$141,Calendar!$A$16:$A$141,"&gt;="&amp;MAX(AC$7,$J69),Calendar!$A$16:$A$141,"&lt;="&amp;MIN(AC$7+4,$K69))=0,0,IF($H69="","EXT",SUMIFS(Calendar!$C$16:$C$141,Calendar!$A$16:$A$141,"&gt;="&amp;MAX(AC$7,$J69),Calendar!$A$16:$A$141,"&lt;="&amp;MIN(AC$7+4,$K69))*$H69/$G69)))</x:f>
        <x:v>0</x:v>
      </x:c>
      <x:c r="AD69" s="45" t="n">
        <x:f>IF(OR($J69="",$K69=""),"",IF(SUMIFS(Calendar!$C$16:$C$141,Calendar!$A$16:$A$141,"&gt;="&amp;MAX(AD$7,$J69),Calendar!$A$16:$A$141,"&lt;="&amp;MIN(AD$7+4,$K69))=0,0,IF($H69="","EXT",SUMIFS(Calendar!$C$16:$C$141,Calendar!$A$16:$A$141,"&gt;="&amp;MAX(AD$7,$J69),Calendar!$A$16:$A$141,"&lt;="&amp;MIN(AD$7+4,$K69))*$H69/$G69)))</x:f>
        <x:v>0.4</x:v>
      </x:c>
      <x:c r="AE69" s="45" t="n">
        <x:f>IF(OR($J69="",$K69=""),"",IF(SUMIFS(Calendar!$C$16:$C$141,Calendar!$A$16:$A$141,"&gt;="&amp;MAX(AE$7,$J69),Calendar!$A$16:$A$141,"&lt;="&amp;MIN(AE$7+4,$K69))=0,0,IF($H69="","EXT",SUMIFS(Calendar!$C$16:$C$141,Calendar!$A$16:$A$141,"&gt;="&amp;MAX(AE$7,$J69),Calendar!$A$16:$A$141,"&lt;="&amp;MIN(AE$7+4,$K69))*$H69/$G69)))</x:f>
        <x:v>0</x:v>
      </x:c>
      <x:c r="AF69" s="8" t="n">
        <x:f>IF(OR(M69&lt;&gt;"Scheduled",INDEX('Team and Gates'!$C$7:$C$13,MATCH($D69,'Team and Gates'!$A$7:$A$13,0))=""),"CHECK",SUM(N69:AE69)*INDEX('Team and Gates'!$C$7:$C$13,MATCH($D69,'Team and Gates'!$A$7:$A$13,0)))</x:f>
        <x:v>144</x:v>
      </x:c>
      <x:c r="AG69" s="46" t="str">
        <x:v>Deploy after Go decision; pass technical/business smoke and approved-send checks. Record monitoring, rollback and on-call ownership.</x:v>
      </x:c>
      <x:c r="AH69" s="46" t="str">
        <x:v>Friday rollout needs an agreed deployment/rollback window and weekend on-call coverage.</x:v>
      </x:c>
    </x:row>
    <x:row r="70" ht="45" customHeight="1">
      <x:c r="A70" s="2" t="str">
        <x:v>S18</x:v>
      </x:c>
      <x:c r="B70" s="2" t="str">
        <x:v>Model quality</x:v>
      </x:c>
      <x:c r="C70" s="46" t="str">
        <x:v>Production AI quality, latency and token-cost monitoring</x:v>
      </x:c>
      <x:c r="D70" s="30" t="str">
        <x:v>DS</x:v>
      </x:c>
      <x:c r="E70" s="46" t="str">
        <x:v>S17, BA17, Q17, U17, S-REL</x:v>
      </x:c>
      <x:c r="F70" s="50" t="n">
        <x:v>78</x:v>
      </x:c>
      <x:c r="G70" s="50" t="n">
        <x:v>5</x:v>
      </x:c>
      <x:c r="H70" s="51" t="n">
        <x:v>2</x:v>
      </x:c>
      <x:c r="I70" s="2" t="n">
        <x:f>IF(OR(F70="",G70=""),"",F70+G70-1)</x:f>
        <x:v>82</x:v>
      </x:c>
      <x:c r="J70" s="5" t="n">
        <x:f>IF(OR(F70="",F70&lt;1,F70&gt;Calendar!$B$9),"",INDEX(Calendar!$A$16:$A$141,MATCH(F70,Calendar!$D$16:$D$141,0)))</x:f>
        <x:v>46447</x:v>
      </x:c>
      <x:c r="K70" s="5" t="n">
        <x:f>IF(OR(I70="",I70&lt;1,I70&gt;Calendar!$B$9),"",INDEX(Calendar!$A$16:$A$141,MATCH(I70,Calendar!$D$16:$D$141,0)))</x:f>
        <x:v>46451</x:v>
      </x:c>
      <x:c r="L70" s="53" t="n">
        <x:v>0</x:v>
      </x:c>
      <x:c r="M70" s="2" t="str">
        <x:f>IF(OR(F70="",G70="",H70=""),"Missing input",IF(OR(F70&lt;1,G70&lt;1,I70&gt;Calendar!$B$9),"Outside calendar",IF(F70&lt;MAX(INDEX($I$8:$I$157,MATCH("S17",$A$8:$A$157,0))+1,INDEX($I$8:$I$157,MATCH("BA17",$A$8:$A$157,0))+1,INDEX($I$8:$I$157,MATCH("Q17",$A$8:$A$157,0))+1,INDEX($I$8:$I$157,MATCH("U17",$A$8:$A$157,0))+1,INDEX($I$8:$I$157,MATCH("S-REL",$A$8:$A$157,0))+1),"Dependency conflict","Scheduled")))</x:f>
        <x:v>Scheduled</x:v>
      </x:c>
      <x:c r="N70" s="45" t="n">
        <x:f>IF(OR($J70="",$K70=""),"",IF(SUMIFS(Calendar!$C$16:$C$141,Calendar!$A$16:$A$141,"&gt;="&amp;MAX(N$7,$J70),Calendar!$A$16:$A$141,"&lt;="&amp;MIN(N$7+4,$K70))=0,0,IF($H70="","EXT",SUMIFS(Calendar!$C$16:$C$141,Calendar!$A$16:$A$141,"&gt;="&amp;MAX(N$7,$J70),Calendar!$A$16:$A$141,"&lt;="&amp;MIN(N$7+4,$K70))*$H70/$G70)))</x:f>
        <x:v>0</x:v>
      </x:c>
      <x:c r="O70" s="45" t="n">
        <x:f>IF(OR($J70="",$K70=""),"",IF(SUMIFS(Calendar!$C$16:$C$141,Calendar!$A$16:$A$141,"&gt;="&amp;MAX(O$7,$J70),Calendar!$A$16:$A$141,"&lt;="&amp;MIN(O$7+4,$K70))=0,0,IF($H70="","EXT",SUMIFS(Calendar!$C$16:$C$141,Calendar!$A$16:$A$141,"&gt;="&amp;MAX(O$7,$J70),Calendar!$A$16:$A$141,"&lt;="&amp;MIN(O$7+4,$K70))*$H70/$G70)))</x:f>
        <x:v>0</x:v>
      </x:c>
      <x:c r="P70" s="45" t="n">
        <x:f>IF(OR($J70="",$K70=""),"",IF(SUMIFS(Calendar!$C$16:$C$141,Calendar!$A$16:$A$141,"&gt;="&amp;MAX(P$7,$J70),Calendar!$A$16:$A$141,"&lt;="&amp;MIN(P$7+4,$K70))=0,0,IF($H70="","EXT",SUMIFS(Calendar!$C$16:$C$141,Calendar!$A$16:$A$141,"&gt;="&amp;MAX(P$7,$J70),Calendar!$A$16:$A$141,"&lt;="&amp;MIN(P$7+4,$K70))*$H70/$G70)))</x:f>
        <x:v>0</x:v>
      </x:c>
      <x:c r="Q70" s="45" t="n">
        <x:f>IF(OR($J70="",$K70=""),"",IF(SUMIFS(Calendar!$C$16:$C$141,Calendar!$A$16:$A$141,"&gt;="&amp;MAX(Q$7,$J70),Calendar!$A$16:$A$141,"&lt;="&amp;MIN(Q$7+4,$K70))=0,0,IF($H70="","EXT",SUMIFS(Calendar!$C$16:$C$141,Calendar!$A$16:$A$141,"&gt;="&amp;MAX(Q$7,$J70),Calendar!$A$16:$A$141,"&lt;="&amp;MIN(Q$7+4,$K70))*$H70/$G70)))</x:f>
        <x:v>0</x:v>
      </x:c>
      <x:c r="R70" s="45" t="n">
        <x:f>IF(OR($J70="",$K70=""),"",IF(SUMIFS(Calendar!$C$16:$C$141,Calendar!$A$16:$A$141,"&gt;="&amp;MAX(R$7,$J70),Calendar!$A$16:$A$141,"&lt;="&amp;MIN(R$7+4,$K70))=0,0,IF($H70="","EXT",SUMIFS(Calendar!$C$16:$C$141,Calendar!$A$16:$A$141,"&gt;="&amp;MAX(R$7,$J70),Calendar!$A$16:$A$141,"&lt;="&amp;MIN(R$7+4,$K70))*$H70/$G70)))</x:f>
        <x:v>0</x:v>
      </x:c>
      <x:c r="S70" s="45" t="n">
        <x:f>IF(OR($J70="",$K70=""),"",IF(SUMIFS(Calendar!$C$16:$C$141,Calendar!$A$16:$A$141,"&gt;="&amp;MAX(S$7,$J70),Calendar!$A$16:$A$141,"&lt;="&amp;MIN(S$7+4,$K70))=0,0,IF($H70="","EXT",SUMIFS(Calendar!$C$16:$C$141,Calendar!$A$16:$A$141,"&gt;="&amp;MAX(S$7,$J70),Calendar!$A$16:$A$141,"&lt;="&amp;MIN(S$7+4,$K70))*$H70/$G70)))</x:f>
        <x:v>0</x:v>
      </x:c>
      <x:c r="T70" s="45" t="n">
        <x:f>IF(OR($J70="",$K70=""),"",IF(SUMIFS(Calendar!$C$16:$C$141,Calendar!$A$16:$A$141,"&gt;="&amp;MAX(T$7,$J70),Calendar!$A$16:$A$141,"&lt;="&amp;MIN(T$7+4,$K70))=0,0,IF($H70="","EXT",SUMIFS(Calendar!$C$16:$C$141,Calendar!$A$16:$A$141,"&gt;="&amp;MAX(T$7,$J70),Calendar!$A$16:$A$141,"&lt;="&amp;MIN(T$7+4,$K70))*$H70/$G70)))</x:f>
        <x:v>0</x:v>
      </x:c>
      <x:c r="U70" s="45" t="n">
        <x:f>IF(OR($J70="",$K70=""),"",IF(SUMIFS(Calendar!$C$16:$C$141,Calendar!$A$16:$A$141,"&gt;="&amp;MAX(U$7,$J70),Calendar!$A$16:$A$141,"&lt;="&amp;MIN(U$7+4,$K70))=0,0,IF($H70="","EXT",SUMIFS(Calendar!$C$16:$C$141,Calendar!$A$16:$A$141,"&gt;="&amp;MAX(U$7,$J70),Calendar!$A$16:$A$141,"&lt;="&amp;MIN(U$7+4,$K70))*$H70/$G70)))</x:f>
        <x:v>0</x:v>
      </x:c>
      <x:c r="V70" s="45" t="n">
        <x:f>IF(OR($J70="",$K70=""),"",IF(SUMIFS(Calendar!$C$16:$C$141,Calendar!$A$16:$A$141,"&gt;="&amp;MAX(V$7,$J70),Calendar!$A$16:$A$141,"&lt;="&amp;MIN(V$7+4,$K70))=0,0,IF($H70="","EXT",SUMIFS(Calendar!$C$16:$C$141,Calendar!$A$16:$A$141,"&gt;="&amp;MAX(V$7,$J70),Calendar!$A$16:$A$141,"&lt;="&amp;MIN(V$7+4,$K70))*$H70/$G70)))</x:f>
        <x:v>0</x:v>
      </x:c>
      <x:c r="W70" s="45" t="n">
        <x:f>IF(OR($J70="",$K70=""),"",IF(SUMIFS(Calendar!$C$16:$C$141,Calendar!$A$16:$A$141,"&gt;="&amp;MAX(W$7,$J70),Calendar!$A$16:$A$141,"&lt;="&amp;MIN(W$7+4,$K70))=0,0,IF($H70="","EXT",SUMIFS(Calendar!$C$16:$C$141,Calendar!$A$16:$A$141,"&gt;="&amp;MAX(W$7,$J70),Calendar!$A$16:$A$141,"&lt;="&amp;MIN(W$7+4,$K70))*$H70/$G70)))</x:f>
        <x:v>0</x:v>
      </x:c>
      <x:c r="X70" s="45" t="n">
        <x:f>IF(OR($J70="",$K70=""),"",IF(SUMIFS(Calendar!$C$16:$C$141,Calendar!$A$16:$A$141,"&gt;="&amp;MAX(X$7,$J70),Calendar!$A$16:$A$141,"&lt;="&amp;MIN(X$7+4,$K70))=0,0,IF($H70="","EXT",SUMIFS(Calendar!$C$16:$C$141,Calendar!$A$16:$A$141,"&gt;="&amp;MAX(X$7,$J70),Calendar!$A$16:$A$141,"&lt;="&amp;MIN(X$7+4,$K70))*$H70/$G70)))</x:f>
        <x:v>0</x:v>
      </x:c>
      <x:c r="Y70" s="45" t="n">
        <x:f>IF(OR($J70="",$K70=""),"",IF(SUMIFS(Calendar!$C$16:$C$141,Calendar!$A$16:$A$141,"&gt;="&amp;MAX(Y$7,$J70),Calendar!$A$16:$A$141,"&lt;="&amp;MIN(Y$7+4,$K70))=0,0,IF($H70="","EXT",SUMIFS(Calendar!$C$16:$C$141,Calendar!$A$16:$A$141,"&gt;="&amp;MAX(Y$7,$J70),Calendar!$A$16:$A$141,"&lt;="&amp;MIN(Y$7+4,$K70))*$H70/$G70)))</x:f>
        <x:v>0</x:v>
      </x:c>
      <x:c r="Z70" s="45" t="n">
        <x:f>IF(OR($J70="",$K70=""),"",IF(SUMIFS(Calendar!$C$16:$C$141,Calendar!$A$16:$A$141,"&gt;="&amp;MAX(Z$7,$J70),Calendar!$A$16:$A$141,"&lt;="&amp;MIN(Z$7+4,$K70))=0,0,IF($H70="","EXT",SUMIFS(Calendar!$C$16:$C$141,Calendar!$A$16:$A$141,"&gt;="&amp;MAX(Z$7,$J70),Calendar!$A$16:$A$141,"&lt;="&amp;MIN(Z$7+4,$K70))*$H70/$G70)))</x:f>
        <x:v>0</x:v>
      </x:c>
      <x:c r="AA70" s="45" t="n">
        <x:f>IF(OR($J70="",$K70=""),"",IF(SUMIFS(Calendar!$C$16:$C$141,Calendar!$A$16:$A$141,"&gt;="&amp;MAX(AA$7,$J70),Calendar!$A$16:$A$141,"&lt;="&amp;MIN(AA$7+4,$K70))=0,0,IF($H70="","EXT",SUMIFS(Calendar!$C$16:$C$141,Calendar!$A$16:$A$141,"&gt;="&amp;MAX(AA$7,$J70),Calendar!$A$16:$A$141,"&lt;="&amp;MIN(AA$7+4,$K70))*$H70/$G70)))</x:f>
        <x:v>0</x:v>
      </x:c>
      <x:c r="AB70" s="45" t="n">
        <x:f>IF(OR($J70="",$K70=""),"",IF(SUMIFS(Calendar!$C$16:$C$141,Calendar!$A$16:$A$141,"&gt;="&amp;MAX(AB$7,$J70),Calendar!$A$16:$A$141,"&lt;="&amp;MIN(AB$7+4,$K70))=0,0,IF($H70="","EXT",SUMIFS(Calendar!$C$16:$C$141,Calendar!$A$16:$A$141,"&gt;="&amp;MAX(AB$7,$J70),Calendar!$A$16:$A$141,"&lt;="&amp;MIN(AB$7+4,$K70))*$H70/$G70)))</x:f>
        <x:v>0</x:v>
      </x:c>
      <x:c r="AC70" s="45" t="n">
        <x:f>IF(OR($J70="",$K70=""),"",IF(SUMIFS(Calendar!$C$16:$C$141,Calendar!$A$16:$A$141,"&gt;="&amp;MAX(AC$7,$J70),Calendar!$A$16:$A$141,"&lt;="&amp;MIN(AC$7+4,$K70))=0,0,IF($H70="","EXT",SUMIFS(Calendar!$C$16:$C$141,Calendar!$A$16:$A$141,"&gt;="&amp;MAX(AC$7,$J70),Calendar!$A$16:$A$141,"&lt;="&amp;MIN(AC$7+4,$K70))*$H70/$G70)))</x:f>
        <x:v>0</x:v>
      </x:c>
      <x:c r="AD70" s="45" t="n">
        <x:f>IF(OR($J70="",$K70=""),"",IF(SUMIFS(Calendar!$C$16:$C$141,Calendar!$A$16:$A$141,"&gt;="&amp;MAX(AD$7,$J70),Calendar!$A$16:$A$141,"&lt;="&amp;MIN(AD$7+4,$K70))=0,0,IF($H70="","EXT",SUMIFS(Calendar!$C$16:$C$141,Calendar!$A$16:$A$141,"&gt;="&amp;MAX(AD$7,$J70),Calendar!$A$16:$A$141,"&lt;="&amp;MIN(AD$7+4,$K70))*$H70/$G70)))</x:f>
        <x:v>0</x:v>
      </x:c>
      <x:c r="AE70" s="45" t="n">
        <x:f>IF(OR($J70="",$K70=""),"",IF(SUMIFS(Calendar!$C$16:$C$141,Calendar!$A$16:$A$141,"&gt;="&amp;MAX(AE$7,$J70),Calendar!$A$16:$A$141,"&lt;="&amp;MIN(AE$7+4,$K70))=0,0,IF($H70="","EXT",SUMIFS(Calendar!$C$16:$C$141,Calendar!$A$16:$A$141,"&gt;="&amp;MAX(AE$7,$J70),Calendar!$A$16:$A$141,"&lt;="&amp;MIN(AE$7+4,$K70))*$H70/$G70)))</x:f>
        <x:v>2</x:v>
      </x:c>
      <x:c r="AF70" s="8" t="n">
        <x:f>IF(OR(M70&lt;&gt;"Scheduled",INDEX('Team and Gates'!$C$7:$C$13,MATCH($D70,'Team and Gates'!$A$7:$A$13,0))=""),"CHECK",SUM(N70:AE70)*INDEX('Team and Gates'!$C$7:$C$13,MATCH($D70,'Team and Gates'!$A$7:$A$13,0)))</x:f>
        <x:v>720</x:v>
      </x:c>
      <x:c r="AG70" s="46" t="str">
        <x:v>After Feb 26 production release, complete monitoring, defect retests and service handover by Mar 5.</x:v>
      </x:c>
      <x:c r="AH70" s="46" t="str">
        <x:v>Hypercare Mar 1-5; production rollout and Go/No-Go are separately scheduled Feb 25-26.</x:v>
      </x:c>
    </x:row>
    <x:row r="71" ht="45" customHeight="1">
      <x:c r="A71" s="39" t="str">
        <x:v>Q01</x:v>
      </x:c>
      <x:c r="B71" s="39" t="str">
        <x:v>Technical QA</x:v>
      </x:c>
      <x:c r="C71" s="47" t="str">
        <x:v>Test strategy, CI test discovery and failure-path requirements</x:v>
      </x:c>
      <x:c r="D71" s="32" t="str">
        <x:v>Tester 1</x:v>
      </x:c>
      <x:c r="E71" s="47" t="str"/>
      <x:c r="F71" s="50" t="n">
        <x:v>1</x:v>
      </x:c>
      <x:c r="G71" s="50" t="n">
        <x:v>5</x:v>
      </x:c>
      <x:c r="H71" s="51" t="n">
        <x:v>3</x:v>
      </x:c>
      <x:c r="I71" s="39" t="n">
        <x:f>IF(OR(F71="",G71=""),"",F71+G71-1)</x:f>
        <x:v>5</x:v>
      </x:c>
      <x:c r="J71" s="41" t="n">
        <x:f>IF(OR(F71="",F71&lt;1,F71&gt;Calendar!$B$9),"",INDEX(Calendar!$A$16:$A$141,MATCH(F71,Calendar!$D$16:$D$141,0)))</x:f>
        <x:v>46328</x:v>
      </x:c>
      <x:c r="K71" s="41" t="n">
        <x:f>IF(OR(I71="",I71&lt;1,I71&gt;Calendar!$B$9),"",INDEX(Calendar!$A$16:$A$141,MATCH(I71,Calendar!$D$16:$D$141,0)))</x:f>
        <x:v>46332</x:v>
      </x:c>
      <x:c r="L71" s="53" t="n">
        <x:v>0</x:v>
      </x:c>
      <x:c r="M71" s="39" t="str">
        <x:f>IF(OR(F71="",G71="",H71=""),"Missing input",IF(OR(F71&lt;1,G71&lt;1,I71&gt;Calendar!$B$9),"Outside calendar",IF(F71&lt;1,"Dependency conflict","Scheduled")))</x:f>
        <x:v>Scheduled</x:v>
      </x:c>
      <x:c r="N71" s="45" t="n">
        <x:f>IF(OR($J71="",$K71=""),"",IF(SUMIFS(Calendar!$C$16:$C$141,Calendar!$A$16:$A$141,"&gt;="&amp;MAX(N$7,$J71),Calendar!$A$16:$A$141,"&lt;="&amp;MIN(N$7+4,$K71))=0,0,IF($H71="","EXT",SUMIFS(Calendar!$C$16:$C$141,Calendar!$A$16:$A$141,"&gt;="&amp;MAX(N$7,$J71),Calendar!$A$16:$A$141,"&lt;="&amp;MIN(N$7+4,$K71))*$H71/$G71)))</x:f>
        <x:v>3</x:v>
      </x:c>
      <x:c r="O71" s="45" t="n">
        <x:f>IF(OR($J71="",$K71=""),"",IF(SUMIFS(Calendar!$C$16:$C$141,Calendar!$A$16:$A$141,"&gt;="&amp;MAX(O$7,$J71),Calendar!$A$16:$A$141,"&lt;="&amp;MIN(O$7+4,$K71))=0,0,IF($H71="","EXT",SUMIFS(Calendar!$C$16:$C$141,Calendar!$A$16:$A$141,"&gt;="&amp;MAX(O$7,$J71),Calendar!$A$16:$A$141,"&lt;="&amp;MIN(O$7+4,$K71))*$H71/$G71)))</x:f>
        <x:v>0</x:v>
      </x:c>
      <x:c r="P71" s="45" t="n">
        <x:f>IF(OR($J71="",$K71=""),"",IF(SUMIFS(Calendar!$C$16:$C$141,Calendar!$A$16:$A$141,"&gt;="&amp;MAX(P$7,$J71),Calendar!$A$16:$A$141,"&lt;="&amp;MIN(P$7+4,$K71))=0,0,IF($H71="","EXT",SUMIFS(Calendar!$C$16:$C$141,Calendar!$A$16:$A$141,"&gt;="&amp;MAX(P$7,$J71),Calendar!$A$16:$A$141,"&lt;="&amp;MIN(P$7+4,$K71))*$H71/$G71)))</x:f>
        <x:v>0</x:v>
      </x:c>
      <x:c r="Q71" s="45" t="n">
        <x:f>IF(OR($J71="",$K71=""),"",IF(SUMIFS(Calendar!$C$16:$C$141,Calendar!$A$16:$A$141,"&gt;="&amp;MAX(Q$7,$J71),Calendar!$A$16:$A$141,"&lt;="&amp;MIN(Q$7+4,$K71))=0,0,IF($H71="","EXT",SUMIFS(Calendar!$C$16:$C$141,Calendar!$A$16:$A$141,"&gt;="&amp;MAX(Q$7,$J71),Calendar!$A$16:$A$141,"&lt;="&amp;MIN(Q$7+4,$K71))*$H71/$G71)))</x:f>
        <x:v>0</x:v>
      </x:c>
      <x:c r="R71" s="45" t="n">
        <x:f>IF(OR($J71="",$K71=""),"",IF(SUMIFS(Calendar!$C$16:$C$141,Calendar!$A$16:$A$141,"&gt;="&amp;MAX(R$7,$J71),Calendar!$A$16:$A$141,"&lt;="&amp;MIN(R$7+4,$K71))=0,0,IF($H71="","EXT",SUMIFS(Calendar!$C$16:$C$141,Calendar!$A$16:$A$141,"&gt;="&amp;MAX(R$7,$J71),Calendar!$A$16:$A$141,"&lt;="&amp;MIN(R$7+4,$K71))*$H71/$G71)))</x:f>
        <x:v>0</x:v>
      </x:c>
      <x:c r="S71" s="45" t="n">
        <x:f>IF(OR($J71="",$K71=""),"",IF(SUMIFS(Calendar!$C$16:$C$141,Calendar!$A$16:$A$141,"&gt;="&amp;MAX(S$7,$J71),Calendar!$A$16:$A$141,"&lt;="&amp;MIN(S$7+4,$K71))=0,0,IF($H71="","EXT",SUMIFS(Calendar!$C$16:$C$141,Calendar!$A$16:$A$141,"&gt;="&amp;MAX(S$7,$J71),Calendar!$A$16:$A$141,"&lt;="&amp;MIN(S$7+4,$K71))*$H71/$G71)))</x:f>
        <x:v>0</x:v>
      </x:c>
      <x:c r="T71" s="45" t="n">
        <x:f>IF(OR($J71="",$K71=""),"",IF(SUMIFS(Calendar!$C$16:$C$141,Calendar!$A$16:$A$141,"&gt;="&amp;MAX(T$7,$J71),Calendar!$A$16:$A$141,"&lt;="&amp;MIN(T$7+4,$K71))=0,0,IF($H71="","EXT",SUMIFS(Calendar!$C$16:$C$141,Calendar!$A$16:$A$141,"&gt;="&amp;MAX(T$7,$J71),Calendar!$A$16:$A$141,"&lt;="&amp;MIN(T$7+4,$K71))*$H71/$G71)))</x:f>
        <x:v>0</x:v>
      </x:c>
      <x:c r="U71" s="45" t="n">
        <x:f>IF(OR($J71="",$K71=""),"",IF(SUMIFS(Calendar!$C$16:$C$141,Calendar!$A$16:$A$141,"&gt;="&amp;MAX(U$7,$J71),Calendar!$A$16:$A$141,"&lt;="&amp;MIN(U$7+4,$K71))=0,0,IF($H71="","EXT",SUMIFS(Calendar!$C$16:$C$141,Calendar!$A$16:$A$141,"&gt;="&amp;MAX(U$7,$J71),Calendar!$A$16:$A$141,"&lt;="&amp;MIN(U$7+4,$K71))*$H71/$G71)))</x:f>
        <x:v>0</x:v>
      </x:c>
      <x:c r="V71" s="45" t="n">
        <x:f>IF(OR($J71="",$K71=""),"",IF(SUMIFS(Calendar!$C$16:$C$141,Calendar!$A$16:$A$141,"&gt;="&amp;MAX(V$7,$J71),Calendar!$A$16:$A$141,"&lt;="&amp;MIN(V$7+4,$K71))=0,0,IF($H71="","EXT",SUMIFS(Calendar!$C$16:$C$141,Calendar!$A$16:$A$141,"&gt;="&amp;MAX(V$7,$J71),Calendar!$A$16:$A$141,"&lt;="&amp;MIN(V$7+4,$K71))*$H71/$G71)))</x:f>
        <x:v>0</x:v>
      </x:c>
      <x:c r="W71" s="45" t="n">
        <x:f>IF(OR($J71="",$K71=""),"",IF(SUMIFS(Calendar!$C$16:$C$141,Calendar!$A$16:$A$141,"&gt;="&amp;MAX(W$7,$J71),Calendar!$A$16:$A$141,"&lt;="&amp;MIN(W$7+4,$K71))=0,0,IF($H71="","EXT",SUMIFS(Calendar!$C$16:$C$141,Calendar!$A$16:$A$141,"&gt;="&amp;MAX(W$7,$J71),Calendar!$A$16:$A$141,"&lt;="&amp;MIN(W$7+4,$K71))*$H71/$G71)))</x:f>
        <x:v>0</x:v>
      </x:c>
      <x:c r="X71" s="45" t="n">
        <x:f>IF(OR($J71="",$K71=""),"",IF(SUMIFS(Calendar!$C$16:$C$141,Calendar!$A$16:$A$141,"&gt;="&amp;MAX(X$7,$J71),Calendar!$A$16:$A$141,"&lt;="&amp;MIN(X$7+4,$K71))=0,0,IF($H71="","EXT",SUMIFS(Calendar!$C$16:$C$141,Calendar!$A$16:$A$141,"&gt;="&amp;MAX(X$7,$J71),Calendar!$A$16:$A$141,"&lt;="&amp;MIN(X$7+4,$K71))*$H71/$G71)))</x:f>
        <x:v>0</x:v>
      </x:c>
      <x:c r="Y71" s="45" t="n">
        <x:f>IF(OR($J71="",$K71=""),"",IF(SUMIFS(Calendar!$C$16:$C$141,Calendar!$A$16:$A$141,"&gt;="&amp;MAX(Y$7,$J71),Calendar!$A$16:$A$141,"&lt;="&amp;MIN(Y$7+4,$K71))=0,0,IF($H71="","EXT",SUMIFS(Calendar!$C$16:$C$141,Calendar!$A$16:$A$141,"&gt;="&amp;MAX(Y$7,$J71),Calendar!$A$16:$A$141,"&lt;="&amp;MIN(Y$7+4,$K71))*$H71/$G71)))</x:f>
        <x:v>0</x:v>
      </x:c>
      <x:c r="Z71" s="45" t="n">
        <x:f>IF(OR($J71="",$K71=""),"",IF(SUMIFS(Calendar!$C$16:$C$141,Calendar!$A$16:$A$141,"&gt;="&amp;MAX(Z$7,$J71),Calendar!$A$16:$A$141,"&lt;="&amp;MIN(Z$7+4,$K71))=0,0,IF($H71="","EXT",SUMIFS(Calendar!$C$16:$C$141,Calendar!$A$16:$A$141,"&gt;="&amp;MAX(Z$7,$J71),Calendar!$A$16:$A$141,"&lt;="&amp;MIN(Z$7+4,$K71))*$H71/$G71)))</x:f>
        <x:v>0</x:v>
      </x:c>
      <x:c r="AA71" s="45" t="n">
        <x:f>IF(OR($J71="",$K71=""),"",IF(SUMIFS(Calendar!$C$16:$C$141,Calendar!$A$16:$A$141,"&gt;="&amp;MAX(AA$7,$J71),Calendar!$A$16:$A$141,"&lt;="&amp;MIN(AA$7+4,$K71))=0,0,IF($H71="","EXT",SUMIFS(Calendar!$C$16:$C$141,Calendar!$A$16:$A$141,"&gt;="&amp;MAX(AA$7,$J71),Calendar!$A$16:$A$141,"&lt;="&amp;MIN(AA$7+4,$K71))*$H71/$G71)))</x:f>
        <x:v>0</x:v>
      </x:c>
      <x:c r="AB71" s="45" t="n">
        <x:f>IF(OR($J71="",$K71=""),"",IF(SUMIFS(Calendar!$C$16:$C$141,Calendar!$A$16:$A$141,"&gt;="&amp;MAX(AB$7,$J71),Calendar!$A$16:$A$141,"&lt;="&amp;MIN(AB$7+4,$K71))=0,0,IF($H71="","EXT",SUMIFS(Calendar!$C$16:$C$141,Calendar!$A$16:$A$141,"&gt;="&amp;MAX(AB$7,$J71),Calendar!$A$16:$A$141,"&lt;="&amp;MIN(AB$7+4,$K71))*$H71/$G71)))</x:f>
        <x:v>0</x:v>
      </x:c>
      <x:c r="AC71" s="45" t="n">
        <x:f>IF(OR($J71="",$K71=""),"",IF(SUMIFS(Calendar!$C$16:$C$141,Calendar!$A$16:$A$141,"&gt;="&amp;MAX(AC$7,$J71),Calendar!$A$16:$A$141,"&lt;="&amp;MIN(AC$7+4,$K71))=0,0,IF($H71="","EXT",SUMIFS(Calendar!$C$16:$C$141,Calendar!$A$16:$A$141,"&gt;="&amp;MAX(AC$7,$J71),Calendar!$A$16:$A$141,"&lt;="&amp;MIN(AC$7+4,$K71))*$H71/$G71)))</x:f>
        <x:v>0</x:v>
      </x:c>
      <x:c r="AD71" s="45" t="n">
        <x:f>IF(OR($J71="",$K71=""),"",IF(SUMIFS(Calendar!$C$16:$C$141,Calendar!$A$16:$A$141,"&gt;="&amp;MAX(AD$7,$J71),Calendar!$A$16:$A$141,"&lt;="&amp;MIN(AD$7+4,$K71))=0,0,IF($H71="","EXT",SUMIFS(Calendar!$C$16:$C$141,Calendar!$A$16:$A$141,"&gt;="&amp;MAX(AD$7,$J71),Calendar!$A$16:$A$141,"&lt;="&amp;MIN(AD$7+4,$K71))*$H71/$G71)))</x:f>
        <x:v>0</x:v>
      </x:c>
      <x:c r="AE71" s="45" t="n">
        <x:f>IF(OR($J71="",$K71=""),"",IF(SUMIFS(Calendar!$C$16:$C$141,Calendar!$A$16:$A$141,"&gt;="&amp;MAX(AE$7,$J71),Calendar!$A$16:$A$141,"&lt;="&amp;MIN(AE$7+4,$K71))=0,0,IF($H71="","EXT",SUMIFS(Calendar!$C$16:$C$141,Calendar!$A$16:$A$141,"&gt;="&amp;MAX(AE$7,$J71),Calendar!$A$16:$A$141,"&lt;="&amp;MIN(AE$7+4,$K71))*$H71/$G71)))</x:f>
        <x:v>0</x:v>
      </x:c>
      <x:c r="AF71" s="8" t="n">
        <x:f>IF(OR(M71&lt;&gt;"Scheduled",INDEX('Team and Gates'!$C$7:$C$13,MATCH($D71,'Team and Gates'!$A$7:$A$13,0))=""),"CHECK",SUM(N71:AE71)*INDEX('Team and Gates'!$C$7:$C$13,MATCH($D71,'Team and Gates'!$A$7:$A$13,0)))</x:f>
        <x:v>1080</x:v>
      </x:c>
      <x:c r="AG71" s="46" t="str">
        <x:v>Reviewed preparation artifact, mapped to FSD/AC and handoff checklist.</x:v>
      </x:c>
      <x:c r="AH71" s="46" t="str"/>
    </x:row>
    <x:row r="72" ht="45" customHeight="1">
      <x:c r="A72" s="2" t="str">
        <x:v>Q02</x:v>
      </x:c>
      <x:c r="B72" s="2" t="str">
        <x:v>Technical QA</x:v>
      </x:c>
      <x:c r="C72" s="46" t="str">
        <x:v>Review FSD AC: permissions, idempotency and integration failures</x:v>
      </x:c>
      <x:c r="D72" s="32" t="str">
        <x:v>Tester 1</x:v>
      </x:c>
      <x:c r="E72" s="46" t="str">
        <x:v>Q01</x:v>
      </x:c>
      <x:c r="F72" s="50" t="n">
        <x:v>6</x:v>
      </x:c>
      <x:c r="G72" s="50" t="n">
        <x:v>2</x:v>
      </x:c>
      <x:c r="H72" s="51" t="n">
        <x:v>1.2000000000000002</x:v>
      </x:c>
      <x:c r="I72" s="2" t="n">
        <x:f>IF(OR(F72="",G72=""),"",F72+G72-1)</x:f>
        <x:v>7</x:v>
      </x:c>
      <x:c r="J72" s="5" t="n">
        <x:f>IF(OR(F72="",F72&lt;1,F72&gt;Calendar!$B$9),"",INDEX(Calendar!$A$16:$A$141,MATCH(F72,Calendar!$D$16:$D$141,0)))</x:f>
        <x:v>46335</x:v>
      </x:c>
      <x:c r="K72" s="5" t="n">
        <x:f>IF(OR(I72="",I72&lt;1,I72&gt;Calendar!$B$9),"",INDEX(Calendar!$A$16:$A$141,MATCH(I72,Calendar!$D$16:$D$141,0)))</x:f>
        <x:v>46336</x:v>
      </x:c>
      <x:c r="L72" s="53" t="n">
        <x:v>0</x:v>
      </x:c>
      <x:c r="M72" s="2" t="str">
        <x:f>IF(OR(F72="",G72="",H72=""),"Missing input",IF(OR(F72&lt;1,G72&lt;1,I72&gt;Calendar!$B$9),"Outside calendar",IF(F72&lt;MAX(INDEX($I$8:$I$157,MATCH("Q01",$A$8:$A$157,0))+1),"Dependency conflict","Scheduled")))</x:f>
        <x:v>Scheduled</x:v>
      </x:c>
      <x:c r="N72" s="45" t="n">
        <x:f>IF(OR($J72="",$K72=""),"",IF(SUMIFS(Calendar!$C$16:$C$141,Calendar!$A$16:$A$141,"&gt;="&amp;MAX(N$7,$J72),Calendar!$A$16:$A$141,"&lt;="&amp;MIN(N$7+4,$K72))=0,0,IF($H72="","EXT",SUMIFS(Calendar!$C$16:$C$141,Calendar!$A$16:$A$141,"&gt;="&amp;MAX(N$7,$J72),Calendar!$A$16:$A$141,"&lt;="&amp;MIN(N$7+4,$K72))*$H72/$G72)))</x:f>
        <x:v>0</x:v>
      </x:c>
      <x:c r="O72" s="45" t="n">
        <x:f>IF(OR($J72="",$K72=""),"",IF(SUMIFS(Calendar!$C$16:$C$141,Calendar!$A$16:$A$141,"&gt;="&amp;MAX(O$7,$J72),Calendar!$A$16:$A$141,"&lt;="&amp;MIN(O$7+4,$K72))=0,0,IF($H72="","EXT",SUMIFS(Calendar!$C$16:$C$141,Calendar!$A$16:$A$141,"&gt;="&amp;MAX(O$7,$J72),Calendar!$A$16:$A$141,"&lt;="&amp;MIN(O$7+4,$K72))*$H72/$G72)))</x:f>
        <x:v>1.2000000000000002</x:v>
      </x:c>
      <x:c r="P72" s="45" t="n">
        <x:f>IF(OR($J72="",$K72=""),"",IF(SUMIFS(Calendar!$C$16:$C$141,Calendar!$A$16:$A$141,"&gt;="&amp;MAX(P$7,$J72),Calendar!$A$16:$A$141,"&lt;="&amp;MIN(P$7+4,$K72))=0,0,IF($H72="","EXT",SUMIFS(Calendar!$C$16:$C$141,Calendar!$A$16:$A$141,"&gt;="&amp;MAX(P$7,$J72),Calendar!$A$16:$A$141,"&lt;="&amp;MIN(P$7+4,$K72))*$H72/$G72)))</x:f>
        <x:v>0</x:v>
      </x:c>
      <x:c r="Q72" s="45" t="n">
        <x:f>IF(OR($J72="",$K72=""),"",IF(SUMIFS(Calendar!$C$16:$C$141,Calendar!$A$16:$A$141,"&gt;="&amp;MAX(Q$7,$J72),Calendar!$A$16:$A$141,"&lt;="&amp;MIN(Q$7+4,$K72))=0,0,IF($H72="","EXT",SUMIFS(Calendar!$C$16:$C$141,Calendar!$A$16:$A$141,"&gt;="&amp;MAX(Q$7,$J72),Calendar!$A$16:$A$141,"&lt;="&amp;MIN(Q$7+4,$K72))*$H72/$G72)))</x:f>
        <x:v>0</x:v>
      </x:c>
      <x:c r="R72" s="45" t="n">
        <x:f>IF(OR($J72="",$K72=""),"",IF(SUMIFS(Calendar!$C$16:$C$141,Calendar!$A$16:$A$141,"&gt;="&amp;MAX(R$7,$J72),Calendar!$A$16:$A$141,"&lt;="&amp;MIN(R$7+4,$K72))=0,0,IF($H72="","EXT",SUMIFS(Calendar!$C$16:$C$141,Calendar!$A$16:$A$141,"&gt;="&amp;MAX(R$7,$J72),Calendar!$A$16:$A$141,"&lt;="&amp;MIN(R$7+4,$K72))*$H72/$G72)))</x:f>
        <x:v>0</x:v>
      </x:c>
      <x:c r="S72" s="45" t="n">
        <x:f>IF(OR($J72="",$K72=""),"",IF(SUMIFS(Calendar!$C$16:$C$141,Calendar!$A$16:$A$141,"&gt;="&amp;MAX(S$7,$J72),Calendar!$A$16:$A$141,"&lt;="&amp;MIN(S$7+4,$K72))=0,0,IF($H72="","EXT",SUMIFS(Calendar!$C$16:$C$141,Calendar!$A$16:$A$141,"&gt;="&amp;MAX(S$7,$J72),Calendar!$A$16:$A$141,"&lt;="&amp;MIN(S$7+4,$K72))*$H72/$G72)))</x:f>
        <x:v>0</x:v>
      </x:c>
      <x:c r="T72" s="45" t="n">
        <x:f>IF(OR($J72="",$K72=""),"",IF(SUMIFS(Calendar!$C$16:$C$141,Calendar!$A$16:$A$141,"&gt;="&amp;MAX(T$7,$J72),Calendar!$A$16:$A$141,"&lt;="&amp;MIN(T$7+4,$K72))=0,0,IF($H72="","EXT",SUMIFS(Calendar!$C$16:$C$141,Calendar!$A$16:$A$141,"&gt;="&amp;MAX(T$7,$J72),Calendar!$A$16:$A$141,"&lt;="&amp;MIN(T$7+4,$K72))*$H72/$G72)))</x:f>
        <x:v>0</x:v>
      </x:c>
      <x:c r="U72" s="45" t="n">
        <x:f>IF(OR($J72="",$K72=""),"",IF(SUMIFS(Calendar!$C$16:$C$141,Calendar!$A$16:$A$141,"&gt;="&amp;MAX(U$7,$J72),Calendar!$A$16:$A$141,"&lt;="&amp;MIN(U$7+4,$K72))=0,0,IF($H72="","EXT",SUMIFS(Calendar!$C$16:$C$141,Calendar!$A$16:$A$141,"&gt;="&amp;MAX(U$7,$J72),Calendar!$A$16:$A$141,"&lt;="&amp;MIN(U$7+4,$K72))*$H72/$G72)))</x:f>
        <x:v>0</x:v>
      </x:c>
      <x:c r="V72" s="45" t="n">
        <x:f>IF(OR($J72="",$K72=""),"",IF(SUMIFS(Calendar!$C$16:$C$141,Calendar!$A$16:$A$141,"&gt;="&amp;MAX(V$7,$J72),Calendar!$A$16:$A$141,"&lt;="&amp;MIN(V$7+4,$K72))=0,0,IF($H72="","EXT",SUMIFS(Calendar!$C$16:$C$141,Calendar!$A$16:$A$141,"&gt;="&amp;MAX(V$7,$J72),Calendar!$A$16:$A$141,"&lt;="&amp;MIN(V$7+4,$K72))*$H72/$G72)))</x:f>
        <x:v>0</x:v>
      </x:c>
      <x:c r="W72" s="45" t="n">
        <x:f>IF(OR($J72="",$K72=""),"",IF(SUMIFS(Calendar!$C$16:$C$141,Calendar!$A$16:$A$141,"&gt;="&amp;MAX(W$7,$J72),Calendar!$A$16:$A$141,"&lt;="&amp;MIN(W$7+4,$K72))=0,0,IF($H72="","EXT",SUMIFS(Calendar!$C$16:$C$141,Calendar!$A$16:$A$141,"&gt;="&amp;MAX(W$7,$J72),Calendar!$A$16:$A$141,"&lt;="&amp;MIN(W$7+4,$K72))*$H72/$G72)))</x:f>
        <x:v>0</x:v>
      </x:c>
      <x:c r="X72" s="45" t="n">
        <x:f>IF(OR($J72="",$K72=""),"",IF(SUMIFS(Calendar!$C$16:$C$141,Calendar!$A$16:$A$141,"&gt;="&amp;MAX(X$7,$J72),Calendar!$A$16:$A$141,"&lt;="&amp;MIN(X$7+4,$K72))=0,0,IF($H72="","EXT",SUMIFS(Calendar!$C$16:$C$141,Calendar!$A$16:$A$141,"&gt;="&amp;MAX(X$7,$J72),Calendar!$A$16:$A$141,"&lt;="&amp;MIN(X$7+4,$K72))*$H72/$G72)))</x:f>
        <x:v>0</x:v>
      </x:c>
      <x:c r="Y72" s="45" t="n">
        <x:f>IF(OR($J72="",$K72=""),"",IF(SUMIFS(Calendar!$C$16:$C$141,Calendar!$A$16:$A$141,"&gt;="&amp;MAX(Y$7,$J72),Calendar!$A$16:$A$141,"&lt;="&amp;MIN(Y$7+4,$K72))=0,0,IF($H72="","EXT",SUMIFS(Calendar!$C$16:$C$141,Calendar!$A$16:$A$141,"&gt;="&amp;MAX(Y$7,$J72),Calendar!$A$16:$A$141,"&lt;="&amp;MIN(Y$7+4,$K72))*$H72/$G72)))</x:f>
        <x:v>0</x:v>
      </x:c>
      <x:c r="Z72" s="45" t="n">
        <x:f>IF(OR($J72="",$K72=""),"",IF(SUMIFS(Calendar!$C$16:$C$141,Calendar!$A$16:$A$141,"&gt;="&amp;MAX(Z$7,$J72),Calendar!$A$16:$A$141,"&lt;="&amp;MIN(Z$7+4,$K72))=0,0,IF($H72="","EXT",SUMIFS(Calendar!$C$16:$C$141,Calendar!$A$16:$A$141,"&gt;="&amp;MAX(Z$7,$J72),Calendar!$A$16:$A$141,"&lt;="&amp;MIN(Z$7+4,$K72))*$H72/$G72)))</x:f>
        <x:v>0</x:v>
      </x:c>
      <x:c r="AA72" s="45" t="n">
        <x:f>IF(OR($J72="",$K72=""),"",IF(SUMIFS(Calendar!$C$16:$C$141,Calendar!$A$16:$A$141,"&gt;="&amp;MAX(AA$7,$J72),Calendar!$A$16:$A$141,"&lt;="&amp;MIN(AA$7+4,$K72))=0,0,IF($H72="","EXT",SUMIFS(Calendar!$C$16:$C$141,Calendar!$A$16:$A$141,"&gt;="&amp;MAX(AA$7,$J72),Calendar!$A$16:$A$141,"&lt;="&amp;MIN(AA$7+4,$K72))*$H72/$G72)))</x:f>
        <x:v>0</x:v>
      </x:c>
      <x:c r="AB72" s="45" t="n">
        <x:f>IF(OR($J72="",$K72=""),"",IF(SUMIFS(Calendar!$C$16:$C$141,Calendar!$A$16:$A$141,"&gt;="&amp;MAX(AB$7,$J72),Calendar!$A$16:$A$141,"&lt;="&amp;MIN(AB$7+4,$K72))=0,0,IF($H72="","EXT",SUMIFS(Calendar!$C$16:$C$141,Calendar!$A$16:$A$141,"&gt;="&amp;MAX(AB$7,$J72),Calendar!$A$16:$A$141,"&lt;="&amp;MIN(AB$7+4,$K72))*$H72/$G72)))</x:f>
        <x:v>0</x:v>
      </x:c>
      <x:c r="AC72" s="45" t="n">
        <x:f>IF(OR($J72="",$K72=""),"",IF(SUMIFS(Calendar!$C$16:$C$141,Calendar!$A$16:$A$141,"&gt;="&amp;MAX(AC$7,$J72),Calendar!$A$16:$A$141,"&lt;="&amp;MIN(AC$7+4,$K72))=0,0,IF($H72="","EXT",SUMIFS(Calendar!$C$16:$C$141,Calendar!$A$16:$A$141,"&gt;="&amp;MAX(AC$7,$J72),Calendar!$A$16:$A$141,"&lt;="&amp;MIN(AC$7+4,$K72))*$H72/$G72)))</x:f>
        <x:v>0</x:v>
      </x:c>
      <x:c r="AD72" s="45" t="n">
        <x:f>IF(OR($J72="",$K72=""),"",IF(SUMIFS(Calendar!$C$16:$C$141,Calendar!$A$16:$A$141,"&gt;="&amp;MAX(AD$7,$J72),Calendar!$A$16:$A$141,"&lt;="&amp;MIN(AD$7+4,$K72))=0,0,IF($H72="","EXT",SUMIFS(Calendar!$C$16:$C$141,Calendar!$A$16:$A$141,"&gt;="&amp;MAX(AD$7,$J72),Calendar!$A$16:$A$141,"&lt;="&amp;MIN(AD$7+4,$K72))*$H72/$G72)))</x:f>
        <x:v>0</x:v>
      </x:c>
      <x:c r="AE72" s="45" t="n">
        <x:f>IF(OR($J72="",$K72=""),"",IF(SUMIFS(Calendar!$C$16:$C$141,Calendar!$A$16:$A$141,"&gt;="&amp;MAX(AE$7,$J72),Calendar!$A$16:$A$141,"&lt;="&amp;MIN(AE$7+4,$K72))=0,0,IF($H72="","EXT",SUMIFS(Calendar!$C$16:$C$141,Calendar!$A$16:$A$141,"&gt;="&amp;MAX(AE$7,$J72),Calendar!$A$16:$A$141,"&lt;="&amp;MIN(AE$7+4,$K72))*$H72/$G72)))</x:f>
        <x:v>0</x:v>
      </x:c>
      <x:c r="AF72" s="8" t="n">
        <x:f>IF(OR(M72&lt;&gt;"Scheduled",INDEX('Team and Gates'!$C$7:$C$13,MATCH($D72,'Team and Gates'!$A$7:$A$13,0))=""),"CHECK",SUM(N72:AE72)*INDEX('Team and Gates'!$C$7:$C$13,MATCH($D72,'Team and Gates'!$A$7:$A$13,0)))</x:f>
        <x:v>432.00000000000006</x:v>
      </x:c>
      <x:c r="AG72" s="46" t="str">
        <x:v>Reviewed preparation artifact, mapped to FSD/AC and handoff checklist.</x:v>
      </x:c>
      <x:c r="AH72" s="46" t="str"/>
    </x:row>
    <x:row r="73" ht="45" customHeight="1">
      <x:c r="A73" s="39" t="str">
        <x:v>Q03</x:v>
      </x:c>
      <x:c r="B73" s="39" t="str">
        <x:v>Technical QA</x:v>
      </x:c>
      <x:c r="C73" s="47" t="str">
        <x:v>SIT plan, automation scaffold, test mailboxes and entry checklist</x:v>
      </x:c>
      <x:c r="D73" s="32" t="str">
        <x:v>Tester 1</x:v>
      </x:c>
      <x:c r="E73" s="47" t="str">
        <x:v>Q02</x:v>
      </x:c>
      <x:c r="F73" s="50" t="n">
        <x:v>8</x:v>
      </x:c>
      <x:c r="G73" s="50" t="n">
        <x:v>3</x:v>
      </x:c>
      <x:c r="H73" s="51" t="n">
        <x:v>1.7999999999999998</x:v>
      </x:c>
      <x:c r="I73" s="39" t="n">
        <x:f>IF(OR(F73="",G73=""),"",F73+G73-1)</x:f>
        <x:v>10</x:v>
      </x:c>
      <x:c r="J73" s="41" t="n">
        <x:f>IF(OR(F73="",F73&lt;1,F73&gt;Calendar!$B$9),"",INDEX(Calendar!$A$16:$A$141,MATCH(F73,Calendar!$D$16:$D$141,0)))</x:f>
        <x:v>46337</x:v>
      </x:c>
      <x:c r="K73" s="41" t="n">
        <x:f>IF(OR(I73="",I73&lt;1,I73&gt;Calendar!$B$9),"",INDEX(Calendar!$A$16:$A$141,MATCH(I73,Calendar!$D$16:$D$141,0)))</x:f>
        <x:v>46339</x:v>
      </x:c>
      <x:c r="L73" s="53" t="n">
        <x:v>0</x:v>
      </x:c>
      <x:c r="M73" s="39" t="str">
        <x:f>IF(OR(F73="",G73="",H73=""),"Missing input",IF(OR(F73&lt;1,G73&lt;1,I73&gt;Calendar!$B$9),"Outside calendar",IF(F73&lt;MAX(INDEX($I$8:$I$157,MATCH("Q02",$A$8:$A$157,0))+1),"Dependency conflict","Scheduled")))</x:f>
        <x:v>Scheduled</x:v>
      </x:c>
      <x:c r="N73" s="45" t="n">
        <x:f>IF(OR($J73="",$K73=""),"",IF(SUMIFS(Calendar!$C$16:$C$141,Calendar!$A$16:$A$141,"&gt;="&amp;MAX(N$7,$J73),Calendar!$A$16:$A$141,"&lt;="&amp;MIN(N$7+4,$K73))=0,0,IF($H73="","EXT",SUMIFS(Calendar!$C$16:$C$141,Calendar!$A$16:$A$141,"&gt;="&amp;MAX(N$7,$J73),Calendar!$A$16:$A$141,"&lt;="&amp;MIN(N$7+4,$K73))*$H73/$G73)))</x:f>
        <x:v>0</x:v>
      </x:c>
      <x:c r="O73" s="45" t="n">
        <x:f>IF(OR($J73="",$K73=""),"",IF(SUMIFS(Calendar!$C$16:$C$141,Calendar!$A$16:$A$141,"&gt;="&amp;MAX(O$7,$J73),Calendar!$A$16:$A$141,"&lt;="&amp;MIN(O$7+4,$K73))=0,0,IF($H73="","EXT",SUMIFS(Calendar!$C$16:$C$141,Calendar!$A$16:$A$141,"&gt;="&amp;MAX(O$7,$J73),Calendar!$A$16:$A$141,"&lt;="&amp;MIN(O$7+4,$K73))*$H73/$G73)))</x:f>
        <x:v>1.7999999999999998</x:v>
      </x:c>
      <x:c r="P73" s="45" t="n">
        <x:f>IF(OR($J73="",$K73=""),"",IF(SUMIFS(Calendar!$C$16:$C$141,Calendar!$A$16:$A$141,"&gt;="&amp;MAX(P$7,$J73),Calendar!$A$16:$A$141,"&lt;="&amp;MIN(P$7+4,$K73))=0,0,IF($H73="","EXT",SUMIFS(Calendar!$C$16:$C$141,Calendar!$A$16:$A$141,"&gt;="&amp;MAX(P$7,$J73),Calendar!$A$16:$A$141,"&lt;="&amp;MIN(P$7+4,$K73))*$H73/$G73)))</x:f>
        <x:v>0</x:v>
      </x:c>
      <x:c r="Q73" s="45" t="n">
        <x:f>IF(OR($J73="",$K73=""),"",IF(SUMIFS(Calendar!$C$16:$C$141,Calendar!$A$16:$A$141,"&gt;="&amp;MAX(Q$7,$J73),Calendar!$A$16:$A$141,"&lt;="&amp;MIN(Q$7+4,$K73))=0,0,IF($H73="","EXT",SUMIFS(Calendar!$C$16:$C$141,Calendar!$A$16:$A$141,"&gt;="&amp;MAX(Q$7,$J73),Calendar!$A$16:$A$141,"&lt;="&amp;MIN(Q$7+4,$K73))*$H73/$G73)))</x:f>
        <x:v>0</x:v>
      </x:c>
      <x:c r="R73" s="45" t="n">
        <x:f>IF(OR($J73="",$K73=""),"",IF(SUMIFS(Calendar!$C$16:$C$141,Calendar!$A$16:$A$141,"&gt;="&amp;MAX(R$7,$J73),Calendar!$A$16:$A$141,"&lt;="&amp;MIN(R$7+4,$K73))=0,0,IF($H73="","EXT",SUMIFS(Calendar!$C$16:$C$141,Calendar!$A$16:$A$141,"&gt;="&amp;MAX(R$7,$J73),Calendar!$A$16:$A$141,"&lt;="&amp;MIN(R$7+4,$K73))*$H73/$G73)))</x:f>
        <x:v>0</x:v>
      </x:c>
      <x:c r="S73" s="45" t="n">
        <x:f>IF(OR($J73="",$K73=""),"",IF(SUMIFS(Calendar!$C$16:$C$141,Calendar!$A$16:$A$141,"&gt;="&amp;MAX(S$7,$J73),Calendar!$A$16:$A$141,"&lt;="&amp;MIN(S$7+4,$K73))=0,0,IF($H73="","EXT",SUMIFS(Calendar!$C$16:$C$141,Calendar!$A$16:$A$141,"&gt;="&amp;MAX(S$7,$J73),Calendar!$A$16:$A$141,"&lt;="&amp;MIN(S$7+4,$K73))*$H73/$G73)))</x:f>
        <x:v>0</x:v>
      </x:c>
      <x:c r="T73" s="45" t="n">
        <x:f>IF(OR($J73="",$K73=""),"",IF(SUMIFS(Calendar!$C$16:$C$141,Calendar!$A$16:$A$141,"&gt;="&amp;MAX(T$7,$J73),Calendar!$A$16:$A$141,"&lt;="&amp;MIN(T$7+4,$K73))=0,0,IF($H73="","EXT",SUMIFS(Calendar!$C$16:$C$141,Calendar!$A$16:$A$141,"&gt;="&amp;MAX(T$7,$J73),Calendar!$A$16:$A$141,"&lt;="&amp;MIN(T$7+4,$K73))*$H73/$G73)))</x:f>
        <x:v>0</x:v>
      </x:c>
      <x:c r="U73" s="45" t="n">
        <x:f>IF(OR($J73="",$K73=""),"",IF(SUMIFS(Calendar!$C$16:$C$141,Calendar!$A$16:$A$141,"&gt;="&amp;MAX(U$7,$J73),Calendar!$A$16:$A$141,"&lt;="&amp;MIN(U$7+4,$K73))=0,0,IF($H73="","EXT",SUMIFS(Calendar!$C$16:$C$141,Calendar!$A$16:$A$141,"&gt;="&amp;MAX(U$7,$J73),Calendar!$A$16:$A$141,"&lt;="&amp;MIN(U$7+4,$K73))*$H73/$G73)))</x:f>
        <x:v>0</x:v>
      </x:c>
      <x:c r="V73" s="45" t="n">
        <x:f>IF(OR($J73="",$K73=""),"",IF(SUMIFS(Calendar!$C$16:$C$141,Calendar!$A$16:$A$141,"&gt;="&amp;MAX(V$7,$J73),Calendar!$A$16:$A$141,"&lt;="&amp;MIN(V$7+4,$K73))=0,0,IF($H73="","EXT",SUMIFS(Calendar!$C$16:$C$141,Calendar!$A$16:$A$141,"&gt;="&amp;MAX(V$7,$J73),Calendar!$A$16:$A$141,"&lt;="&amp;MIN(V$7+4,$K73))*$H73/$G73)))</x:f>
        <x:v>0</x:v>
      </x:c>
      <x:c r="W73" s="45" t="n">
        <x:f>IF(OR($J73="",$K73=""),"",IF(SUMIFS(Calendar!$C$16:$C$141,Calendar!$A$16:$A$141,"&gt;="&amp;MAX(W$7,$J73),Calendar!$A$16:$A$141,"&lt;="&amp;MIN(W$7+4,$K73))=0,0,IF($H73="","EXT",SUMIFS(Calendar!$C$16:$C$141,Calendar!$A$16:$A$141,"&gt;="&amp;MAX(W$7,$J73),Calendar!$A$16:$A$141,"&lt;="&amp;MIN(W$7+4,$K73))*$H73/$G73)))</x:f>
        <x:v>0</x:v>
      </x:c>
      <x:c r="X73" s="45" t="n">
        <x:f>IF(OR($J73="",$K73=""),"",IF(SUMIFS(Calendar!$C$16:$C$141,Calendar!$A$16:$A$141,"&gt;="&amp;MAX(X$7,$J73),Calendar!$A$16:$A$141,"&lt;="&amp;MIN(X$7+4,$K73))=0,0,IF($H73="","EXT",SUMIFS(Calendar!$C$16:$C$141,Calendar!$A$16:$A$141,"&gt;="&amp;MAX(X$7,$J73),Calendar!$A$16:$A$141,"&lt;="&amp;MIN(X$7+4,$K73))*$H73/$G73)))</x:f>
        <x:v>0</x:v>
      </x:c>
      <x:c r="Y73" s="45" t="n">
        <x:f>IF(OR($J73="",$K73=""),"",IF(SUMIFS(Calendar!$C$16:$C$141,Calendar!$A$16:$A$141,"&gt;="&amp;MAX(Y$7,$J73),Calendar!$A$16:$A$141,"&lt;="&amp;MIN(Y$7+4,$K73))=0,0,IF($H73="","EXT",SUMIFS(Calendar!$C$16:$C$141,Calendar!$A$16:$A$141,"&gt;="&amp;MAX(Y$7,$J73),Calendar!$A$16:$A$141,"&lt;="&amp;MIN(Y$7+4,$K73))*$H73/$G73)))</x:f>
        <x:v>0</x:v>
      </x:c>
      <x:c r="Z73" s="45" t="n">
        <x:f>IF(OR($J73="",$K73=""),"",IF(SUMIFS(Calendar!$C$16:$C$141,Calendar!$A$16:$A$141,"&gt;="&amp;MAX(Z$7,$J73),Calendar!$A$16:$A$141,"&lt;="&amp;MIN(Z$7+4,$K73))=0,0,IF($H73="","EXT",SUMIFS(Calendar!$C$16:$C$141,Calendar!$A$16:$A$141,"&gt;="&amp;MAX(Z$7,$J73),Calendar!$A$16:$A$141,"&lt;="&amp;MIN(Z$7+4,$K73))*$H73/$G73)))</x:f>
        <x:v>0</x:v>
      </x:c>
      <x:c r="AA73" s="45" t="n">
        <x:f>IF(OR($J73="",$K73=""),"",IF(SUMIFS(Calendar!$C$16:$C$141,Calendar!$A$16:$A$141,"&gt;="&amp;MAX(AA$7,$J73),Calendar!$A$16:$A$141,"&lt;="&amp;MIN(AA$7+4,$K73))=0,0,IF($H73="","EXT",SUMIFS(Calendar!$C$16:$C$141,Calendar!$A$16:$A$141,"&gt;="&amp;MAX(AA$7,$J73),Calendar!$A$16:$A$141,"&lt;="&amp;MIN(AA$7+4,$K73))*$H73/$G73)))</x:f>
        <x:v>0</x:v>
      </x:c>
      <x:c r="AB73" s="45" t="n">
        <x:f>IF(OR($J73="",$K73=""),"",IF(SUMIFS(Calendar!$C$16:$C$141,Calendar!$A$16:$A$141,"&gt;="&amp;MAX(AB$7,$J73),Calendar!$A$16:$A$141,"&lt;="&amp;MIN(AB$7+4,$K73))=0,0,IF($H73="","EXT",SUMIFS(Calendar!$C$16:$C$141,Calendar!$A$16:$A$141,"&gt;="&amp;MAX(AB$7,$J73),Calendar!$A$16:$A$141,"&lt;="&amp;MIN(AB$7+4,$K73))*$H73/$G73)))</x:f>
        <x:v>0</x:v>
      </x:c>
      <x:c r="AC73" s="45" t="n">
        <x:f>IF(OR($J73="",$K73=""),"",IF(SUMIFS(Calendar!$C$16:$C$141,Calendar!$A$16:$A$141,"&gt;="&amp;MAX(AC$7,$J73),Calendar!$A$16:$A$141,"&lt;="&amp;MIN(AC$7+4,$K73))=0,0,IF($H73="","EXT",SUMIFS(Calendar!$C$16:$C$141,Calendar!$A$16:$A$141,"&gt;="&amp;MAX(AC$7,$J73),Calendar!$A$16:$A$141,"&lt;="&amp;MIN(AC$7+4,$K73))*$H73/$G73)))</x:f>
        <x:v>0</x:v>
      </x:c>
      <x:c r="AD73" s="45" t="n">
        <x:f>IF(OR($J73="",$K73=""),"",IF(SUMIFS(Calendar!$C$16:$C$141,Calendar!$A$16:$A$141,"&gt;="&amp;MAX(AD$7,$J73),Calendar!$A$16:$A$141,"&lt;="&amp;MIN(AD$7+4,$K73))=0,0,IF($H73="","EXT",SUMIFS(Calendar!$C$16:$C$141,Calendar!$A$16:$A$141,"&gt;="&amp;MAX(AD$7,$J73),Calendar!$A$16:$A$141,"&lt;="&amp;MIN(AD$7+4,$K73))*$H73/$G73)))</x:f>
        <x:v>0</x:v>
      </x:c>
      <x:c r="AE73" s="45" t="n">
        <x:f>IF(OR($J73="",$K73=""),"",IF(SUMIFS(Calendar!$C$16:$C$141,Calendar!$A$16:$A$141,"&gt;="&amp;MAX(AE$7,$J73),Calendar!$A$16:$A$141,"&lt;="&amp;MIN(AE$7+4,$K73))=0,0,IF($H73="","EXT",SUMIFS(Calendar!$C$16:$C$141,Calendar!$A$16:$A$141,"&gt;="&amp;MAX(AE$7,$J73),Calendar!$A$16:$A$141,"&lt;="&amp;MIN(AE$7+4,$K73))*$H73/$G73)))</x:f>
        <x:v>0</x:v>
      </x:c>
      <x:c r="AF73" s="8" t="n">
        <x:f>IF(OR(M73&lt;&gt;"Scheduled",INDEX('Team and Gates'!$C$7:$C$13,MATCH($D73,'Team and Gates'!$A$7:$A$13,0))=""),"CHECK",SUM(N73:AE73)*INDEX('Team and Gates'!$C$7:$C$13,MATCH($D73,'Team and Gates'!$A$7:$A$13,0)))</x:f>
        <x:v>647.9999999999999</x:v>
      </x:c>
      <x:c r="AG73" s="46" t="str">
        <x:v>Reviewed preparation artifact, mapped to FSD/AC and handoff checklist.</x:v>
      </x:c>
      <x:c r="AH73" s="46" t="str"/>
    </x:row>
    <x:row r="74" ht="45" customHeight="1">
      <x:c r="A74" s="2" t="str">
        <x:v>Q04</x:v>
      </x:c>
      <x:c r="B74" s="2" t="str">
        <x:v>Technical QA</x:v>
      </x:c>
      <x:c r="C74" s="46" t="str">
        <x:v>Continuous component/API tests: Cases, jobs and authorization</x:v>
      </x:c>
      <x:c r="D74" s="32" t="str">
        <x:v>Tester 1</x:v>
      </x:c>
      <x:c r="E74" s="46" t="str">
        <x:v>Q03</x:v>
      </x:c>
      <x:c r="F74" s="50" t="n">
        <x:v>11</x:v>
      </x:c>
      <x:c r="G74" s="50" t="n">
        <x:v>5</x:v>
      </x:c>
      <x:c r="H74" s="51" t="n">
        <x:v>3</x:v>
      </x:c>
      <x:c r="I74" s="2" t="n">
        <x:f>IF(OR(F74="",G74=""),"",F74+G74-1)</x:f>
        <x:v>15</x:v>
      </x:c>
      <x:c r="J74" s="5" t="n">
        <x:f>IF(OR(F74="",F74&lt;1,F74&gt;Calendar!$B$9),"",INDEX(Calendar!$A$16:$A$141,MATCH(F74,Calendar!$D$16:$D$141,0)))</x:f>
        <x:v>46342</x:v>
      </x:c>
      <x:c r="K74" s="5" t="n">
        <x:f>IF(OR(I74="",I74&lt;1,I74&gt;Calendar!$B$9),"",INDEX(Calendar!$A$16:$A$141,MATCH(I74,Calendar!$D$16:$D$141,0)))</x:f>
        <x:v>46346</x:v>
      </x:c>
      <x:c r="L74" s="53" t="n">
        <x:v>0</x:v>
      </x:c>
      <x:c r="M74" s="2" t="str">
        <x:f>IF(OR(F74="",G74="",H74=""),"Missing input",IF(OR(F74&lt;1,G74&lt;1,I74&gt;Calendar!$B$9),"Outside calendar",IF(F74&lt;MAX(INDEX($I$8:$I$157,MATCH("Q03",$A$8:$A$157,0))+1),"Dependency conflict","Scheduled")))</x:f>
        <x:v>Scheduled</x:v>
      </x:c>
      <x:c r="N74" s="45" t="n">
        <x:f>IF(OR($J74="",$K74=""),"",IF(SUMIFS(Calendar!$C$16:$C$141,Calendar!$A$16:$A$141,"&gt;="&amp;MAX(N$7,$J74),Calendar!$A$16:$A$141,"&lt;="&amp;MIN(N$7+4,$K74))=0,0,IF($H74="","EXT",SUMIFS(Calendar!$C$16:$C$141,Calendar!$A$16:$A$141,"&gt;="&amp;MAX(N$7,$J74),Calendar!$A$16:$A$141,"&lt;="&amp;MIN(N$7+4,$K74))*$H74/$G74)))</x:f>
        <x:v>0</x:v>
      </x:c>
      <x:c r="O74" s="45" t="n">
        <x:f>IF(OR($J74="",$K74=""),"",IF(SUMIFS(Calendar!$C$16:$C$141,Calendar!$A$16:$A$141,"&gt;="&amp;MAX(O$7,$J74),Calendar!$A$16:$A$141,"&lt;="&amp;MIN(O$7+4,$K74))=0,0,IF($H74="","EXT",SUMIFS(Calendar!$C$16:$C$141,Calendar!$A$16:$A$141,"&gt;="&amp;MAX(O$7,$J74),Calendar!$A$16:$A$141,"&lt;="&amp;MIN(O$7+4,$K74))*$H74/$G74)))</x:f>
        <x:v>0</x:v>
      </x:c>
      <x:c r="P74" s="45" t="n">
        <x:f>IF(OR($J74="",$K74=""),"",IF(SUMIFS(Calendar!$C$16:$C$141,Calendar!$A$16:$A$141,"&gt;="&amp;MAX(P$7,$J74),Calendar!$A$16:$A$141,"&lt;="&amp;MIN(P$7+4,$K74))=0,0,IF($H74="","EXT",SUMIFS(Calendar!$C$16:$C$141,Calendar!$A$16:$A$141,"&gt;="&amp;MAX(P$7,$J74),Calendar!$A$16:$A$141,"&lt;="&amp;MIN(P$7+4,$K74))*$H74/$G74)))</x:f>
        <x:v>3</x:v>
      </x:c>
      <x:c r="Q74" s="45" t="n">
        <x:f>IF(OR($J74="",$K74=""),"",IF(SUMIFS(Calendar!$C$16:$C$141,Calendar!$A$16:$A$141,"&gt;="&amp;MAX(Q$7,$J74),Calendar!$A$16:$A$141,"&lt;="&amp;MIN(Q$7+4,$K74))=0,0,IF($H74="","EXT",SUMIFS(Calendar!$C$16:$C$141,Calendar!$A$16:$A$141,"&gt;="&amp;MAX(Q$7,$J74),Calendar!$A$16:$A$141,"&lt;="&amp;MIN(Q$7+4,$K74))*$H74/$G74)))</x:f>
        <x:v>0</x:v>
      </x:c>
      <x:c r="R74" s="45" t="n">
        <x:f>IF(OR($J74="",$K74=""),"",IF(SUMIFS(Calendar!$C$16:$C$141,Calendar!$A$16:$A$141,"&gt;="&amp;MAX(R$7,$J74),Calendar!$A$16:$A$141,"&lt;="&amp;MIN(R$7+4,$K74))=0,0,IF($H74="","EXT",SUMIFS(Calendar!$C$16:$C$141,Calendar!$A$16:$A$141,"&gt;="&amp;MAX(R$7,$J74),Calendar!$A$16:$A$141,"&lt;="&amp;MIN(R$7+4,$K74))*$H74/$G74)))</x:f>
        <x:v>0</x:v>
      </x:c>
      <x:c r="S74" s="45" t="n">
        <x:f>IF(OR($J74="",$K74=""),"",IF(SUMIFS(Calendar!$C$16:$C$141,Calendar!$A$16:$A$141,"&gt;="&amp;MAX(S$7,$J74),Calendar!$A$16:$A$141,"&lt;="&amp;MIN(S$7+4,$K74))=0,0,IF($H74="","EXT",SUMIFS(Calendar!$C$16:$C$141,Calendar!$A$16:$A$141,"&gt;="&amp;MAX(S$7,$J74),Calendar!$A$16:$A$141,"&lt;="&amp;MIN(S$7+4,$K74))*$H74/$G74)))</x:f>
        <x:v>0</x:v>
      </x:c>
      <x:c r="T74" s="45" t="n">
        <x:f>IF(OR($J74="",$K74=""),"",IF(SUMIFS(Calendar!$C$16:$C$141,Calendar!$A$16:$A$141,"&gt;="&amp;MAX(T$7,$J74),Calendar!$A$16:$A$141,"&lt;="&amp;MIN(T$7+4,$K74))=0,0,IF($H74="","EXT",SUMIFS(Calendar!$C$16:$C$141,Calendar!$A$16:$A$141,"&gt;="&amp;MAX(T$7,$J74),Calendar!$A$16:$A$141,"&lt;="&amp;MIN(T$7+4,$K74))*$H74/$G74)))</x:f>
        <x:v>0</x:v>
      </x:c>
      <x:c r="U74" s="45" t="n">
        <x:f>IF(OR($J74="",$K74=""),"",IF(SUMIFS(Calendar!$C$16:$C$141,Calendar!$A$16:$A$141,"&gt;="&amp;MAX(U$7,$J74),Calendar!$A$16:$A$141,"&lt;="&amp;MIN(U$7+4,$K74))=0,0,IF($H74="","EXT",SUMIFS(Calendar!$C$16:$C$141,Calendar!$A$16:$A$141,"&gt;="&amp;MAX(U$7,$J74),Calendar!$A$16:$A$141,"&lt;="&amp;MIN(U$7+4,$K74))*$H74/$G74)))</x:f>
        <x:v>0</x:v>
      </x:c>
      <x:c r="V74" s="45" t="n">
        <x:f>IF(OR($J74="",$K74=""),"",IF(SUMIFS(Calendar!$C$16:$C$141,Calendar!$A$16:$A$141,"&gt;="&amp;MAX(V$7,$J74),Calendar!$A$16:$A$141,"&lt;="&amp;MIN(V$7+4,$K74))=0,0,IF($H74="","EXT",SUMIFS(Calendar!$C$16:$C$141,Calendar!$A$16:$A$141,"&gt;="&amp;MAX(V$7,$J74),Calendar!$A$16:$A$141,"&lt;="&amp;MIN(V$7+4,$K74))*$H74/$G74)))</x:f>
        <x:v>0</x:v>
      </x:c>
      <x:c r="W74" s="45" t="n">
        <x:f>IF(OR($J74="",$K74=""),"",IF(SUMIFS(Calendar!$C$16:$C$141,Calendar!$A$16:$A$141,"&gt;="&amp;MAX(W$7,$J74),Calendar!$A$16:$A$141,"&lt;="&amp;MIN(W$7+4,$K74))=0,0,IF($H74="","EXT",SUMIFS(Calendar!$C$16:$C$141,Calendar!$A$16:$A$141,"&gt;="&amp;MAX(W$7,$J74),Calendar!$A$16:$A$141,"&lt;="&amp;MIN(W$7+4,$K74))*$H74/$G74)))</x:f>
        <x:v>0</x:v>
      </x:c>
      <x:c r="X74" s="45" t="n">
        <x:f>IF(OR($J74="",$K74=""),"",IF(SUMIFS(Calendar!$C$16:$C$141,Calendar!$A$16:$A$141,"&gt;="&amp;MAX(X$7,$J74),Calendar!$A$16:$A$141,"&lt;="&amp;MIN(X$7+4,$K74))=0,0,IF($H74="","EXT",SUMIFS(Calendar!$C$16:$C$141,Calendar!$A$16:$A$141,"&gt;="&amp;MAX(X$7,$J74),Calendar!$A$16:$A$141,"&lt;="&amp;MIN(X$7+4,$K74))*$H74/$G74)))</x:f>
        <x:v>0</x:v>
      </x:c>
      <x:c r="Y74" s="45" t="n">
        <x:f>IF(OR($J74="",$K74=""),"",IF(SUMIFS(Calendar!$C$16:$C$141,Calendar!$A$16:$A$141,"&gt;="&amp;MAX(Y$7,$J74),Calendar!$A$16:$A$141,"&lt;="&amp;MIN(Y$7+4,$K74))=0,0,IF($H74="","EXT",SUMIFS(Calendar!$C$16:$C$141,Calendar!$A$16:$A$141,"&gt;="&amp;MAX(Y$7,$J74),Calendar!$A$16:$A$141,"&lt;="&amp;MIN(Y$7+4,$K74))*$H74/$G74)))</x:f>
        <x:v>0</x:v>
      </x:c>
      <x:c r="Z74" s="45" t="n">
        <x:f>IF(OR($J74="",$K74=""),"",IF(SUMIFS(Calendar!$C$16:$C$141,Calendar!$A$16:$A$141,"&gt;="&amp;MAX(Z$7,$J74),Calendar!$A$16:$A$141,"&lt;="&amp;MIN(Z$7+4,$K74))=0,0,IF($H74="","EXT",SUMIFS(Calendar!$C$16:$C$141,Calendar!$A$16:$A$141,"&gt;="&amp;MAX(Z$7,$J74),Calendar!$A$16:$A$141,"&lt;="&amp;MIN(Z$7+4,$K74))*$H74/$G74)))</x:f>
        <x:v>0</x:v>
      </x:c>
      <x:c r="AA74" s="45" t="n">
        <x:f>IF(OR($J74="",$K74=""),"",IF(SUMIFS(Calendar!$C$16:$C$141,Calendar!$A$16:$A$141,"&gt;="&amp;MAX(AA$7,$J74),Calendar!$A$16:$A$141,"&lt;="&amp;MIN(AA$7+4,$K74))=0,0,IF($H74="","EXT",SUMIFS(Calendar!$C$16:$C$141,Calendar!$A$16:$A$141,"&gt;="&amp;MAX(AA$7,$J74),Calendar!$A$16:$A$141,"&lt;="&amp;MIN(AA$7+4,$K74))*$H74/$G74)))</x:f>
        <x:v>0</x:v>
      </x:c>
      <x:c r="AB74" s="45" t="n">
        <x:f>IF(OR($J74="",$K74=""),"",IF(SUMIFS(Calendar!$C$16:$C$141,Calendar!$A$16:$A$141,"&gt;="&amp;MAX(AB$7,$J74),Calendar!$A$16:$A$141,"&lt;="&amp;MIN(AB$7+4,$K74))=0,0,IF($H74="","EXT",SUMIFS(Calendar!$C$16:$C$141,Calendar!$A$16:$A$141,"&gt;="&amp;MAX(AB$7,$J74),Calendar!$A$16:$A$141,"&lt;="&amp;MIN(AB$7+4,$K74))*$H74/$G74)))</x:f>
        <x:v>0</x:v>
      </x:c>
      <x:c r="AC74" s="45" t="n">
        <x:f>IF(OR($J74="",$K74=""),"",IF(SUMIFS(Calendar!$C$16:$C$141,Calendar!$A$16:$A$141,"&gt;="&amp;MAX(AC$7,$J74),Calendar!$A$16:$A$141,"&lt;="&amp;MIN(AC$7+4,$K74))=0,0,IF($H74="","EXT",SUMIFS(Calendar!$C$16:$C$141,Calendar!$A$16:$A$141,"&gt;="&amp;MAX(AC$7,$J74),Calendar!$A$16:$A$141,"&lt;="&amp;MIN(AC$7+4,$K74))*$H74/$G74)))</x:f>
        <x:v>0</x:v>
      </x:c>
      <x:c r="AD74" s="45" t="n">
        <x:f>IF(OR($J74="",$K74=""),"",IF(SUMIFS(Calendar!$C$16:$C$141,Calendar!$A$16:$A$141,"&gt;="&amp;MAX(AD$7,$J74),Calendar!$A$16:$A$141,"&lt;="&amp;MIN(AD$7+4,$K74))=0,0,IF($H74="","EXT",SUMIFS(Calendar!$C$16:$C$141,Calendar!$A$16:$A$141,"&gt;="&amp;MAX(AD$7,$J74),Calendar!$A$16:$A$141,"&lt;="&amp;MIN(AD$7+4,$K74))*$H74/$G74)))</x:f>
        <x:v>0</x:v>
      </x:c>
      <x:c r="AE74" s="45" t="n">
        <x:f>IF(OR($J74="",$K74=""),"",IF(SUMIFS(Calendar!$C$16:$C$141,Calendar!$A$16:$A$141,"&gt;="&amp;MAX(AE$7,$J74),Calendar!$A$16:$A$141,"&lt;="&amp;MIN(AE$7+4,$K74))=0,0,IF($H74="","EXT",SUMIFS(Calendar!$C$16:$C$141,Calendar!$A$16:$A$141,"&gt;="&amp;MAX(AE$7,$J74),Calendar!$A$16:$A$141,"&lt;="&amp;MIN(AE$7+4,$K74))*$H74/$G74)))</x:f>
        <x:v>0</x:v>
      </x:c>
      <x:c r="AF74" s="8" t="n">
        <x:f>IF(OR(M74&lt;&gt;"Scheduled",INDEX('Team and Gates'!$C$7:$C$13,MATCH($D74,'Team and Gates'!$A$7:$A$13,0))=""),"CHECK",SUM(N74:AE74)*INDEX('Team and Gates'!$C$7:$C$13,MATCH($D74,'Team and Gates'!$A$7:$A$13,0)))</x:f>
        <x:v>1080</x:v>
      </x:c>
      <x:c r="AG74" s="46" t="str">
        <x:v>Developer checks and positive/negative acceptance examples pass; review AI-generated code before handoff.</x:v>
      </x:c>
      <x:c r="AH74" s="46" t="str">
        <x:v>Three-week feature implementation window after FSD signoff; use Codex with developer review and continuous tests.</x:v>
      </x:c>
    </x:row>
    <x:row r="75" ht="45" customHeight="1">
      <x:c r="A75" s="39" t="str">
        <x:v>Q05</x:v>
      </x:c>
      <x:c r="B75" s="39" t="str">
        <x:v>Technical QA</x:v>
      </x:c>
      <x:c r="C75" s="47" t="str">
        <x:v>Continuous component tests: Triage, Graph sync and matching</x:v>
      </x:c>
      <x:c r="D75" s="32" t="str">
        <x:v>Tester 1</x:v>
      </x:c>
      <x:c r="E75" s="47" t="str">
        <x:v>Q04</x:v>
      </x:c>
      <x:c r="F75" s="50" t="n">
        <x:v>16</x:v>
      </x:c>
      <x:c r="G75" s="50" t="n">
        <x:v>5</x:v>
      </x:c>
      <x:c r="H75" s="51" t="n">
        <x:v>3</x:v>
      </x:c>
      <x:c r="I75" s="39" t="n">
        <x:f>IF(OR(F75="",G75=""),"",F75+G75-1)</x:f>
        <x:v>20</x:v>
      </x:c>
      <x:c r="J75" s="41" t="n">
        <x:f>IF(OR(F75="",F75&lt;1,F75&gt;Calendar!$B$9),"",INDEX(Calendar!$A$16:$A$141,MATCH(F75,Calendar!$D$16:$D$141,0)))</x:f>
        <x:v>46349</x:v>
      </x:c>
      <x:c r="K75" s="41" t="n">
        <x:f>IF(OR(I75="",I75&lt;1,I75&gt;Calendar!$B$9),"",INDEX(Calendar!$A$16:$A$141,MATCH(I75,Calendar!$D$16:$D$141,0)))</x:f>
        <x:v>46353</x:v>
      </x:c>
      <x:c r="L75" s="53" t="n">
        <x:v>0</x:v>
      </x:c>
      <x:c r="M75" s="39" t="str">
        <x:f>IF(OR(F75="",G75="",H75=""),"Missing input",IF(OR(F75&lt;1,G75&lt;1,I75&gt;Calendar!$B$9),"Outside calendar",IF(F75&lt;MAX(INDEX($I$8:$I$157,MATCH("Q04",$A$8:$A$157,0))+1),"Dependency conflict","Scheduled")))</x:f>
        <x:v>Scheduled</x:v>
      </x:c>
      <x:c r="N75" s="45" t="n">
        <x:f>IF(OR($J75="",$K75=""),"",IF(SUMIFS(Calendar!$C$16:$C$141,Calendar!$A$16:$A$141,"&gt;="&amp;MAX(N$7,$J75),Calendar!$A$16:$A$141,"&lt;="&amp;MIN(N$7+4,$K75))=0,0,IF($H75="","EXT",SUMIFS(Calendar!$C$16:$C$141,Calendar!$A$16:$A$141,"&gt;="&amp;MAX(N$7,$J75),Calendar!$A$16:$A$141,"&lt;="&amp;MIN(N$7+4,$K75))*$H75/$G75)))</x:f>
        <x:v>0</x:v>
      </x:c>
      <x:c r="O75" s="45" t="n">
        <x:f>IF(OR($J75="",$K75=""),"",IF(SUMIFS(Calendar!$C$16:$C$141,Calendar!$A$16:$A$141,"&gt;="&amp;MAX(O$7,$J75),Calendar!$A$16:$A$141,"&lt;="&amp;MIN(O$7+4,$K75))=0,0,IF($H75="","EXT",SUMIFS(Calendar!$C$16:$C$141,Calendar!$A$16:$A$141,"&gt;="&amp;MAX(O$7,$J75),Calendar!$A$16:$A$141,"&lt;="&amp;MIN(O$7+4,$K75))*$H75/$G75)))</x:f>
        <x:v>0</x:v>
      </x:c>
      <x:c r="P75" s="45" t="n">
        <x:f>IF(OR($J75="",$K75=""),"",IF(SUMIFS(Calendar!$C$16:$C$141,Calendar!$A$16:$A$141,"&gt;="&amp;MAX(P$7,$J75),Calendar!$A$16:$A$141,"&lt;="&amp;MIN(P$7+4,$K75))=0,0,IF($H75="","EXT",SUMIFS(Calendar!$C$16:$C$141,Calendar!$A$16:$A$141,"&gt;="&amp;MAX(P$7,$J75),Calendar!$A$16:$A$141,"&lt;="&amp;MIN(P$7+4,$K75))*$H75/$G75)))</x:f>
        <x:v>0</x:v>
      </x:c>
      <x:c r="Q75" s="45" t="n">
        <x:f>IF(OR($J75="",$K75=""),"",IF(SUMIFS(Calendar!$C$16:$C$141,Calendar!$A$16:$A$141,"&gt;="&amp;MAX(Q$7,$J75),Calendar!$A$16:$A$141,"&lt;="&amp;MIN(Q$7+4,$K75))=0,0,IF($H75="","EXT",SUMIFS(Calendar!$C$16:$C$141,Calendar!$A$16:$A$141,"&gt;="&amp;MAX(Q$7,$J75),Calendar!$A$16:$A$141,"&lt;="&amp;MIN(Q$7+4,$K75))*$H75/$G75)))</x:f>
        <x:v>3</x:v>
      </x:c>
      <x:c r="R75" s="45" t="n">
        <x:f>IF(OR($J75="",$K75=""),"",IF(SUMIFS(Calendar!$C$16:$C$141,Calendar!$A$16:$A$141,"&gt;="&amp;MAX(R$7,$J75),Calendar!$A$16:$A$141,"&lt;="&amp;MIN(R$7+4,$K75))=0,0,IF($H75="","EXT",SUMIFS(Calendar!$C$16:$C$141,Calendar!$A$16:$A$141,"&gt;="&amp;MAX(R$7,$J75),Calendar!$A$16:$A$141,"&lt;="&amp;MIN(R$7+4,$K75))*$H75/$G75)))</x:f>
        <x:v>0</x:v>
      </x:c>
      <x:c r="S75" s="45" t="n">
        <x:f>IF(OR($J75="",$K75=""),"",IF(SUMIFS(Calendar!$C$16:$C$141,Calendar!$A$16:$A$141,"&gt;="&amp;MAX(S$7,$J75),Calendar!$A$16:$A$141,"&lt;="&amp;MIN(S$7+4,$K75))=0,0,IF($H75="","EXT",SUMIFS(Calendar!$C$16:$C$141,Calendar!$A$16:$A$141,"&gt;="&amp;MAX(S$7,$J75),Calendar!$A$16:$A$141,"&lt;="&amp;MIN(S$7+4,$K75))*$H75/$G75)))</x:f>
        <x:v>0</x:v>
      </x:c>
      <x:c r="T75" s="45" t="n">
        <x:f>IF(OR($J75="",$K75=""),"",IF(SUMIFS(Calendar!$C$16:$C$141,Calendar!$A$16:$A$141,"&gt;="&amp;MAX(T$7,$J75),Calendar!$A$16:$A$141,"&lt;="&amp;MIN(T$7+4,$K75))=0,0,IF($H75="","EXT",SUMIFS(Calendar!$C$16:$C$141,Calendar!$A$16:$A$141,"&gt;="&amp;MAX(T$7,$J75),Calendar!$A$16:$A$141,"&lt;="&amp;MIN(T$7+4,$K75))*$H75/$G75)))</x:f>
        <x:v>0</x:v>
      </x:c>
      <x:c r="U75" s="45" t="n">
        <x:f>IF(OR($J75="",$K75=""),"",IF(SUMIFS(Calendar!$C$16:$C$141,Calendar!$A$16:$A$141,"&gt;="&amp;MAX(U$7,$J75),Calendar!$A$16:$A$141,"&lt;="&amp;MIN(U$7+4,$K75))=0,0,IF($H75="","EXT",SUMIFS(Calendar!$C$16:$C$141,Calendar!$A$16:$A$141,"&gt;="&amp;MAX(U$7,$J75),Calendar!$A$16:$A$141,"&lt;="&amp;MIN(U$7+4,$K75))*$H75/$G75)))</x:f>
        <x:v>0</x:v>
      </x:c>
      <x:c r="V75" s="45" t="n">
        <x:f>IF(OR($J75="",$K75=""),"",IF(SUMIFS(Calendar!$C$16:$C$141,Calendar!$A$16:$A$141,"&gt;="&amp;MAX(V$7,$J75),Calendar!$A$16:$A$141,"&lt;="&amp;MIN(V$7+4,$K75))=0,0,IF($H75="","EXT",SUMIFS(Calendar!$C$16:$C$141,Calendar!$A$16:$A$141,"&gt;="&amp;MAX(V$7,$J75),Calendar!$A$16:$A$141,"&lt;="&amp;MIN(V$7+4,$K75))*$H75/$G75)))</x:f>
        <x:v>0</x:v>
      </x:c>
      <x:c r="W75" s="45" t="n">
        <x:f>IF(OR($J75="",$K75=""),"",IF(SUMIFS(Calendar!$C$16:$C$141,Calendar!$A$16:$A$141,"&gt;="&amp;MAX(W$7,$J75),Calendar!$A$16:$A$141,"&lt;="&amp;MIN(W$7+4,$K75))=0,0,IF($H75="","EXT",SUMIFS(Calendar!$C$16:$C$141,Calendar!$A$16:$A$141,"&gt;="&amp;MAX(W$7,$J75),Calendar!$A$16:$A$141,"&lt;="&amp;MIN(W$7+4,$K75))*$H75/$G75)))</x:f>
        <x:v>0</x:v>
      </x:c>
      <x:c r="X75" s="45" t="n">
        <x:f>IF(OR($J75="",$K75=""),"",IF(SUMIFS(Calendar!$C$16:$C$141,Calendar!$A$16:$A$141,"&gt;="&amp;MAX(X$7,$J75),Calendar!$A$16:$A$141,"&lt;="&amp;MIN(X$7+4,$K75))=0,0,IF($H75="","EXT",SUMIFS(Calendar!$C$16:$C$141,Calendar!$A$16:$A$141,"&gt;="&amp;MAX(X$7,$J75),Calendar!$A$16:$A$141,"&lt;="&amp;MIN(X$7+4,$K75))*$H75/$G75)))</x:f>
        <x:v>0</x:v>
      </x:c>
      <x:c r="Y75" s="45" t="n">
        <x:f>IF(OR($J75="",$K75=""),"",IF(SUMIFS(Calendar!$C$16:$C$141,Calendar!$A$16:$A$141,"&gt;="&amp;MAX(Y$7,$J75),Calendar!$A$16:$A$141,"&lt;="&amp;MIN(Y$7+4,$K75))=0,0,IF($H75="","EXT",SUMIFS(Calendar!$C$16:$C$141,Calendar!$A$16:$A$141,"&gt;="&amp;MAX(Y$7,$J75),Calendar!$A$16:$A$141,"&lt;="&amp;MIN(Y$7+4,$K75))*$H75/$G75)))</x:f>
        <x:v>0</x:v>
      </x:c>
      <x:c r="Z75" s="45" t="n">
        <x:f>IF(OR($J75="",$K75=""),"",IF(SUMIFS(Calendar!$C$16:$C$141,Calendar!$A$16:$A$141,"&gt;="&amp;MAX(Z$7,$J75),Calendar!$A$16:$A$141,"&lt;="&amp;MIN(Z$7+4,$K75))=0,0,IF($H75="","EXT",SUMIFS(Calendar!$C$16:$C$141,Calendar!$A$16:$A$141,"&gt;="&amp;MAX(Z$7,$J75),Calendar!$A$16:$A$141,"&lt;="&amp;MIN(Z$7+4,$K75))*$H75/$G75)))</x:f>
        <x:v>0</x:v>
      </x:c>
      <x:c r="AA75" s="45" t="n">
        <x:f>IF(OR($J75="",$K75=""),"",IF(SUMIFS(Calendar!$C$16:$C$141,Calendar!$A$16:$A$141,"&gt;="&amp;MAX(AA$7,$J75),Calendar!$A$16:$A$141,"&lt;="&amp;MIN(AA$7+4,$K75))=0,0,IF($H75="","EXT",SUMIFS(Calendar!$C$16:$C$141,Calendar!$A$16:$A$141,"&gt;="&amp;MAX(AA$7,$J75),Calendar!$A$16:$A$141,"&lt;="&amp;MIN(AA$7+4,$K75))*$H75/$G75)))</x:f>
        <x:v>0</x:v>
      </x:c>
      <x:c r="AB75" s="45" t="n">
        <x:f>IF(OR($J75="",$K75=""),"",IF(SUMIFS(Calendar!$C$16:$C$141,Calendar!$A$16:$A$141,"&gt;="&amp;MAX(AB$7,$J75),Calendar!$A$16:$A$141,"&lt;="&amp;MIN(AB$7+4,$K75))=0,0,IF($H75="","EXT",SUMIFS(Calendar!$C$16:$C$141,Calendar!$A$16:$A$141,"&gt;="&amp;MAX(AB$7,$J75),Calendar!$A$16:$A$141,"&lt;="&amp;MIN(AB$7+4,$K75))*$H75/$G75)))</x:f>
        <x:v>0</x:v>
      </x:c>
      <x:c r="AC75" s="45" t="n">
        <x:f>IF(OR($J75="",$K75=""),"",IF(SUMIFS(Calendar!$C$16:$C$141,Calendar!$A$16:$A$141,"&gt;="&amp;MAX(AC$7,$J75),Calendar!$A$16:$A$141,"&lt;="&amp;MIN(AC$7+4,$K75))=0,0,IF($H75="","EXT",SUMIFS(Calendar!$C$16:$C$141,Calendar!$A$16:$A$141,"&gt;="&amp;MAX(AC$7,$J75),Calendar!$A$16:$A$141,"&lt;="&amp;MIN(AC$7+4,$K75))*$H75/$G75)))</x:f>
        <x:v>0</x:v>
      </x:c>
      <x:c r="AD75" s="45" t="n">
        <x:f>IF(OR($J75="",$K75=""),"",IF(SUMIFS(Calendar!$C$16:$C$141,Calendar!$A$16:$A$141,"&gt;="&amp;MAX(AD$7,$J75),Calendar!$A$16:$A$141,"&lt;="&amp;MIN(AD$7+4,$K75))=0,0,IF($H75="","EXT",SUMIFS(Calendar!$C$16:$C$141,Calendar!$A$16:$A$141,"&gt;="&amp;MAX(AD$7,$J75),Calendar!$A$16:$A$141,"&lt;="&amp;MIN(AD$7+4,$K75))*$H75/$G75)))</x:f>
        <x:v>0</x:v>
      </x:c>
      <x:c r="AE75" s="45" t="n">
        <x:f>IF(OR($J75="",$K75=""),"",IF(SUMIFS(Calendar!$C$16:$C$141,Calendar!$A$16:$A$141,"&gt;="&amp;MAX(AE$7,$J75),Calendar!$A$16:$A$141,"&lt;="&amp;MIN(AE$7+4,$K75))=0,0,IF($H75="","EXT",SUMIFS(Calendar!$C$16:$C$141,Calendar!$A$16:$A$141,"&gt;="&amp;MAX(AE$7,$J75),Calendar!$A$16:$A$141,"&lt;="&amp;MIN(AE$7+4,$K75))*$H75/$G75)))</x:f>
        <x:v>0</x:v>
      </x:c>
      <x:c r="AF75" s="8" t="n">
        <x:f>IF(OR(M75&lt;&gt;"Scheduled",INDEX('Team and Gates'!$C$7:$C$13,MATCH($D75,'Team and Gates'!$A$7:$A$13,0))=""),"CHECK",SUM(N75:AE75)*INDEX('Team and Gates'!$C$7:$C$13,MATCH($D75,'Team and Gates'!$A$7:$A$13,0)))</x:f>
        <x:v>1080</x:v>
      </x:c>
      <x:c r="AG75" s="46" t="str">
        <x:v>Developer checks and positive/negative acceptance examples pass; review AI-generated code before handoff.</x:v>
      </x:c>
      <x:c r="AH75" s="46" t="str">
        <x:v>Three-week feature implementation window after FSD signoff; use Codex with developer review and continuous tests.</x:v>
      </x:c>
    </x:row>
    <x:row r="76" ht="45" customHeight="1">
      <x:c r="A76" s="2" t="str">
        <x:v>Q06</x:v>
      </x:c>
      <x:c r="B76" s="2" t="str">
        <x:v>Technical QA</x:v>
      </x:c>
      <x:c r="C76" s="46" t="str">
        <x:v>Continuous integration checks: draft approval and send recovery</x:v>
      </x:c>
      <x:c r="D76" s="32" t="str">
        <x:v>Tester 1</x:v>
      </x:c>
      <x:c r="E76" s="46" t="str">
        <x:v>Q05</x:v>
      </x:c>
      <x:c r="F76" s="50" t="n">
        <x:v>21</x:v>
      </x:c>
      <x:c r="G76" s="50" t="n">
        <x:v>2</x:v>
      </x:c>
      <x:c r="H76" s="51" t="n">
        <x:v>1.2000000000000002</x:v>
      </x:c>
      <x:c r="I76" s="2" t="n">
        <x:f>IF(OR(F76="",G76=""),"",F76+G76-1)</x:f>
        <x:v>22</x:v>
      </x:c>
      <x:c r="J76" s="5" t="n">
        <x:f>IF(OR(F76="",F76&lt;1,F76&gt;Calendar!$B$9),"",INDEX(Calendar!$A$16:$A$141,MATCH(F76,Calendar!$D$16:$D$141,0)))</x:f>
        <x:v>46356</x:v>
      </x:c>
      <x:c r="K76" s="5" t="n">
        <x:f>IF(OR(I76="",I76&lt;1,I76&gt;Calendar!$B$9),"",INDEX(Calendar!$A$16:$A$141,MATCH(I76,Calendar!$D$16:$D$141,0)))</x:f>
        <x:v>46357</x:v>
      </x:c>
      <x:c r="L76" s="53" t="n">
        <x:v>0</x:v>
      </x:c>
      <x:c r="M76" s="2" t="str">
        <x:f>IF(OR(F76="",G76="",H76=""),"Missing input",IF(OR(F76&lt;1,G76&lt;1,I76&gt;Calendar!$B$9),"Outside calendar",IF(F76&lt;MAX(INDEX($I$8:$I$157,MATCH("Q05",$A$8:$A$157,0))+1),"Dependency conflict","Scheduled")))</x:f>
        <x:v>Scheduled</x:v>
      </x:c>
      <x:c r="N76" s="45" t="n">
        <x:f>IF(OR($J76="",$K76=""),"",IF(SUMIFS(Calendar!$C$16:$C$141,Calendar!$A$16:$A$141,"&gt;="&amp;MAX(N$7,$J76),Calendar!$A$16:$A$141,"&lt;="&amp;MIN(N$7+4,$K76))=0,0,IF($H76="","EXT",SUMIFS(Calendar!$C$16:$C$141,Calendar!$A$16:$A$141,"&gt;="&amp;MAX(N$7,$J76),Calendar!$A$16:$A$141,"&lt;="&amp;MIN(N$7+4,$K76))*$H76/$G76)))</x:f>
        <x:v>0</x:v>
      </x:c>
      <x:c r="O76" s="45" t="n">
        <x:f>IF(OR($J76="",$K76=""),"",IF(SUMIFS(Calendar!$C$16:$C$141,Calendar!$A$16:$A$141,"&gt;="&amp;MAX(O$7,$J76),Calendar!$A$16:$A$141,"&lt;="&amp;MIN(O$7+4,$K76))=0,0,IF($H76="","EXT",SUMIFS(Calendar!$C$16:$C$141,Calendar!$A$16:$A$141,"&gt;="&amp;MAX(O$7,$J76),Calendar!$A$16:$A$141,"&lt;="&amp;MIN(O$7+4,$K76))*$H76/$G76)))</x:f>
        <x:v>0</x:v>
      </x:c>
      <x:c r="P76" s="45" t="n">
        <x:f>IF(OR($J76="",$K76=""),"",IF(SUMIFS(Calendar!$C$16:$C$141,Calendar!$A$16:$A$141,"&gt;="&amp;MAX(P$7,$J76),Calendar!$A$16:$A$141,"&lt;="&amp;MIN(P$7+4,$K76))=0,0,IF($H76="","EXT",SUMIFS(Calendar!$C$16:$C$141,Calendar!$A$16:$A$141,"&gt;="&amp;MAX(P$7,$J76),Calendar!$A$16:$A$141,"&lt;="&amp;MIN(P$7+4,$K76))*$H76/$G76)))</x:f>
        <x:v>0</x:v>
      </x:c>
      <x:c r="Q76" s="45" t="n">
        <x:f>IF(OR($J76="",$K76=""),"",IF(SUMIFS(Calendar!$C$16:$C$141,Calendar!$A$16:$A$141,"&gt;="&amp;MAX(Q$7,$J76),Calendar!$A$16:$A$141,"&lt;="&amp;MIN(Q$7+4,$K76))=0,0,IF($H76="","EXT",SUMIFS(Calendar!$C$16:$C$141,Calendar!$A$16:$A$141,"&gt;="&amp;MAX(Q$7,$J76),Calendar!$A$16:$A$141,"&lt;="&amp;MIN(Q$7+4,$K76))*$H76/$G76)))</x:f>
        <x:v>0</x:v>
      </x:c>
      <x:c r="R76" s="45" t="n">
        <x:f>IF(OR($J76="",$K76=""),"",IF(SUMIFS(Calendar!$C$16:$C$141,Calendar!$A$16:$A$141,"&gt;="&amp;MAX(R$7,$J76),Calendar!$A$16:$A$141,"&lt;="&amp;MIN(R$7+4,$K76))=0,0,IF($H76="","EXT",SUMIFS(Calendar!$C$16:$C$141,Calendar!$A$16:$A$141,"&gt;="&amp;MAX(R$7,$J76),Calendar!$A$16:$A$141,"&lt;="&amp;MIN(R$7+4,$K76))*$H76/$G76)))</x:f>
        <x:v>1.2000000000000002</x:v>
      </x:c>
      <x:c r="S76" s="45" t="n">
        <x:f>IF(OR($J76="",$K76=""),"",IF(SUMIFS(Calendar!$C$16:$C$141,Calendar!$A$16:$A$141,"&gt;="&amp;MAX(S$7,$J76),Calendar!$A$16:$A$141,"&lt;="&amp;MIN(S$7+4,$K76))=0,0,IF($H76="","EXT",SUMIFS(Calendar!$C$16:$C$141,Calendar!$A$16:$A$141,"&gt;="&amp;MAX(S$7,$J76),Calendar!$A$16:$A$141,"&lt;="&amp;MIN(S$7+4,$K76))*$H76/$G76)))</x:f>
        <x:v>0</x:v>
      </x:c>
      <x:c r="T76" s="45" t="n">
        <x:f>IF(OR($J76="",$K76=""),"",IF(SUMIFS(Calendar!$C$16:$C$141,Calendar!$A$16:$A$141,"&gt;="&amp;MAX(T$7,$J76),Calendar!$A$16:$A$141,"&lt;="&amp;MIN(T$7+4,$K76))=0,0,IF($H76="","EXT",SUMIFS(Calendar!$C$16:$C$141,Calendar!$A$16:$A$141,"&gt;="&amp;MAX(T$7,$J76),Calendar!$A$16:$A$141,"&lt;="&amp;MIN(T$7+4,$K76))*$H76/$G76)))</x:f>
        <x:v>0</x:v>
      </x:c>
      <x:c r="U76" s="45" t="n">
        <x:f>IF(OR($J76="",$K76=""),"",IF(SUMIFS(Calendar!$C$16:$C$141,Calendar!$A$16:$A$141,"&gt;="&amp;MAX(U$7,$J76),Calendar!$A$16:$A$141,"&lt;="&amp;MIN(U$7+4,$K76))=0,0,IF($H76="","EXT",SUMIFS(Calendar!$C$16:$C$141,Calendar!$A$16:$A$141,"&gt;="&amp;MAX(U$7,$J76),Calendar!$A$16:$A$141,"&lt;="&amp;MIN(U$7+4,$K76))*$H76/$G76)))</x:f>
        <x:v>0</x:v>
      </x:c>
      <x:c r="V76" s="45" t="n">
        <x:f>IF(OR($J76="",$K76=""),"",IF(SUMIFS(Calendar!$C$16:$C$141,Calendar!$A$16:$A$141,"&gt;="&amp;MAX(V$7,$J76),Calendar!$A$16:$A$141,"&lt;="&amp;MIN(V$7+4,$K76))=0,0,IF($H76="","EXT",SUMIFS(Calendar!$C$16:$C$141,Calendar!$A$16:$A$141,"&gt;="&amp;MAX(V$7,$J76),Calendar!$A$16:$A$141,"&lt;="&amp;MIN(V$7+4,$K76))*$H76/$G76)))</x:f>
        <x:v>0</x:v>
      </x:c>
      <x:c r="W76" s="45" t="n">
        <x:f>IF(OR($J76="",$K76=""),"",IF(SUMIFS(Calendar!$C$16:$C$141,Calendar!$A$16:$A$141,"&gt;="&amp;MAX(W$7,$J76),Calendar!$A$16:$A$141,"&lt;="&amp;MIN(W$7+4,$K76))=0,0,IF($H76="","EXT",SUMIFS(Calendar!$C$16:$C$141,Calendar!$A$16:$A$141,"&gt;="&amp;MAX(W$7,$J76),Calendar!$A$16:$A$141,"&lt;="&amp;MIN(W$7+4,$K76))*$H76/$G76)))</x:f>
        <x:v>0</x:v>
      </x:c>
      <x:c r="X76" s="45" t="n">
        <x:f>IF(OR($J76="",$K76=""),"",IF(SUMIFS(Calendar!$C$16:$C$141,Calendar!$A$16:$A$141,"&gt;="&amp;MAX(X$7,$J76),Calendar!$A$16:$A$141,"&lt;="&amp;MIN(X$7+4,$K76))=0,0,IF($H76="","EXT",SUMIFS(Calendar!$C$16:$C$141,Calendar!$A$16:$A$141,"&gt;="&amp;MAX(X$7,$J76),Calendar!$A$16:$A$141,"&lt;="&amp;MIN(X$7+4,$K76))*$H76/$G76)))</x:f>
        <x:v>0</x:v>
      </x:c>
      <x:c r="Y76" s="45" t="n">
        <x:f>IF(OR($J76="",$K76=""),"",IF(SUMIFS(Calendar!$C$16:$C$141,Calendar!$A$16:$A$141,"&gt;="&amp;MAX(Y$7,$J76),Calendar!$A$16:$A$141,"&lt;="&amp;MIN(Y$7+4,$K76))=0,0,IF($H76="","EXT",SUMIFS(Calendar!$C$16:$C$141,Calendar!$A$16:$A$141,"&gt;="&amp;MAX(Y$7,$J76),Calendar!$A$16:$A$141,"&lt;="&amp;MIN(Y$7+4,$K76))*$H76/$G76)))</x:f>
        <x:v>0</x:v>
      </x:c>
      <x:c r="Z76" s="45" t="n">
        <x:f>IF(OR($J76="",$K76=""),"",IF(SUMIFS(Calendar!$C$16:$C$141,Calendar!$A$16:$A$141,"&gt;="&amp;MAX(Z$7,$J76),Calendar!$A$16:$A$141,"&lt;="&amp;MIN(Z$7+4,$K76))=0,0,IF($H76="","EXT",SUMIFS(Calendar!$C$16:$C$141,Calendar!$A$16:$A$141,"&gt;="&amp;MAX(Z$7,$J76),Calendar!$A$16:$A$141,"&lt;="&amp;MIN(Z$7+4,$K76))*$H76/$G76)))</x:f>
        <x:v>0</x:v>
      </x:c>
      <x:c r="AA76" s="45" t="n">
        <x:f>IF(OR($J76="",$K76=""),"",IF(SUMIFS(Calendar!$C$16:$C$141,Calendar!$A$16:$A$141,"&gt;="&amp;MAX(AA$7,$J76),Calendar!$A$16:$A$141,"&lt;="&amp;MIN(AA$7+4,$K76))=0,0,IF($H76="","EXT",SUMIFS(Calendar!$C$16:$C$141,Calendar!$A$16:$A$141,"&gt;="&amp;MAX(AA$7,$J76),Calendar!$A$16:$A$141,"&lt;="&amp;MIN(AA$7+4,$K76))*$H76/$G76)))</x:f>
        <x:v>0</x:v>
      </x:c>
      <x:c r="AB76" s="45" t="n">
        <x:f>IF(OR($J76="",$K76=""),"",IF(SUMIFS(Calendar!$C$16:$C$141,Calendar!$A$16:$A$141,"&gt;="&amp;MAX(AB$7,$J76),Calendar!$A$16:$A$141,"&lt;="&amp;MIN(AB$7+4,$K76))=0,0,IF($H76="","EXT",SUMIFS(Calendar!$C$16:$C$141,Calendar!$A$16:$A$141,"&gt;="&amp;MAX(AB$7,$J76),Calendar!$A$16:$A$141,"&lt;="&amp;MIN(AB$7+4,$K76))*$H76/$G76)))</x:f>
        <x:v>0</x:v>
      </x:c>
      <x:c r="AC76" s="45" t="n">
        <x:f>IF(OR($J76="",$K76=""),"",IF(SUMIFS(Calendar!$C$16:$C$141,Calendar!$A$16:$A$141,"&gt;="&amp;MAX(AC$7,$J76),Calendar!$A$16:$A$141,"&lt;="&amp;MIN(AC$7+4,$K76))=0,0,IF($H76="","EXT",SUMIFS(Calendar!$C$16:$C$141,Calendar!$A$16:$A$141,"&gt;="&amp;MAX(AC$7,$J76),Calendar!$A$16:$A$141,"&lt;="&amp;MIN(AC$7+4,$K76))*$H76/$G76)))</x:f>
        <x:v>0</x:v>
      </x:c>
      <x:c r="AD76" s="45" t="n">
        <x:f>IF(OR($J76="",$K76=""),"",IF(SUMIFS(Calendar!$C$16:$C$141,Calendar!$A$16:$A$141,"&gt;="&amp;MAX(AD$7,$J76),Calendar!$A$16:$A$141,"&lt;="&amp;MIN(AD$7+4,$K76))=0,0,IF($H76="","EXT",SUMIFS(Calendar!$C$16:$C$141,Calendar!$A$16:$A$141,"&gt;="&amp;MAX(AD$7,$J76),Calendar!$A$16:$A$141,"&lt;="&amp;MIN(AD$7+4,$K76))*$H76/$G76)))</x:f>
        <x:v>0</x:v>
      </x:c>
      <x:c r="AE76" s="45" t="n">
        <x:f>IF(OR($J76="",$K76=""),"",IF(SUMIFS(Calendar!$C$16:$C$141,Calendar!$A$16:$A$141,"&gt;="&amp;MAX(AE$7,$J76),Calendar!$A$16:$A$141,"&lt;="&amp;MIN(AE$7+4,$K76))=0,0,IF($H76="","EXT",SUMIFS(Calendar!$C$16:$C$141,Calendar!$A$16:$A$141,"&gt;="&amp;MAX(AE$7,$J76),Calendar!$A$16:$A$141,"&lt;="&amp;MIN(AE$7+4,$K76))*$H76/$G76)))</x:f>
        <x:v>0</x:v>
      </x:c>
      <x:c r="AF76" s="8" t="n">
        <x:f>IF(OR(M76&lt;&gt;"Scheduled",INDEX('Team and Gates'!$C$7:$C$13,MATCH($D76,'Team and Gates'!$A$7:$A$13,0))=""),"CHECK",SUM(N76:AE76)*INDEX('Team and Gates'!$C$7:$C$13,MATCH($D76,'Team and Gates'!$A$7:$A$13,0)))</x:f>
        <x:v>432.00000000000006</x:v>
      </x:c>
      <x:c r="AG76" s="46" t="str">
        <x:v>Developer checks and positive/negative acceptance examples pass; review AI-generated code before handoff.</x:v>
      </x:c>
      <x:c r="AH76" s="46" t="str">
        <x:v>Three-week feature implementation window after FSD signoff; use Codex with developer review and continuous tests.</x:v>
      </x:c>
    </x:row>
    <x:row r="77" ht="45" customHeight="1">
      <x:c r="A77" s="39" t="str">
        <x:v>Q07</x:v>
      </x:c>
      <x:c r="B77" s="39" t="str">
        <x:v>Technical QA</x:v>
      </x:c>
      <x:c r="C77" s="47" t="str">
        <x:v>Pre-SIT smoke, test-data readiness and complete-feature handoff</x:v>
      </x:c>
      <x:c r="D77" s="32" t="str">
        <x:v>Tester 1</x:v>
      </x:c>
      <x:c r="E77" s="47" t="str">
        <x:v>Q06</x:v>
      </x:c>
      <x:c r="F77" s="50" t="n">
        <x:v>23</x:v>
      </x:c>
      <x:c r="G77" s="50" t="n">
        <x:v>3</x:v>
      </x:c>
      <x:c r="H77" s="51" t="n">
        <x:v>1.7999999999999998</x:v>
      </x:c>
      <x:c r="I77" s="39" t="n">
        <x:f>IF(OR(F77="",G77=""),"",F77+G77-1)</x:f>
        <x:v>25</x:v>
      </x:c>
      <x:c r="J77" s="41" t="n">
        <x:f>IF(OR(F77="",F77&lt;1,F77&gt;Calendar!$B$9),"",INDEX(Calendar!$A$16:$A$141,MATCH(F77,Calendar!$D$16:$D$141,0)))</x:f>
        <x:v>46358</x:v>
      </x:c>
      <x:c r="K77" s="41" t="n">
        <x:f>IF(OR(I77="",I77&lt;1,I77&gt;Calendar!$B$9),"",INDEX(Calendar!$A$16:$A$141,MATCH(I77,Calendar!$D$16:$D$141,0)))</x:f>
        <x:v>46360</x:v>
      </x:c>
      <x:c r="L77" s="53" t="n">
        <x:v>0</x:v>
      </x:c>
      <x:c r="M77" s="39" t="str">
        <x:f>IF(OR(F77="",G77="",H77=""),"Missing input",IF(OR(F77&lt;1,G77&lt;1,I77&gt;Calendar!$B$9),"Outside calendar",IF(F77&lt;MAX(INDEX($I$8:$I$157,MATCH("Q06",$A$8:$A$157,0))+1),"Dependency conflict","Scheduled")))</x:f>
        <x:v>Scheduled</x:v>
      </x:c>
      <x:c r="N77" s="45" t="n">
        <x:f>IF(OR($J77="",$K77=""),"",IF(SUMIFS(Calendar!$C$16:$C$141,Calendar!$A$16:$A$141,"&gt;="&amp;MAX(N$7,$J77),Calendar!$A$16:$A$141,"&lt;="&amp;MIN(N$7+4,$K77))=0,0,IF($H77="","EXT",SUMIFS(Calendar!$C$16:$C$141,Calendar!$A$16:$A$141,"&gt;="&amp;MAX(N$7,$J77),Calendar!$A$16:$A$141,"&lt;="&amp;MIN(N$7+4,$K77))*$H77/$G77)))</x:f>
        <x:v>0</x:v>
      </x:c>
      <x:c r="O77" s="45" t="n">
        <x:f>IF(OR($J77="",$K77=""),"",IF(SUMIFS(Calendar!$C$16:$C$141,Calendar!$A$16:$A$141,"&gt;="&amp;MAX(O$7,$J77),Calendar!$A$16:$A$141,"&lt;="&amp;MIN(O$7+4,$K77))=0,0,IF($H77="","EXT",SUMIFS(Calendar!$C$16:$C$141,Calendar!$A$16:$A$141,"&gt;="&amp;MAX(O$7,$J77),Calendar!$A$16:$A$141,"&lt;="&amp;MIN(O$7+4,$K77))*$H77/$G77)))</x:f>
        <x:v>0</x:v>
      </x:c>
      <x:c r="P77" s="45" t="n">
        <x:f>IF(OR($J77="",$K77=""),"",IF(SUMIFS(Calendar!$C$16:$C$141,Calendar!$A$16:$A$141,"&gt;="&amp;MAX(P$7,$J77),Calendar!$A$16:$A$141,"&lt;="&amp;MIN(P$7+4,$K77))=0,0,IF($H77="","EXT",SUMIFS(Calendar!$C$16:$C$141,Calendar!$A$16:$A$141,"&gt;="&amp;MAX(P$7,$J77),Calendar!$A$16:$A$141,"&lt;="&amp;MIN(P$7+4,$K77))*$H77/$G77)))</x:f>
        <x:v>0</x:v>
      </x:c>
      <x:c r="Q77" s="45" t="n">
        <x:f>IF(OR($J77="",$K77=""),"",IF(SUMIFS(Calendar!$C$16:$C$141,Calendar!$A$16:$A$141,"&gt;="&amp;MAX(Q$7,$J77),Calendar!$A$16:$A$141,"&lt;="&amp;MIN(Q$7+4,$K77))=0,0,IF($H77="","EXT",SUMIFS(Calendar!$C$16:$C$141,Calendar!$A$16:$A$141,"&gt;="&amp;MAX(Q$7,$J77),Calendar!$A$16:$A$141,"&lt;="&amp;MIN(Q$7+4,$K77))*$H77/$G77)))</x:f>
        <x:v>0</x:v>
      </x:c>
      <x:c r="R77" s="45" t="n">
        <x:f>IF(OR($J77="",$K77=""),"",IF(SUMIFS(Calendar!$C$16:$C$141,Calendar!$A$16:$A$141,"&gt;="&amp;MAX(R$7,$J77),Calendar!$A$16:$A$141,"&lt;="&amp;MIN(R$7+4,$K77))=0,0,IF($H77="","EXT",SUMIFS(Calendar!$C$16:$C$141,Calendar!$A$16:$A$141,"&gt;="&amp;MAX(R$7,$J77),Calendar!$A$16:$A$141,"&lt;="&amp;MIN(R$7+4,$K77))*$H77/$G77)))</x:f>
        <x:v>1.7999999999999998</x:v>
      </x:c>
      <x:c r="S77" s="45" t="n">
        <x:f>IF(OR($J77="",$K77=""),"",IF(SUMIFS(Calendar!$C$16:$C$141,Calendar!$A$16:$A$141,"&gt;="&amp;MAX(S$7,$J77),Calendar!$A$16:$A$141,"&lt;="&amp;MIN(S$7+4,$K77))=0,0,IF($H77="","EXT",SUMIFS(Calendar!$C$16:$C$141,Calendar!$A$16:$A$141,"&gt;="&amp;MAX(S$7,$J77),Calendar!$A$16:$A$141,"&lt;="&amp;MIN(S$7+4,$K77))*$H77/$G77)))</x:f>
        <x:v>0</x:v>
      </x:c>
      <x:c r="T77" s="45" t="n">
        <x:f>IF(OR($J77="",$K77=""),"",IF(SUMIFS(Calendar!$C$16:$C$141,Calendar!$A$16:$A$141,"&gt;="&amp;MAX(T$7,$J77),Calendar!$A$16:$A$141,"&lt;="&amp;MIN(T$7+4,$K77))=0,0,IF($H77="","EXT",SUMIFS(Calendar!$C$16:$C$141,Calendar!$A$16:$A$141,"&gt;="&amp;MAX(T$7,$J77),Calendar!$A$16:$A$141,"&lt;="&amp;MIN(T$7+4,$K77))*$H77/$G77)))</x:f>
        <x:v>0</x:v>
      </x:c>
      <x:c r="U77" s="45" t="n">
        <x:f>IF(OR($J77="",$K77=""),"",IF(SUMIFS(Calendar!$C$16:$C$141,Calendar!$A$16:$A$141,"&gt;="&amp;MAX(U$7,$J77),Calendar!$A$16:$A$141,"&lt;="&amp;MIN(U$7+4,$K77))=0,0,IF($H77="","EXT",SUMIFS(Calendar!$C$16:$C$141,Calendar!$A$16:$A$141,"&gt;="&amp;MAX(U$7,$J77),Calendar!$A$16:$A$141,"&lt;="&amp;MIN(U$7+4,$K77))*$H77/$G77)))</x:f>
        <x:v>0</x:v>
      </x:c>
      <x:c r="V77" s="45" t="n">
        <x:f>IF(OR($J77="",$K77=""),"",IF(SUMIFS(Calendar!$C$16:$C$141,Calendar!$A$16:$A$141,"&gt;="&amp;MAX(V$7,$J77),Calendar!$A$16:$A$141,"&lt;="&amp;MIN(V$7+4,$K77))=0,0,IF($H77="","EXT",SUMIFS(Calendar!$C$16:$C$141,Calendar!$A$16:$A$141,"&gt;="&amp;MAX(V$7,$J77),Calendar!$A$16:$A$141,"&lt;="&amp;MIN(V$7+4,$K77))*$H77/$G77)))</x:f>
        <x:v>0</x:v>
      </x:c>
      <x:c r="W77" s="45" t="n">
        <x:f>IF(OR($J77="",$K77=""),"",IF(SUMIFS(Calendar!$C$16:$C$141,Calendar!$A$16:$A$141,"&gt;="&amp;MAX(W$7,$J77),Calendar!$A$16:$A$141,"&lt;="&amp;MIN(W$7+4,$K77))=0,0,IF($H77="","EXT",SUMIFS(Calendar!$C$16:$C$141,Calendar!$A$16:$A$141,"&gt;="&amp;MAX(W$7,$J77),Calendar!$A$16:$A$141,"&lt;="&amp;MIN(W$7+4,$K77))*$H77/$G77)))</x:f>
        <x:v>0</x:v>
      </x:c>
      <x:c r="X77" s="45" t="n">
        <x:f>IF(OR($J77="",$K77=""),"",IF(SUMIFS(Calendar!$C$16:$C$141,Calendar!$A$16:$A$141,"&gt;="&amp;MAX(X$7,$J77),Calendar!$A$16:$A$141,"&lt;="&amp;MIN(X$7+4,$K77))=0,0,IF($H77="","EXT",SUMIFS(Calendar!$C$16:$C$141,Calendar!$A$16:$A$141,"&gt;="&amp;MAX(X$7,$J77),Calendar!$A$16:$A$141,"&lt;="&amp;MIN(X$7+4,$K77))*$H77/$G77)))</x:f>
        <x:v>0</x:v>
      </x:c>
      <x:c r="Y77" s="45" t="n">
        <x:f>IF(OR($J77="",$K77=""),"",IF(SUMIFS(Calendar!$C$16:$C$141,Calendar!$A$16:$A$141,"&gt;="&amp;MAX(Y$7,$J77),Calendar!$A$16:$A$141,"&lt;="&amp;MIN(Y$7+4,$K77))=0,0,IF($H77="","EXT",SUMIFS(Calendar!$C$16:$C$141,Calendar!$A$16:$A$141,"&gt;="&amp;MAX(Y$7,$J77),Calendar!$A$16:$A$141,"&lt;="&amp;MIN(Y$7+4,$K77))*$H77/$G77)))</x:f>
        <x:v>0</x:v>
      </x:c>
      <x:c r="Z77" s="45" t="n">
        <x:f>IF(OR($J77="",$K77=""),"",IF(SUMIFS(Calendar!$C$16:$C$141,Calendar!$A$16:$A$141,"&gt;="&amp;MAX(Z$7,$J77),Calendar!$A$16:$A$141,"&lt;="&amp;MIN(Z$7+4,$K77))=0,0,IF($H77="","EXT",SUMIFS(Calendar!$C$16:$C$141,Calendar!$A$16:$A$141,"&gt;="&amp;MAX(Z$7,$J77),Calendar!$A$16:$A$141,"&lt;="&amp;MIN(Z$7+4,$K77))*$H77/$G77)))</x:f>
        <x:v>0</x:v>
      </x:c>
      <x:c r="AA77" s="45" t="n">
        <x:f>IF(OR($J77="",$K77=""),"",IF(SUMIFS(Calendar!$C$16:$C$141,Calendar!$A$16:$A$141,"&gt;="&amp;MAX(AA$7,$J77),Calendar!$A$16:$A$141,"&lt;="&amp;MIN(AA$7+4,$K77))=0,0,IF($H77="","EXT",SUMIFS(Calendar!$C$16:$C$141,Calendar!$A$16:$A$141,"&gt;="&amp;MAX(AA$7,$J77),Calendar!$A$16:$A$141,"&lt;="&amp;MIN(AA$7+4,$K77))*$H77/$G77)))</x:f>
        <x:v>0</x:v>
      </x:c>
      <x:c r="AB77" s="45" t="n">
        <x:f>IF(OR($J77="",$K77=""),"",IF(SUMIFS(Calendar!$C$16:$C$141,Calendar!$A$16:$A$141,"&gt;="&amp;MAX(AB$7,$J77),Calendar!$A$16:$A$141,"&lt;="&amp;MIN(AB$7+4,$K77))=0,0,IF($H77="","EXT",SUMIFS(Calendar!$C$16:$C$141,Calendar!$A$16:$A$141,"&gt;="&amp;MAX(AB$7,$J77),Calendar!$A$16:$A$141,"&lt;="&amp;MIN(AB$7+4,$K77))*$H77/$G77)))</x:f>
        <x:v>0</x:v>
      </x:c>
      <x:c r="AC77" s="45" t="n">
        <x:f>IF(OR($J77="",$K77=""),"",IF(SUMIFS(Calendar!$C$16:$C$141,Calendar!$A$16:$A$141,"&gt;="&amp;MAX(AC$7,$J77),Calendar!$A$16:$A$141,"&lt;="&amp;MIN(AC$7+4,$K77))=0,0,IF($H77="","EXT",SUMIFS(Calendar!$C$16:$C$141,Calendar!$A$16:$A$141,"&gt;="&amp;MAX(AC$7,$J77),Calendar!$A$16:$A$141,"&lt;="&amp;MIN(AC$7+4,$K77))*$H77/$G77)))</x:f>
        <x:v>0</x:v>
      </x:c>
      <x:c r="AD77" s="45" t="n">
        <x:f>IF(OR($J77="",$K77=""),"",IF(SUMIFS(Calendar!$C$16:$C$141,Calendar!$A$16:$A$141,"&gt;="&amp;MAX(AD$7,$J77),Calendar!$A$16:$A$141,"&lt;="&amp;MIN(AD$7+4,$K77))=0,0,IF($H77="","EXT",SUMIFS(Calendar!$C$16:$C$141,Calendar!$A$16:$A$141,"&gt;="&amp;MAX(AD$7,$J77),Calendar!$A$16:$A$141,"&lt;="&amp;MIN(AD$7+4,$K77))*$H77/$G77)))</x:f>
        <x:v>0</x:v>
      </x:c>
      <x:c r="AE77" s="45" t="n">
        <x:f>IF(OR($J77="",$K77=""),"",IF(SUMIFS(Calendar!$C$16:$C$141,Calendar!$A$16:$A$141,"&gt;="&amp;MAX(AE$7,$J77),Calendar!$A$16:$A$141,"&lt;="&amp;MIN(AE$7+4,$K77))=0,0,IF($H77="","EXT",SUMIFS(Calendar!$C$16:$C$141,Calendar!$A$16:$A$141,"&gt;="&amp;MAX(AE$7,$J77),Calendar!$A$16:$A$141,"&lt;="&amp;MIN(AE$7+4,$K77))*$H77/$G77)))</x:f>
        <x:v>0</x:v>
      </x:c>
      <x:c r="AF77" s="8" t="n">
        <x:f>IF(OR(M77&lt;&gt;"Scheduled",INDEX('Team and Gates'!$C$7:$C$13,MATCH($D77,'Team and Gates'!$A$7:$A$13,0))=""),"CHECK",SUM(N77:AE77)*INDEX('Team and Gates'!$C$7:$C$13,MATCH($D77,'Team and Gates'!$A$7:$A$13,0)))</x:f>
        <x:v>647.9999999999999</x:v>
      </x:c>
      <x:c r="AG77" s="46" t="str">
        <x:v>Developer checks and positive/negative acceptance examples pass; review AI-generated code before handoff.</x:v>
      </x:c>
      <x:c r="AH77" s="46" t="str">
        <x:v>Three-week feature implementation window after FSD signoff; use Codex with developer review and continuous tests.</x:v>
      </x:c>
    </x:row>
    <x:row r="78" ht="45" customHeight="1">
      <x:c r="A78" s="2" t="str">
        <x:v>Q08</x:v>
      </x:c>
      <x:c r="B78" s="2" t="str">
        <x:v>Technical QA</x:v>
      </x:c>
      <x:c r="C78" s="46" t="str">
        <x:v>SIT START: full-system integration, replicas and crash tests</x:v>
      </x:c>
      <x:c r="D78" s="32" t="str">
        <x:v>Tester 1</x:v>
      </x:c>
      <x:c r="E78" s="46" t="str">
        <x:v>Q07, A07, B07, F07, S07, BA07, E03, A03, B03</x:v>
      </x:c>
      <x:c r="F78" s="50" t="n">
        <x:v>26</x:v>
      </x:c>
      <x:c r="G78" s="50" t="n">
        <x:v>5</x:v>
      </x:c>
      <x:c r="H78" s="51" t="n">
        <x:v>4</x:v>
      </x:c>
      <x:c r="I78" s="2" t="n">
        <x:f>IF(OR(F78="",G78=""),"",F78+G78-1)</x:f>
        <x:v>30</x:v>
      </x:c>
      <x:c r="J78" s="5" t="n">
        <x:f>IF(OR(F78="",F78&lt;1,F78&gt;Calendar!$B$9),"",INDEX(Calendar!$A$16:$A$141,MATCH(F78,Calendar!$D$16:$D$141,0)))</x:f>
        <x:v>46363</x:v>
      </x:c>
      <x:c r="K78" s="5" t="n">
        <x:f>IF(OR(I78="",I78&lt;1,I78&gt;Calendar!$B$9),"",INDEX(Calendar!$A$16:$A$141,MATCH(I78,Calendar!$D$16:$D$141,0)))</x:f>
        <x:v>46367</x:v>
      </x:c>
      <x:c r="L78" s="53" t="n">
        <x:v>0</x:v>
      </x:c>
      <x:c r="M78" s="2" t="str">
        <x:f>IF(OR(F78="",G78="",H78=""),"Missing input",IF(OR(F78&lt;1,G78&lt;1,I78&gt;Calendar!$B$9),"Outside calendar",IF(F78&lt;MAX(INDEX($I$8:$I$157,MATCH("Q07",$A$8:$A$157,0))+1,INDEX($I$8:$I$157,MATCH("A07",$A$8:$A$157,0))+1,INDEX($I$8:$I$157,MATCH("B07",$A$8:$A$157,0))+1,INDEX($I$8:$I$157,MATCH("F07",$A$8:$A$157,0))+1,INDEX($I$8:$I$157,MATCH("S07",$A$8:$A$157,0))+1,INDEX($I$8:$I$157,MATCH("BA07",$A$8:$A$157,0))+1,INDEX($I$8:$I$157,MATCH("E03",$A$8:$A$157,0))+1,INDEX($I$8:$I$157,MATCH("A03",$A$8:$A$157,0))+1,INDEX($I$8:$I$157,MATCH("B03",$A$8:$A$157,0))+1),"Dependency conflict","Scheduled")))</x:f>
        <x:v>Scheduled</x:v>
      </x:c>
      <x:c r="N78" s="45" t="n">
        <x:f>IF(OR($J78="",$K78=""),"",IF(SUMIFS(Calendar!$C$16:$C$141,Calendar!$A$16:$A$141,"&gt;="&amp;MAX(N$7,$J78),Calendar!$A$16:$A$141,"&lt;="&amp;MIN(N$7+4,$K78))=0,0,IF($H78="","EXT",SUMIFS(Calendar!$C$16:$C$141,Calendar!$A$16:$A$141,"&gt;="&amp;MAX(N$7,$J78),Calendar!$A$16:$A$141,"&lt;="&amp;MIN(N$7+4,$K78))*$H78/$G78)))</x:f>
        <x:v>0</x:v>
      </x:c>
      <x:c r="O78" s="45" t="n">
        <x:f>IF(OR($J78="",$K78=""),"",IF(SUMIFS(Calendar!$C$16:$C$141,Calendar!$A$16:$A$141,"&gt;="&amp;MAX(O$7,$J78),Calendar!$A$16:$A$141,"&lt;="&amp;MIN(O$7+4,$K78))=0,0,IF($H78="","EXT",SUMIFS(Calendar!$C$16:$C$141,Calendar!$A$16:$A$141,"&gt;="&amp;MAX(O$7,$J78),Calendar!$A$16:$A$141,"&lt;="&amp;MIN(O$7+4,$K78))*$H78/$G78)))</x:f>
        <x:v>0</x:v>
      </x:c>
      <x:c r="P78" s="45" t="n">
        <x:f>IF(OR($J78="",$K78=""),"",IF(SUMIFS(Calendar!$C$16:$C$141,Calendar!$A$16:$A$141,"&gt;="&amp;MAX(P$7,$J78),Calendar!$A$16:$A$141,"&lt;="&amp;MIN(P$7+4,$K78))=0,0,IF($H78="","EXT",SUMIFS(Calendar!$C$16:$C$141,Calendar!$A$16:$A$141,"&gt;="&amp;MAX(P$7,$J78),Calendar!$A$16:$A$141,"&lt;="&amp;MIN(P$7+4,$K78))*$H78/$G78)))</x:f>
        <x:v>0</x:v>
      </x:c>
      <x:c r="Q78" s="45" t="n">
        <x:f>IF(OR($J78="",$K78=""),"",IF(SUMIFS(Calendar!$C$16:$C$141,Calendar!$A$16:$A$141,"&gt;="&amp;MAX(Q$7,$J78),Calendar!$A$16:$A$141,"&lt;="&amp;MIN(Q$7+4,$K78))=0,0,IF($H78="","EXT",SUMIFS(Calendar!$C$16:$C$141,Calendar!$A$16:$A$141,"&gt;="&amp;MAX(Q$7,$J78),Calendar!$A$16:$A$141,"&lt;="&amp;MIN(Q$7+4,$K78))*$H78/$G78)))</x:f>
        <x:v>0</x:v>
      </x:c>
      <x:c r="R78" s="45" t="n">
        <x:f>IF(OR($J78="",$K78=""),"",IF(SUMIFS(Calendar!$C$16:$C$141,Calendar!$A$16:$A$141,"&gt;="&amp;MAX(R$7,$J78),Calendar!$A$16:$A$141,"&lt;="&amp;MIN(R$7+4,$K78))=0,0,IF($H78="","EXT",SUMIFS(Calendar!$C$16:$C$141,Calendar!$A$16:$A$141,"&gt;="&amp;MAX(R$7,$J78),Calendar!$A$16:$A$141,"&lt;="&amp;MIN(R$7+4,$K78))*$H78/$G78)))</x:f>
        <x:v>0</x:v>
      </x:c>
      <x:c r="S78" s="45" t="n">
        <x:f>IF(OR($J78="",$K78=""),"",IF(SUMIFS(Calendar!$C$16:$C$141,Calendar!$A$16:$A$141,"&gt;="&amp;MAX(S$7,$J78),Calendar!$A$16:$A$141,"&lt;="&amp;MIN(S$7+4,$K78))=0,0,IF($H78="","EXT",SUMIFS(Calendar!$C$16:$C$141,Calendar!$A$16:$A$141,"&gt;="&amp;MAX(S$7,$J78),Calendar!$A$16:$A$141,"&lt;="&amp;MIN(S$7+4,$K78))*$H78/$G78)))</x:f>
        <x:v>4</x:v>
      </x:c>
      <x:c r="T78" s="45" t="n">
        <x:f>IF(OR($J78="",$K78=""),"",IF(SUMIFS(Calendar!$C$16:$C$141,Calendar!$A$16:$A$141,"&gt;="&amp;MAX(T$7,$J78),Calendar!$A$16:$A$141,"&lt;="&amp;MIN(T$7+4,$K78))=0,0,IF($H78="","EXT",SUMIFS(Calendar!$C$16:$C$141,Calendar!$A$16:$A$141,"&gt;="&amp;MAX(T$7,$J78),Calendar!$A$16:$A$141,"&lt;="&amp;MIN(T$7+4,$K78))*$H78/$G78)))</x:f>
        <x:v>0</x:v>
      </x:c>
      <x:c r="U78" s="45" t="n">
        <x:f>IF(OR($J78="",$K78=""),"",IF(SUMIFS(Calendar!$C$16:$C$141,Calendar!$A$16:$A$141,"&gt;="&amp;MAX(U$7,$J78),Calendar!$A$16:$A$141,"&lt;="&amp;MIN(U$7+4,$K78))=0,0,IF($H78="","EXT",SUMIFS(Calendar!$C$16:$C$141,Calendar!$A$16:$A$141,"&gt;="&amp;MAX(U$7,$J78),Calendar!$A$16:$A$141,"&lt;="&amp;MIN(U$7+4,$K78))*$H78/$G78)))</x:f>
        <x:v>0</x:v>
      </x:c>
      <x:c r="V78" s="45" t="n">
        <x:f>IF(OR($J78="",$K78=""),"",IF(SUMIFS(Calendar!$C$16:$C$141,Calendar!$A$16:$A$141,"&gt;="&amp;MAX(V$7,$J78),Calendar!$A$16:$A$141,"&lt;="&amp;MIN(V$7+4,$K78))=0,0,IF($H78="","EXT",SUMIFS(Calendar!$C$16:$C$141,Calendar!$A$16:$A$141,"&gt;="&amp;MAX(V$7,$J78),Calendar!$A$16:$A$141,"&lt;="&amp;MIN(V$7+4,$K78))*$H78/$G78)))</x:f>
        <x:v>0</x:v>
      </x:c>
      <x:c r="W78" s="45" t="n">
        <x:f>IF(OR($J78="",$K78=""),"",IF(SUMIFS(Calendar!$C$16:$C$141,Calendar!$A$16:$A$141,"&gt;="&amp;MAX(W$7,$J78),Calendar!$A$16:$A$141,"&lt;="&amp;MIN(W$7+4,$K78))=0,0,IF($H78="","EXT",SUMIFS(Calendar!$C$16:$C$141,Calendar!$A$16:$A$141,"&gt;="&amp;MAX(W$7,$J78),Calendar!$A$16:$A$141,"&lt;="&amp;MIN(W$7+4,$K78))*$H78/$G78)))</x:f>
        <x:v>0</x:v>
      </x:c>
      <x:c r="X78" s="45" t="n">
        <x:f>IF(OR($J78="",$K78=""),"",IF(SUMIFS(Calendar!$C$16:$C$141,Calendar!$A$16:$A$141,"&gt;="&amp;MAX(X$7,$J78),Calendar!$A$16:$A$141,"&lt;="&amp;MIN(X$7+4,$K78))=0,0,IF($H78="","EXT",SUMIFS(Calendar!$C$16:$C$141,Calendar!$A$16:$A$141,"&gt;="&amp;MAX(X$7,$J78),Calendar!$A$16:$A$141,"&lt;="&amp;MIN(X$7+4,$K78))*$H78/$G78)))</x:f>
        <x:v>0</x:v>
      </x:c>
      <x:c r="Y78" s="45" t="n">
        <x:f>IF(OR($J78="",$K78=""),"",IF(SUMIFS(Calendar!$C$16:$C$141,Calendar!$A$16:$A$141,"&gt;="&amp;MAX(Y$7,$J78),Calendar!$A$16:$A$141,"&lt;="&amp;MIN(Y$7+4,$K78))=0,0,IF($H78="","EXT",SUMIFS(Calendar!$C$16:$C$141,Calendar!$A$16:$A$141,"&gt;="&amp;MAX(Y$7,$J78),Calendar!$A$16:$A$141,"&lt;="&amp;MIN(Y$7+4,$K78))*$H78/$G78)))</x:f>
        <x:v>0</x:v>
      </x:c>
      <x:c r="Z78" s="45" t="n">
        <x:f>IF(OR($J78="",$K78=""),"",IF(SUMIFS(Calendar!$C$16:$C$141,Calendar!$A$16:$A$141,"&gt;="&amp;MAX(Z$7,$J78),Calendar!$A$16:$A$141,"&lt;="&amp;MIN(Z$7+4,$K78))=0,0,IF($H78="","EXT",SUMIFS(Calendar!$C$16:$C$141,Calendar!$A$16:$A$141,"&gt;="&amp;MAX(Z$7,$J78),Calendar!$A$16:$A$141,"&lt;="&amp;MIN(Z$7+4,$K78))*$H78/$G78)))</x:f>
        <x:v>0</x:v>
      </x:c>
      <x:c r="AA78" s="45" t="n">
        <x:f>IF(OR($J78="",$K78=""),"",IF(SUMIFS(Calendar!$C$16:$C$141,Calendar!$A$16:$A$141,"&gt;="&amp;MAX(AA$7,$J78),Calendar!$A$16:$A$141,"&lt;="&amp;MIN(AA$7+4,$K78))=0,0,IF($H78="","EXT",SUMIFS(Calendar!$C$16:$C$141,Calendar!$A$16:$A$141,"&gt;="&amp;MAX(AA$7,$J78),Calendar!$A$16:$A$141,"&lt;="&amp;MIN(AA$7+4,$K78))*$H78/$G78)))</x:f>
        <x:v>0</x:v>
      </x:c>
      <x:c r="AB78" s="45" t="n">
        <x:f>IF(OR($J78="",$K78=""),"",IF(SUMIFS(Calendar!$C$16:$C$141,Calendar!$A$16:$A$141,"&gt;="&amp;MAX(AB$7,$J78),Calendar!$A$16:$A$141,"&lt;="&amp;MIN(AB$7+4,$K78))=0,0,IF($H78="","EXT",SUMIFS(Calendar!$C$16:$C$141,Calendar!$A$16:$A$141,"&gt;="&amp;MAX(AB$7,$J78),Calendar!$A$16:$A$141,"&lt;="&amp;MIN(AB$7+4,$K78))*$H78/$G78)))</x:f>
        <x:v>0</x:v>
      </x:c>
      <x:c r="AC78" s="45" t="n">
        <x:f>IF(OR($J78="",$K78=""),"",IF(SUMIFS(Calendar!$C$16:$C$141,Calendar!$A$16:$A$141,"&gt;="&amp;MAX(AC$7,$J78),Calendar!$A$16:$A$141,"&lt;="&amp;MIN(AC$7+4,$K78))=0,0,IF($H78="","EXT",SUMIFS(Calendar!$C$16:$C$141,Calendar!$A$16:$A$141,"&gt;="&amp;MAX(AC$7,$J78),Calendar!$A$16:$A$141,"&lt;="&amp;MIN(AC$7+4,$K78))*$H78/$G78)))</x:f>
        <x:v>0</x:v>
      </x:c>
      <x:c r="AD78" s="45" t="n">
        <x:f>IF(OR($J78="",$K78=""),"",IF(SUMIFS(Calendar!$C$16:$C$141,Calendar!$A$16:$A$141,"&gt;="&amp;MAX(AD$7,$J78),Calendar!$A$16:$A$141,"&lt;="&amp;MIN(AD$7+4,$K78))=0,0,IF($H78="","EXT",SUMIFS(Calendar!$C$16:$C$141,Calendar!$A$16:$A$141,"&gt;="&amp;MAX(AD$7,$J78),Calendar!$A$16:$A$141,"&lt;="&amp;MIN(AD$7+4,$K78))*$H78/$G78)))</x:f>
        <x:v>0</x:v>
      </x:c>
      <x:c r="AE78" s="45" t="n">
        <x:f>IF(OR($J78="",$K78=""),"",IF(SUMIFS(Calendar!$C$16:$C$141,Calendar!$A$16:$A$141,"&gt;="&amp;MAX(AE$7,$J78),Calendar!$A$16:$A$141,"&lt;="&amp;MIN(AE$7+4,$K78))=0,0,IF($H78="","EXT",SUMIFS(Calendar!$C$16:$C$141,Calendar!$A$16:$A$141,"&gt;="&amp;MAX(AE$7,$J78),Calendar!$A$16:$A$141,"&lt;="&amp;MIN(AE$7+4,$K78))*$H78/$G78)))</x:f>
        <x:v>0</x:v>
      </x:c>
      <x:c r="AF78" s="8" t="n">
        <x:f>IF(OR(M78&lt;&gt;"Scheduled",INDEX('Team and Gates'!$C$7:$C$13,MATCH($D78,'Team and Gates'!$A$7:$A$13,0))=""),"CHECK",SUM(N78:AE78)*INDEX('Team and Gates'!$C$7:$C$13,MATCH($D78,'Team and Gates'!$A$7:$A$13,0)))</x:f>
        <x:v>1440</x:v>
      </x:c>
      <x:c r="AG78" s="46" t="str">
        <x:v>Reproducible SIT evidence, defect disposition and affected-path retesting are recorded.</x:v>
      </x:c>
      <x:c r="AH78" s="46" t="str">
        <x:v>Protect extended SIT, tuning and post-holiday UAT time. If quality gates slip, reduce scope or replan; do not assume more AI coding fixes quality.</x:v>
      </x:c>
    </x:row>
    <x:row r="79" ht="45" customHeight="1">
      <x:c r="A79" s="39" t="str">
        <x:v>Q09</x:v>
      </x:c>
      <x:c r="B79" s="39" t="str">
        <x:v>Technical QA</x:v>
      </x:c>
      <x:c r="C79" s="47" t="str">
        <x:v>SIT: sender faults, concurrency, throttling and regression</x:v>
      </x:c>
      <x:c r="D79" s="32" t="str">
        <x:v>Tester 1</x:v>
      </x:c>
      <x:c r="E79" s="47" t="str">
        <x:v>Q08</x:v>
      </x:c>
      <x:c r="F79" s="50" t="n">
        <x:v>31</x:v>
      </x:c>
      <x:c r="G79" s="50" t="n">
        <x:v>5</x:v>
      </x:c>
      <x:c r="H79" s="51" t="n">
        <x:v>4</x:v>
      </x:c>
      <x:c r="I79" s="39" t="n">
        <x:f>IF(OR(F79="",G79=""),"",F79+G79-1)</x:f>
        <x:v>35</x:v>
      </x:c>
      <x:c r="J79" s="41" t="n">
        <x:f>IF(OR(F79="",F79&lt;1,F79&gt;Calendar!$B$9),"",INDEX(Calendar!$A$16:$A$141,MATCH(F79,Calendar!$D$16:$D$141,0)))</x:f>
        <x:v>46370</x:v>
      </x:c>
      <x:c r="K79" s="41" t="n">
        <x:f>IF(OR(I79="",I79&lt;1,I79&gt;Calendar!$B$9),"",INDEX(Calendar!$A$16:$A$141,MATCH(I79,Calendar!$D$16:$D$141,0)))</x:f>
        <x:v>46374</x:v>
      </x:c>
      <x:c r="L79" s="53" t="n">
        <x:v>0</x:v>
      </x:c>
      <x:c r="M79" s="39" t="str">
        <x:f>IF(OR(F79="",G79="",H79=""),"Missing input",IF(OR(F79&lt;1,G79&lt;1,I79&gt;Calendar!$B$9),"Outside calendar",IF(F79&lt;MAX(INDEX($I$8:$I$157,MATCH("Q08",$A$8:$A$157,0))+1),"Dependency conflict","Scheduled")))</x:f>
        <x:v>Scheduled</x:v>
      </x:c>
      <x:c r="N79" s="45" t="n">
        <x:f>IF(OR($J79="",$K79=""),"",IF(SUMIFS(Calendar!$C$16:$C$141,Calendar!$A$16:$A$141,"&gt;="&amp;MAX(N$7,$J79),Calendar!$A$16:$A$141,"&lt;="&amp;MIN(N$7+4,$K79))=0,0,IF($H79="","EXT",SUMIFS(Calendar!$C$16:$C$141,Calendar!$A$16:$A$141,"&gt;="&amp;MAX(N$7,$J79),Calendar!$A$16:$A$141,"&lt;="&amp;MIN(N$7+4,$K79))*$H79/$G79)))</x:f>
        <x:v>0</x:v>
      </x:c>
      <x:c r="O79" s="45" t="n">
        <x:f>IF(OR($J79="",$K79=""),"",IF(SUMIFS(Calendar!$C$16:$C$141,Calendar!$A$16:$A$141,"&gt;="&amp;MAX(O$7,$J79),Calendar!$A$16:$A$141,"&lt;="&amp;MIN(O$7+4,$K79))=0,0,IF($H79="","EXT",SUMIFS(Calendar!$C$16:$C$141,Calendar!$A$16:$A$141,"&gt;="&amp;MAX(O$7,$J79),Calendar!$A$16:$A$141,"&lt;="&amp;MIN(O$7+4,$K79))*$H79/$G79)))</x:f>
        <x:v>0</x:v>
      </x:c>
      <x:c r="P79" s="45" t="n">
        <x:f>IF(OR($J79="",$K79=""),"",IF(SUMIFS(Calendar!$C$16:$C$141,Calendar!$A$16:$A$141,"&gt;="&amp;MAX(P$7,$J79),Calendar!$A$16:$A$141,"&lt;="&amp;MIN(P$7+4,$K79))=0,0,IF($H79="","EXT",SUMIFS(Calendar!$C$16:$C$141,Calendar!$A$16:$A$141,"&gt;="&amp;MAX(P$7,$J79),Calendar!$A$16:$A$141,"&lt;="&amp;MIN(P$7+4,$K79))*$H79/$G79)))</x:f>
        <x:v>0</x:v>
      </x:c>
      <x:c r="Q79" s="45" t="n">
        <x:f>IF(OR($J79="",$K79=""),"",IF(SUMIFS(Calendar!$C$16:$C$141,Calendar!$A$16:$A$141,"&gt;="&amp;MAX(Q$7,$J79),Calendar!$A$16:$A$141,"&lt;="&amp;MIN(Q$7+4,$K79))=0,0,IF($H79="","EXT",SUMIFS(Calendar!$C$16:$C$141,Calendar!$A$16:$A$141,"&gt;="&amp;MAX(Q$7,$J79),Calendar!$A$16:$A$141,"&lt;="&amp;MIN(Q$7+4,$K79))*$H79/$G79)))</x:f>
        <x:v>0</x:v>
      </x:c>
      <x:c r="R79" s="45" t="n">
        <x:f>IF(OR($J79="",$K79=""),"",IF(SUMIFS(Calendar!$C$16:$C$141,Calendar!$A$16:$A$141,"&gt;="&amp;MAX(R$7,$J79),Calendar!$A$16:$A$141,"&lt;="&amp;MIN(R$7+4,$K79))=0,0,IF($H79="","EXT",SUMIFS(Calendar!$C$16:$C$141,Calendar!$A$16:$A$141,"&gt;="&amp;MAX(R$7,$J79),Calendar!$A$16:$A$141,"&lt;="&amp;MIN(R$7+4,$K79))*$H79/$G79)))</x:f>
        <x:v>0</x:v>
      </x:c>
      <x:c r="S79" s="45" t="n">
        <x:f>IF(OR($J79="",$K79=""),"",IF(SUMIFS(Calendar!$C$16:$C$141,Calendar!$A$16:$A$141,"&gt;="&amp;MAX(S$7,$J79),Calendar!$A$16:$A$141,"&lt;="&amp;MIN(S$7+4,$K79))=0,0,IF($H79="","EXT",SUMIFS(Calendar!$C$16:$C$141,Calendar!$A$16:$A$141,"&gt;="&amp;MAX(S$7,$J79),Calendar!$A$16:$A$141,"&lt;="&amp;MIN(S$7+4,$K79))*$H79/$G79)))</x:f>
        <x:v>0</x:v>
      </x:c>
      <x:c r="T79" s="45" t="n">
        <x:f>IF(OR($J79="",$K79=""),"",IF(SUMIFS(Calendar!$C$16:$C$141,Calendar!$A$16:$A$141,"&gt;="&amp;MAX(T$7,$J79),Calendar!$A$16:$A$141,"&lt;="&amp;MIN(T$7+4,$K79))=0,0,IF($H79="","EXT",SUMIFS(Calendar!$C$16:$C$141,Calendar!$A$16:$A$141,"&gt;="&amp;MAX(T$7,$J79),Calendar!$A$16:$A$141,"&lt;="&amp;MIN(T$7+4,$K79))*$H79/$G79)))</x:f>
        <x:v>4</x:v>
      </x:c>
      <x:c r="U79" s="45" t="n">
        <x:f>IF(OR($J79="",$K79=""),"",IF(SUMIFS(Calendar!$C$16:$C$141,Calendar!$A$16:$A$141,"&gt;="&amp;MAX(U$7,$J79),Calendar!$A$16:$A$141,"&lt;="&amp;MIN(U$7+4,$K79))=0,0,IF($H79="","EXT",SUMIFS(Calendar!$C$16:$C$141,Calendar!$A$16:$A$141,"&gt;="&amp;MAX(U$7,$J79),Calendar!$A$16:$A$141,"&lt;="&amp;MIN(U$7+4,$K79))*$H79/$G79)))</x:f>
        <x:v>0</x:v>
      </x:c>
      <x:c r="V79" s="45" t="n">
        <x:f>IF(OR($J79="",$K79=""),"",IF(SUMIFS(Calendar!$C$16:$C$141,Calendar!$A$16:$A$141,"&gt;="&amp;MAX(V$7,$J79),Calendar!$A$16:$A$141,"&lt;="&amp;MIN(V$7+4,$K79))=0,0,IF($H79="","EXT",SUMIFS(Calendar!$C$16:$C$141,Calendar!$A$16:$A$141,"&gt;="&amp;MAX(V$7,$J79),Calendar!$A$16:$A$141,"&lt;="&amp;MIN(V$7+4,$K79))*$H79/$G79)))</x:f>
        <x:v>0</x:v>
      </x:c>
      <x:c r="W79" s="45" t="n">
        <x:f>IF(OR($J79="",$K79=""),"",IF(SUMIFS(Calendar!$C$16:$C$141,Calendar!$A$16:$A$141,"&gt;="&amp;MAX(W$7,$J79),Calendar!$A$16:$A$141,"&lt;="&amp;MIN(W$7+4,$K79))=0,0,IF($H79="","EXT",SUMIFS(Calendar!$C$16:$C$141,Calendar!$A$16:$A$141,"&gt;="&amp;MAX(W$7,$J79),Calendar!$A$16:$A$141,"&lt;="&amp;MIN(W$7+4,$K79))*$H79/$G79)))</x:f>
        <x:v>0</x:v>
      </x:c>
      <x:c r="X79" s="45" t="n">
        <x:f>IF(OR($J79="",$K79=""),"",IF(SUMIFS(Calendar!$C$16:$C$141,Calendar!$A$16:$A$141,"&gt;="&amp;MAX(X$7,$J79),Calendar!$A$16:$A$141,"&lt;="&amp;MIN(X$7+4,$K79))=0,0,IF($H79="","EXT",SUMIFS(Calendar!$C$16:$C$141,Calendar!$A$16:$A$141,"&gt;="&amp;MAX(X$7,$J79),Calendar!$A$16:$A$141,"&lt;="&amp;MIN(X$7+4,$K79))*$H79/$G79)))</x:f>
        <x:v>0</x:v>
      </x:c>
      <x:c r="Y79" s="45" t="n">
        <x:f>IF(OR($J79="",$K79=""),"",IF(SUMIFS(Calendar!$C$16:$C$141,Calendar!$A$16:$A$141,"&gt;="&amp;MAX(Y$7,$J79),Calendar!$A$16:$A$141,"&lt;="&amp;MIN(Y$7+4,$K79))=0,0,IF($H79="","EXT",SUMIFS(Calendar!$C$16:$C$141,Calendar!$A$16:$A$141,"&gt;="&amp;MAX(Y$7,$J79),Calendar!$A$16:$A$141,"&lt;="&amp;MIN(Y$7+4,$K79))*$H79/$G79)))</x:f>
        <x:v>0</x:v>
      </x:c>
      <x:c r="Z79" s="45" t="n">
        <x:f>IF(OR($J79="",$K79=""),"",IF(SUMIFS(Calendar!$C$16:$C$141,Calendar!$A$16:$A$141,"&gt;="&amp;MAX(Z$7,$J79),Calendar!$A$16:$A$141,"&lt;="&amp;MIN(Z$7+4,$K79))=0,0,IF($H79="","EXT",SUMIFS(Calendar!$C$16:$C$141,Calendar!$A$16:$A$141,"&gt;="&amp;MAX(Z$7,$J79),Calendar!$A$16:$A$141,"&lt;="&amp;MIN(Z$7+4,$K79))*$H79/$G79)))</x:f>
        <x:v>0</x:v>
      </x:c>
      <x:c r="AA79" s="45" t="n">
        <x:f>IF(OR($J79="",$K79=""),"",IF(SUMIFS(Calendar!$C$16:$C$141,Calendar!$A$16:$A$141,"&gt;="&amp;MAX(AA$7,$J79),Calendar!$A$16:$A$141,"&lt;="&amp;MIN(AA$7+4,$K79))=0,0,IF($H79="","EXT",SUMIFS(Calendar!$C$16:$C$141,Calendar!$A$16:$A$141,"&gt;="&amp;MAX(AA$7,$J79),Calendar!$A$16:$A$141,"&lt;="&amp;MIN(AA$7+4,$K79))*$H79/$G79)))</x:f>
        <x:v>0</x:v>
      </x:c>
      <x:c r="AB79" s="45" t="n">
        <x:f>IF(OR($J79="",$K79=""),"",IF(SUMIFS(Calendar!$C$16:$C$141,Calendar!$A$16:$A$141,"&gt;="&amp;MAX(AB$7,$J79),Calendar!$A$16:$A$141,"&lt;="&amp;MIN(AB$7+4,$K79))=0,0,IF($H79="","EXT",SUMIFS(Calendar!$C$16:$C$141,Calendar!$A$16:$A$141,"&gt;="&amp;MAX(AB$7,$J79),Calendar!$A$16:$A$141,"&lt;="&amp;MIN(AB$7+4,$K79))*$H79/$G79)))</x:f>
        <x:v>0</x:v>
      </x:c>
      <x:c r="AC79" s="45" t="n">
        <x:f>IF(OR($J79="",$K79=""),"",IF(SUMIFS(Calendar!$C$16:$C$141,Calendar!$A$16:$A$141,"&gt;="&amp;MAX(AC$7,$J79),Calendar!$A$16:$A$141,"&lt;="&amp;MIN(AC$7+4,$K79))=0,0,IF($H79="","EXT",SUMIFS(Calendar!$C$16:$C$141,Calendar!$A$16:$A$141,"&gt;="&amp;MAX(AC$7,$J79),Calendar!$A$16:$A$141,"&lt;="&amp;MIN(AC$7+4,$K79))*$H79/$G79)))</x:f>
        <x:v>0</x:v>
      </x:c>
      <x:c r="AD79" s="45" t="n">
        <x:f>IF(OR($J79="",$K79=""),"",IF(SUMIFS(Calendar!$C$16:$C$141,Calendar!$A$16:$A$141,"&gt;="&amp;MAX(AD$7,$J79),Calendar!$A$16:$A$141,"&lt;="&amp;MIN(AD$7+4,$K79))=0,0,IF($H79="","EXT",SUMIFS(Calendar!$C$16:$C$141,Calendar!$A$16:$A$141,"&gt;="&amp;MAX(AD$7,$J79),Calendar!$A$16:$A$141,"&lt;="&amp;MIN(AD$7+4,$K79))*$H79/$G79)))</x:f>
        <x:v>0</x:v>
      </x:c>
      <x:c r="AE79" s="45" t="n">
        <x:f>IF(OR($J79="",$K79=""),"",IF(SUMIFS(Calendar!$C$16:$C$141,Calendar!$A$16:$A$141,"&gt;="&amp;MAX(AE$7,$J79),Calendar!$A$16:$A$141,"&lt;="&amp;MIN(AE$7+4,$K79))=0,0,IF($H79="","EXT",SUMIFS(Calendar!$C$16:$C$141,Calendar!$A$16:$A$141,"&gt;="&amp;MAX(AE$7,$J79),Calendar!$A$16:$A$141,"&lt;="&amp;MIN(AE$7+4,$K79))*$H79/$G79)))</x:f>
        <x:v>0</x:v>
      </x:c>
      <x:c r="AF79" s="8" t="n">
        <x:f>IF(OR(M79&lt;&gt;"Scheduled",INDEX('Team and Gates'!$C$7:$C$13,MATCH($D79,'Team and Gates'!$A$7:$A$13,0))=""),"CHECK",SUM(N79:AE79)*INDEX('Team and Gates'!$C$7:$C$13,MATCH($D79,'Team and Gates'!$A$7:$A$13,0)))</x:f>
        <x:v>1440</x:v>
      </x:c>
      <x:c r="AG79" s="46" t="str">
        <x:v>Reproducible SIT evidence, defect disposition and affected-path retesting are recorded.</x:v>
      </x:c>
      <x:c r="AH79" s="46" t="str">
        <x:v>Protect extended SIT, tuning and post-holiday UAT time. If quality gates slip, reduce scope or replan; do not assume more AI coding fixes quality.</x:v>
      </x:c>
    </x:row>
    <x:row r="80" ht="45" customHeight="1">
      <x:c r="A80" s="2" t="str">
        <x:v>Q10</x:v>
      </x:c>
      <x:c r="B80" s="2" t="str">
        <x:v>Technical QA</x:v>
      </x:c>
      <x:c r="C80" s="46" t="str">
        <x:v>SIT: security, performance, restore and rollback tests</x:v>
      </x:c>
      <x:c r="D80" s="32" t="str">
        <x:v>Tester 1</x:v>
      </x:c>
      <x:c r="E80" s="46" t="str">
        <x:v>Q09</x:v>
      </x:c>
      <x:c r="F80" s="50" t="n">
        <x:v>36</x:v>
      </x:c>
      <x:c r="G80" s="50" t="n">
        <x:v>5</x:v>
      </x:c>
      <x:c r="H80" s="51" t="n">
        <x:v>4</x:v>
      </x:c>
      <x:c r="I80" s="2" t="n">
        <x:f>IF(OR(F80="",G80=""),"",F80+G80-1)</x:f>
        <x:v>40</x:v>
      </x:c>
      <x:c r="J80" s="5" t="n">
        <x:f>IF(OR(F80="",F80&lt;1,F80&gt;Calendar!$B$9),"",INDEX(Calendar!$A$16:$A$141,MATCH(F80,Calendar!$D$16:$D$141,0)))</x:f>
        <x:v>46377</x:v>
      </x:c>
      <x:c r="K80" s="5" t="n">
        <x:f>IF(OR(I80="",I80&lt;1,I80&gt;Calendar!$B$9),"",INDEX(Calendar!$A$16:$A$141,MATCH(I80,Calendar!$D$16:$D$141,0)))</x:f>
        <x:v>46381</x:v>
      </x:c>
      <x:c r="L80" s="53" t="n">
        <x:v>0</x:v>
      </x:c>
      <x:c r="M80" s="2" t="str">
        <x:f>IF(OR(F80="",G80="",H80=""),"Missing input",IF(OR(F80&lt;1,G80&lt;1,I80&gt;Calendar!$B$9),"Outside calendar",IF(F80&lt;MAX(INDEX($I$8:$I$157,MATCH("Q09",$A$8:$A$157,0))+1),"Dependency conflict","Scheduled")))</x:f>
        <x:v>Scheduled</x:v>
      </x:c>
      <x:c r="N80" s="45" t="n">
        <x:f>IF(OR($J80="",$K80=""),"",IF(SUMIFS(Calendar!$C$16:$C$141,Calendar!$A$16:$A$141,"&gt;="&amp;MAX(N$7,$J80),Calendar!$A$16:$A$141,"&lt;="&amp;MIN(N$7+4,$K80))=0,0,IF($H80="","EXT",SUMIFS(Calendar!$C$16:$C$141,Calendar!$A$16:$A$141,"&gt;="&amp;MAX(N$7,$J80),Calendar!$A$16:$A$141,"&lt;="&amp;MIN(N$7+4,$K80))*$H80/$G80)))</x:f>
        <x:v>0</x:v>
      </x:c>
      <x:c r="O80" s="45" t="n">
        <x:f>IF(OR($J80="",$K80=""),"",IF(SUMIFS(Calendar!$C$16:$C$141,Calendar!$A$16:$A$141,"&gt;="&amp;MAX(O$7,$J80),Calendar!$A$16:$A$141,"&lt;="&amp;MIN(O$7+4,$K80))=0,0,IF($H80="","EXT",SUMIFS(Calendar!$C$16:$C$141,Calendar!$A$16:$A$141,"&gt;="&amp;MAX(O$7,$J80),Calendar!$A$16:$A$141,"&lt;="&amp;MIN(O$7+4,$K80))*$H80/$G80)))</x:f>
        <x:v>0</x:v>
      </x:c>
      <x:c r="P80" s="45" t="n">
        <x:f>IF(OR($J80="",$K80=""),"",IF(SUMIFS(Calendar!$C$16:$C$141,Calendar!$A$16:$A$141,"&gt;="&amp;MAX(P$7,$J80),Calendar!$A$16:$A$141,"&lt;="&amp;MIN(P$7+4,$K80))=0,0,IF($H80="","EXT",SUMIFS(Calendar!$C$16:$C$141,Calendar!$A$16:$A$141,"&gt;="&amp;MAX(P$7,$J80),Calendar!$A$16:$A$141,"&lt;="&amp;MIN(P$7+4,$K80))*$H80/$G80)))</x:f>
        <x:v>0</x:v>
      </x:c>
      <x:c r="Q80" s="45" t="n">
        <x:f>IF(OR($J80="",$K80=""),"",IF(SUMIFS(Calendar!$C$16:$C$141,Calendar!$A$16:$A$141,"&gt;="&amp;MAX(Q$7,$J80),Calendar!$A$16:$A$141,"&lt;="&amp;MIN(Q$7+4,$K80))=0,0,IF($H80="","EXT",SUMIFS(Calendar!$C$16:$C$141,Calendar!$A$16:$A$141,"&gt;="&amp;MAX(Q$7,$J80),Calendar!$A$16:$A$141,"&lt;="&amp;MIN(Q$7+4,$K80))*$H80/$G80)))</x:f>
        <x:v>0</x:v>
      </x:c>
      <x:c r="R80" s="45" t="n">
        <x:f>IF(OR($J80="",$K80=""),"",IF(SUMIFS(Calendar!$C$16:$C$141,Calendar!$A$16:$A$141,"&gt;="&amp;MAX(R$7,$J80),Calendar!$A$16:$A$141,"&lt;="&amp;MIN(R$7+4,$K80))=0,0,IF($H80="","EXT",SUMIFS(Calendar!$C$16:$C$141,Calendar!$A$16:$A$141,"&gt;="&amp;MAX(R$7,$J80),Calendar!$A$16:$A$141,"&lt;="&amp;MIN(R$7+4,$K80))*$H80/$G80)))</x:f>
        <x:v>0</x:v>
      </x:c>
      <x:c r="S80" s="45" t="n">
        <x:f>IF(OR($J80="",$K80=""),"",IF(SUMIFS(Calendar!$C$16:$C$141,Calendar!$A$16:$A$141,"&gt;="&amp;MAX(S$7,$J80),Calendar!$A$16:$A$141,"&lt;="&amp;MIN(S$7+4,$K80))=0,0,IF($H80="","EXT",SUMIFS(Calendar!$C$16:$C$141,Calendar!$A$16:$A$141,"&gt;="&amp;MAX(S$7,$J80),Calendar!$A$16:$A$141,"&lt;="&amp;MIN(S$7+4,$K80))*$H80/$G80)))</x:f>
        <x:v>0</x:v>
      </x:c>
      <x:c r="T80" s="45" t="n">
        <x:f>IF(OR($J80="",$K80=""),"",IF(SUMIFS(Calendar!$C$16:$C$141,Calendar!$A$16:$A$141,"&gt;="&amp;MAX(T$7,$J80),Calendar!$A$16:$A$141,"&lt;="&amp;MIN(T$7+4,$K80))=0,0,IF($H80="","EXT",SUMIFS(Calendar!$C$16:$C$141,Calendar!$A$16:$A$141,"&gt;="&amp;MAX(T$7,$J80),Calendar!$A$16:$A$141,"&lt;="&amp;MIN(T$7+4,$K80))*$H80/$G80)))</x:f>
        <x:v>0</x:v>
      </x:c>
      <x:c r="U80" s="45" t="n">
        <x:f>IF(OR($J80="",$K80=""),"",IF(SUMIFS(Calendar!$C$16:$C$141,Calendar!$A$16:$A$141,"&gt;="&amp;MAX(U$7,$J80),Calendar!$A$16:$A$141,"&lt;="&amp;MIN(U$7+4,$K80))=0,0,IF($H80="","EXT",SUMIFS(Calendar!$C$16:$C$141,Calendar!$A$16:$A$141,"&gt;="&amp;MAX(U$7,$J80),Calendar!$A$16:$A$141,"&lt;="&amp;MIN(U$7+4,$K80))*$H80/$G80)))</x:f>
        <x:v>4</x:v>
      </x:c>
      <x:c r="V80" s="45" t="n">
        <x:f>IF(OR($J80="",$K80=""),"",IF(SUMIFS(Calendar!$C$16:$C$141,Calendar!$A$16:$A$141,"&gt;="&amp;MAX(V$7,$J80),Calendar!$A$16:$A$141,"&lt;="&amp;MIN(V$7+4,$K80))=0,0,IF($H80="","EXT",SUMIFS(Calendar!$C$16:$C$141,Calendar!$A$16:$A$141,"&gt;="&amp;MAX(V$7,$J80),Calendar!$A$16:$A$141,"&lt;="&amp;MIN(V$7+4,$K80))*$H80/$G80)))</x:f>
        <x:v>0</x:v>
      </x:c>
      <x:c r="W80" s="45" t="n">
        <x:f>IF(OR($J80="",$K80=""),"",IF(SUMIFS(Calendar!$C$16:$C$141,Calendar!$A$16:$A$141,"&gt;="&amp;MAX(W$7,$J80),Calendar!$A$16:$A$141,"&lt;="&amp;MIN(W$7+4,$K80))=0,0,IF($H80="","EXT",SUMIFS(Calendar!$C$16:$C$141,Calendar!$A$16:$A$141,"&gt;="&amp;MAX(W$7,$J80),Calendar!$A$16:$A$141,"&lt;="&amp;MIN(W$7+4,$K80))*$H80/$G80)))</x:f>
        <x:v>0</x:v>
      </x:c>
      <x:c r="X80" s="45" t="n">
        <x:f>IF(OR($J80="",$K80=""),"",IF(SUMIFS(Calendar!$C$16:$C$141,Calendar!$A$16:$A$141,"&gt;="&amp;MAX(X$7,$J80),Calendar!$A$16:$A$141,"&lt;="&amp;MIN(X$7+4,$K80))=0,0,IF($H80="","EXT",SUMIFS(Calendar!$C$16:$C$141,Calendar!$A$16:$A$141,"&gt;="&amp;MAX(X$7,$J80),Calendar!$A$16:$A$141,"&lt;="&amp;MIN(X$7+4,$K80))*$H80/$G80)))</x:f>
        <x:v>0</x:v>
      </x:c>
      <x:c r="Y80" s="45" t="n">
        <x:f>IF(OR($J80="",$K80=""),"",IF(SUMIFS(Calendar!$C$16:$C$141,Calendar!$A$16:$A$141,"&gt;="&amp;MAX(Y$7,$J80),Calendar!$A$16:$A$141,"&lt;="&amp;MIN(Y$7+4,$K80))=0,0,IF($H80="","EXT",SUMIFS(Calendar!$C$16:$C$141,Calendar!$A$16:$A$141,"&gt;="&amp;MAX(Y$7,$J80),Calendar!$A$16:$A$141,"&lt;="&amp;MIN(Y$7+4,$K80))*$H80/$G80)))</x:f>
        <x:v>0</x:v>
      </x:c>
      <x:c r="Z80" s="45" t="n">
        <x:f>IF(OR($J80="",$K80=""),"",IF(SUMIFS(Calendar!$C$16:$C$141,Calendar!$A$16:$A$141,"&gt;="&amp;MAX(Z$7,$J80),Calendar!$A$16:$A$141,"&lt;="&amp;MIN(Z$7+4,$K80))=0,0,IF($H80="","EXT",SUMIFS(Calendar!$C$16:$C$141,Calendar!$A$16:$A$141,"&gt;="&amp;MAX(Z$7,$J80),Calendar!$A$16:$A$141,"&lt;="&amp;MIN(Z$7+4,$K80))*$H80/$G80)))</x:f>
        <x:v>0</x:v>
      </x:c>
      <x:c r="AA80" s="45" t="n">
        <x:f>IF(OR($J80="",$K80=""),"",IF(SUMIFS(Calendar!$C$16:$C$141,Calendar!$A$16:$A$141,"&gt;="&amp;MAX(AA$7,$J80),Calendar!$A$16:$A$141,"&lt;="&amp;MIN(AA$7+4,$K80))=0,0,IF($H80="","EXT",SUMIFS(Calendar!$C$16:$C$141,Calendar!$A$16:$A$141,"&gt;="&amp;MAX(AA$7,$J80),Calendar!$A$16:$A$141,"&lt;="&amp;MIN(AA$7+4,$K80))*$H80/$G80)))</x:f>
        <x:v>0</x:v>
      </x:c>
      <x:c r="AB80" s="45" t="n">
        <x:f>IF(OR($J80="",$K80=""),"",IF(SUMIFS(Calendar!$C$16:$C$141,Calendar!$A$16:$A$141,"&gt;="&amp;MAX(AB$7,$J80),Calendar!$A$16:$A$141,"&lt;="&amp;MIN(AB$7+4,$K80))=0,0,IF($H80="","EXT",SUMIFS(Calendar!$C$16:$C$141,Calendar!$A$16:$A$141,"&gt;="&amp;MAX(AB$7,$J80),Calendar!$A$16:$A$141,"&lt;="&amp;MIN(AB$7+4,$K80))*$H80/$G80)))</x:f>
        <x:v>0</x:v>
      </x:c>
      <x:c r="AC80" s="45" t="n">
        <x:f>IF(OR($J80="",$K80=""),"",IF(SUMIFS(Calendar!$C$16:$C$141,Calendar!$A$16:$A$141,"&gt;="&amp;MAX(AC$7,$J80),Calendar!$A$16:$A$141,"&lt;="&amp;MIN(AC$7+4,$K80))=0,0,IF($H80="","EXT",SUMIFS(Calendar!$C$16:$C$141,Calendar!$A$16:$A$141,"&gt;="&amp;MAX(AC$7,$J80),Calendar!$A$16:$A$141,"&lt;="&amp;MIN(AC$7+4,$K80))*$H80/$G80)))</x:f>
        <x:v>0</x:v>
      </x:c>
      <x:c r="AD80" s="45" t="n">
        <x:f>IF(OR($J80="",$K80=""),"",IF(SUMIFS(Calendar!$C$16:$C$141,Calendar!$A$16:$A$141,"&gt;="&amp;MAX(AD$7,$J80),Calendar!$A$16:$A$141,"&lt;="&amp;MIN(AD$7+4,$K80))=0,0,IF($H80="","EXT",SUMIFS(Calendar!$C$16:$C$141,Calendar!$A$16:$A$141,"&gt;="&amp;MAX(AD$7,$J80),Calendar!$A$16:$A$141,"&lt;="&amp;MIN(AD$7+4,$K80))*$H80/$G80)))</x:f>
        <x:v>0</x:v>
      </x:c>
      <x:c r="AE80" s="45" t="n">
        <x:f>IF(OR($J80="",$K80=""),"",IF(SUMIFS(Calendar!$C$16:$C$141,Calendar!$A$16:$A$141,"&gt;="&amp;MAX(AE$7,$J80),Calendar!$A$16:$A$141,"&lt;="&amp;MIN(AE$7+4,$K80))=0,0,IF($H80="","EXT",SUMIFS(Calendar!$C$16:$C$141,Calendar!$A$16:$A$141,"&gt;="&amp;MAX(AE$7,$J80),Calendar!$A$16:$A$141,"&lt;="&amp;MIN(AE$7+4,$K80))*$H80/$G80)))</x:f>
        <x:v>0</x:v>
      </x:c>
      <x:c r="AF80" s="8" t="n">
        <x:f>IF(OR(M80&lt;&gt;"Scheduled",INDEX('Team and Gates'!$C$7:$C$13,MATCH($D80,'Team and Gates'!$A$7:$A$13,0))=""),"CHECK",SUM(N80:AE80)*INDEX('Team and Gates'!$C$7:$C$13,MATCH($D80,'Team and Gates'!$A$7:$A$13,0)))</x:f>
        <x:v>1440</x:v>
      </x:c>
      <x:c r="AG80" s="46" t="str">
        <x:v>Reproducible SIT evidence, defect disposition and affected-path retesting are recorded.</x:v>
      </x:c>
      <x:c r="AH80" s="46" t="str">
        <x:v>Protect extended SIT, tuning and post-holiday UAT time. If quality gates slip, reduce scope or replan; do not assume more AI coding fixes quality.</x:v>
      </x:c>
    </x:row>
    <x:row r="81" ht="45" customHeight="1">
      <x:c r="A81" s="39" t="str">
        <x:v>Q11</x:v>
      </x:c>
      <x:c r="B81" s="39" t="str">
        <x:v>Technical QA</x:v>
      </x:c>
      <x:c r="C81" s="47" t="str">
        <x:v>SIT interim technical regression and evidence review</x:v>
      </x:c>
      <x:c r="D81" s="32" t="str">
        <x:v>Tester 1</x:v>
      </x:c>
      <x:c r="E81" s="47" t="str">
        <x:v>Q10</x:v>
      </x:c>
      <x:c r="F81" s="50" t="n">
        <x:v>41</x:v>
      </x:c>
      <x:c r="G81" s="50" t="n">
        <x:v>5</x:v>
      </x:c>
      <x:c r="H81" s="51" t="n">
        <x:v>4</x:v>
      </x:c>
      <x:c r="I81" s="39" t="n">
        <x:f>IF(OR(F81="",G81=""),"",F81+G81-1)</x:f>
        <x:v>45</x:v>
      </x:c>
      <x:c r="J81" s="41" t="n">
        <x:f>IF(OR(F81="",F81&lt;1,F81&gt;Calendar!$B$9),"",INDEX(Calendar!$A$16:$A$141,MATCH(F81,Calendar!$D$16:$D$141,0)))</x:f>
        <x:v>46384</x:v>
      </x:c>
      <x:c r="K81" s="41" t="n">
        <x:f>IF(OR(I81="",I81&lt;1,I81&gt;Calendar!$B$9),"",INDEX(Calendar!$A$16:$A$141,MATCH(I81,Calendar!$D$16:$D$141,0)))</x:f>
        <x:v>46388</x:v>
      </x:c>
      <x:c r="L81" s="53" t="n">
        <x:v>0</x:v>
      </x:c>
      <x:c r="M81" s="39" t="str">
        <x:f>IF(OR(F81="",G81="",H81=""),"Missing input",IF(OR(F81&lt;1,G81&lt;1,I81&gt;Calendar!$B$9),"Outside calendar",IF(F81&lt;MAX(INDEX($I$8:$I$157,MATCH("Q10",$A$8:$A$157,0))+1),"Dependency conflict","Scheduled")))</x:f>
        <x:v>Scheduled</x:v>
      </x:c>
      <x:c r="N81" s="45" t="n">
        <x:f>IF(OR($J81="",$K81=""),"",IF(SUMIFS(Calendar!$C$16:$C$141,Calendar!$A$16:$A$141,"&gt;="&amp;MAX(N$7,$J81),Calendar!$A$16:$A$141,"&lt;="&amp;MIN(N$7+4,$K81))=0,0,IF($H81="","EXT",SUMIFS(Calendar!$C$16:$C$141,Calendar!$A$16:$A$141,"&gt;="&amp;MAX(N$7,$J81),Calendar!$A$16:$A$141,"&lt;="&amp;MIN(N$7+4,$K81))*$H81/$G81)))</x:f>
        <x:v>0</x:v>
      </x:c>
      <x:c r="O81" s="45" t="n">
        <x:f>IF(OR($J81="",$K81=""),"",IF(SUMIFS(Calendar!$C$16:$C$141,Calendar!$A$16:$A$141,"&gt;="&amp;MAX(O$7,$J81),Calendar!$A$16:$A$141,"&lt;="&amp;MIN(O$7+4,$K81))=0,0,IF($H81="","EXT",SUMIFS(Calendar!$C$16:$C$141,Calendar!$A$16:$A$141,"&gt;="&amp;MAX(O$7,$J81),Calendar!$A$16:$A$141,"&lt;="&amp;MIN(O$7+4,$K81))*$H81/$G81)))</x:f>
        <x:v>0</x:v>
      </x:c>
      <x:c r="P81" s="45" t="n">
        <x:f>IF(OR($J81="",$K81=""),"",IF(SUMIFS(Calendar!$C$16:$C$141,Calendar!$A$16:$A$141,"&gt;="&amp;MAX(P$7,$J81),Calendar!$A$16:$A$141,"&lt;="&amp;MIN(P$7+4,$K81))=0,0,IF($H81="","EXT",SUMIFS(Calendar!$C$16:$C$141,Calendar!$A$16:$A$141,"&gt;="&amp;MAX(P$7,$J81),Calendar!$A$16:$A$141,"&lt;="&amp;MIN(P$7+4,$K81))*$H81/$G81)))</x:f>
        <x:v>0</x:v>
      </x:c>
      <x:c r="Q81" s="45" t="n">
        <x:f>IF(OR($J81="",$K81=""),"",IF(SUMIFS(Calendar!$C$16:$C$141,Calendar!$A$16:$A$141,"&gt;="&amp;MAX(Q$7,$J81),Calendar!$A$16:$A$141,"&lt;="&amp;MIN(Q$7+4,$K81))=0,0,IF($H81="","EXT",SUMIFS(Calendar!$C$16:$C$141,Calendar!$A$16:$A$141,"&gt;="&amp;MAX(Q$7,$J81),Calendar!$A$16:$A$141,"&lt;="&amp;MIN(Q$7+4,$K81))*$H81/$G81)))</x:f>
        <x:v>0</x:v>
      </x:c>
      <x:c r="R81" s="45" t="n">
        <x:f>IF(OR($J81="",$K81=""),"",IF(SUMIFS(Calendar!$C$16:$C$141,Calendar!$A$16:$A$141,"&gt;="&amp;MAX(R$7,$J81),Calendar!$A$16:$A$141,"&lt;="&amp;MIN(R$7+4,$K81))=0,0,IF($H81="","EXT",SUMIFS(Calendar!$C$16:$C$141,Calendar!$A$16:$A$141,"&gt;="&amp;MAX(R$7,$J81),Calendar!$A$16:$A$141,"&lt;="&amp;MIN(R$7+4,$K81))*$H81/$G81)))</x:f>
        <x:v>0</x:v>
      </x:c>
      <x:c r="S81" s="45" t="n">
        <x:f>IF(OR($J81="",$K81=""),"",IF(SUMIFS(Calendar!$C$16:$C$141,Calendar!$A$16:$A$141,"&gt;="&amp;MAX(S$7,$J81),Calendar!$A$16:$A$141,"&lt;="&amp;MIN(S$7+4,$K81))=0,0,IF($H81="","EXT",SUMIFS(Calendar!$C$16:$C$141,Calendar!$A$16:$A$141,"&gt;="&amp;MAX(S$7,$J81),Calendar!$A$16:$A$141,"&lt;="&amp;MIN(S$7+4,$K81))*$H81/$G81)))</x:f>
        <x:v>0</x:v>
      </x:c>
      <x:c r="T81" s="45" t="n">
        <x:f>IF(OR($J81="",$K81=""),"",IF(SUMIFS(Calendar!$C$16:$C$141,Calendar!$A$16:$A$141,"&gt;="&amp;MAX(T$7,$J81),Calendar!$A$16:$A$141,"&lt;="&amp;MIN(T$7+4,$K81))=0,0,IF($H81="","EXT",SUMIFS(Calendar!$C$16:$C$141,Calendar!$A$16:$A$141,"&gt;="&amp;MAX(T$7,$J81),Calendar!$A$16:$A$141,"&lt;="&amp;MIN(T$7+4,$K81))*$H81/$G81)))</x:f>
        <x:v>0</x:v>
      </x:c>
      <x:c r="U81" s="45" t="n">
        <x:f>IF(OR($J81="",$K81=""),"",IF(SUMIFS(Calendar!$C$16:$C$141,Calendar!$A$16:$A$141,"&gt;="&amp;MAX(U$7,$J81),Calendar!$A$16:$A$141,"&lt;="&amp;MIN(U$7+4,$K81))=0,0,IF($H81="","EXT",SUMIFS(Calendar!$C$16:$C$141,Calendar!$A$16:$A$141,"&gt;="&amp;MAX(U$7,$J81),Calendar!$A$16:$A$141,"&lt;="&amp;MIN(U$7+4,$K81))*$H81/$G81)))</x:f>
        <x:v>0</x:v>
      </x:c>
      <x:c r="V81" s="45" t="n">
        <x:f>IF(OR($J81="",$K81=""),"",IF(SUMIFS(Calendar!$C$16:$C$141,Calendar!$A$16:$A$141,"&gt;="&amp;MAX(V$7,$J81),Calendar!$A$16:$A$141,"&lt;="&amp;MIN(V$7+4,$K81))=0,0,IF($H81="","EXT",SUMIFS(Calendar!$C$16:$C$141,Calendar!$A$16:$A$141,"&gt;="&amp;MAX(V$7,$J81),Calendar!$A$16:$A$141,"&lt;="&amp;MIN(V$7+4,$K81))*$H81/$G81)))</x:f>
        <x:v>4</x:v>
      </x:c>
      <x:c r="W81" s="45" t="n">
        <x:f>IF(OR($J81="",$K81=""),"",IF(SUMIFS(Calendar!$C$16:$C$141,Calendar!$A$16:$A$141,"&gt;="&amp;MAX(W$7,$J81),Calendar!$A$16:$A$141,"&lt;="&amp;MIN(W$7+4,$K81))=0,0,IF($H81="","EXT",SUMIFS(Calendar!$C$16:$C$141,Calendar!$A$16:$A$141,"&gt;="&amp;MAX(W$7,$J81),Calendar!$A$16:$A$141,"&lt;="&amp;MIN(W$7+4,$K81))*$H81/$G81)))</x:f>
        <x:v>0</x:v>
      </x:c>
      <x:c r="X81" s="45" t="n">
        <x:f>IF(OR($J81="",$K81=""),"",IF(SUMIFS(Calendar!$C$16:$C$141,Calendar!$A$16:$A$141,"&gt;="&amp;MAX(X$7,$J81),Calendar!$A$16:$A$141,"&lt;="&amp;MIN(X$7+4,$K81))=0,0,IF($H81="","EXT",SUMIFS(Calendar!$C$16:$C$141,Calendar!$A$16:$A$141,"&gt;="&amp;MAX(X$7,$J81),Calendar!$A$16:$A$141,"&lt;="&amp;MIN(X$7+4,$K81))*$H81/$G81)))</x:f>
        <x:v>0</x:v>
      </x:c>
      <x:c r="Y81" s="45" t="n">
        <x:f>IF(OR($J81="",$K81=""),"",IF(SUMIFS(Calendar!$C$16:$C$141,Calendar!$A$16:$A$141,"&gt;="&amp;MAX(Y$7,$J81),Calendar!$A$16:$A$141,"&lt;="&amp;MIN(Y$7+4,$K81))=0,0,IF($H81="","EXT",SUMIFS(Calendar!$C$16:$C$141,Calendar!$A$16:$A$141,"&gt;="&amp;MAX(Y$7,$J81),Calendar!$A$16:$A$141,"&lt;="&amp;MIN(Y$7+4,$K81))*$H81/$G81)))</x:f>
        <x:v>0</x:v>
      </x:c>
      <x:c r="Z81" s="45" t="n">
        <x:f>IF(OR($J81="",$K81=""),"",IF(SUMIFS(Calendar!$C$16:$C$141,Calendar!$A$16:$A$141,"&gt;="&amp;MAX(Z$7,$J81),Calendar!$A$16:$A$141,"&lt;="&amp;MIN(Z$7+4,$K81))=0,0,IF($H81="","EXT",SUMIFS(Calendar!$C$16:$C$141,Calendar!$A$16:$A$141,"&gt;="&amp;MAX(Z$7,$J81),Calendar!$A$16:$A$141,"&lt;="&amp;MIN(Z$7+4,$K81))*$H81/$G81)))</x:f>
        <x:v>0</x:v>
      </x:c>
      <x:c r="AA81" s="45" t="n">
        <x:f>IF(OR($J81="",$K81=""),"",IF(SUMIFS(Calendar!$C$16:$C$141,Calendar!$A$16:$A$141,"&gt;="&amp;MAX(AA$7,$J81),Calendar!$A$16:$A$141,"&lt;="&amp;MIN(AA$7+4,$K81))=0,0,IF($H81="","EXT",SUMIFS(Calendar!$C$16:$C$141,Calendar!$A$16:$A$141,"&gt;="&amp;MAX(AA$7,$J81),Calendar!$A$16:$A$141,"&lt;="&amp;MIN(AA$7+4,$K81))*$H81/$G81)))</x:f>
        <x:v>0</x:v>
      </x:c>
      <x:c r="AB81" s="45" t="n">
        <x:f>IF(OR($J81="",$K81=""),"",IF(SUMIFS(Calendar!$C$16:$C$141,Calendar!$A$16:$A$141,"&gt;="&amp;MAX(AB$7,$J81),Calendar!$A$16:$A$141,"&lt;="&amp;MIN(AB$7+4,$K81))=0,0,IF($H81="","EXT",SUMIFS(Calendar!$C$16:$C$141,Calendar!$A$16:$A$141,"&gt;="&amp;MAX(AB$7,$J81),Calendar!$A$16:$A$141,"&lt;="&amp;MIN(AB$7+4,$K81))*$H81/$G81)))</x:f>
        <x:v>0</x:v>
      </x:c>
      <x:c r="AC81" s="45" t="n">
        <x:f>IF(OR($J81="",$K81=""),"",IF(SUMIFS(Calendar!$C$16:$C$141,Calendar!$A$16:$A$141,"&gt;="&amp;MAX(AC$7,$J81),Calendar!$A$16:$A$141,"&lt;="&amp;MIN(AC$7+4,$K81))=0,0,IF($H81="","EXT",SUMIFS(Calendar!$C$16:$C$141,Calendar!$A$16:$A$141,"&gt;="&amp;MAX(AC$7,$J81),Calendar!$A$16:$A$141,"&lt;="&amp;MIN(AC$7+4,$K81))*$H81/$G81)))</x:f>
        <x:v>0</x:v>
      </x:c>
      <x:c r="AD81" s="45" t="n">
        <x:f>IF(OR($J81="",$K81=""),"",IF(SUMIFS(Calendar!$C$16:$C$141,Calendar!$A$16:$A$141,"&gt;="&amp;MAX(AD$7,$J81),Calendar!$A$16:$A$141,"&lt;="&amp;MIN(AD$7+4,$K81))=0,0,IF($H81="","EXT",SUMIFS(Calendar!$C$16:$C$141,Calendar!$A$16:$A$141,"&gt;="&amp;MAX(AD$7,$J81),Calendar!$A$16:$A$141,"&lt;="&amp;MIN(AD$7+4,$K81))*$H81/$G81)))</x:f>
        <x:v>0</x:v>
      </x:c>
      <x:c r="AE81" s="45" t="n">
        <x:f>IF(OR($J81="",$K81=""),"",IF(SUMIFS(Calendar!$C$16:$C$141,Calendar!$A$16:$A$141,"&gt;="&amp;MAX(AE$7,$J81),Calendar!$A$16:$A$141,"&lt;="&amp;MIN(AE$7+4,$K81))=0,0,IF($H81="","EXT",SUMIFS(Calendar!$C$16:$C$141,Calendar!$A$16:$A$141,"&gt;="&amp;MAX(AE$7,$J81),Calendar!$A$16:$A$141,"&lt;="&amp;MIN(AE$7+4,$K81))*$H81/$G81)))</x:f>
        <x:v>0</x:v>
      </x:c>
      <x:c r="AF81" s="8" t="n">
        <x:f>IF(OR(M81&lt;&gt;"Scheduled",INDEX('Team and Gates'!$C$7:$C$13,MATCH($D81,'Team and Gates'!$A$7:$A$13,0))=""),"CHECK",SUM(N81:AE81)*INDEX('Team and Gates'!$C$7:$C$13,MATCH($D81,'Team and Gates'!$A$7:$A$13,0)))</x:f>
        <x:v>1440</x:v>
      </x:c>
      <x:c r="AG81" s="46" t="str">
        <x:v>Reproducible SIT evidence, defect disposition and affected-path retesting are recorded.</x:v>
      </x:c>
      <x:c r="AH81" s="46" t="str">
        <x:v>Protect extended SIT, tuning and post-holiday UAT time. If quality gates slip, reduce scope or replan; do not assume more AI coding fixes quality.</x:v>
      </x:c>
    </x:row>
    <x:row r="82" ht="45" customHeight="1">
      <x:c r="A82" s="2" t="str">
        <x:v>Q-FB10</x:v>
      </x:c>
      <x:c r="B82" s="2" t="str">
        <x:v>Technical QA</x:v>
      </x:c>
      <x:c r="C82" s="46" t="str">
        <x:v>Security, performance, restore and rollback regression</x:v>
      </x:c>
      <x:c r="D82" s="32" t="str">
        <x:v>Tester 1</x:v>
      </x:c>
      <x:c r="E82" s="46" t="str">
        <x:v>Q11</x:v>
      </x:c>
      <x:c r="F82" s="50" t="n">
        <x:v>46</x:v>
      </x:c>
      <x:c r="G82" s="50" t="n">
        <x:v>5</x:v>
      </x:c>
      <x:c r="H82" s="51" t="n">
        <x:v>4</x:v>
      </x:c>
      <x:c r="I82" s="2" t="n">
        <x:f>IF(OR(F82="",G82=""),"",F82+G82-1)</x:f>
        <x:v>50</x:v>
      </x:c>
      <x:c r="J82" s="5" t="n">
        <x:f>IF(OR(F82="",F82&lt;1,F82&gt;Calendar!$B$9),"",INDEX(Calendar!$A$16:$A$141,MATCH(F82,Calendar!$D$16:$D$141,0)))</x:f>
        <x:v>46391</x:v>
      </x:c>
      <x:c r="K82" s="5" t="n">
        <x:f>IF(OR(I82="",I82&lt;1,I82&gt;Calendar!$B$9),"",INDEX(Calendar!$A$16:$A$141,MATCH(I82,Calendar!$D$16:$D$141,0)))</x:f>
        <x:v>46395</x:v>
      </x:c>
      <x:c r="L82" s="53" t="n">
        <x:v>0</x:v>
      </x:c>
      <x:c r="M82" s="2" t="str">
        <x:f>IF(OR(F82="",G82="",H82=""),"Missing input",IF(OR(F82&lt;1,G82&lt;1,I82&gt;Calendar!$B$9),"Outside calendar",IF(F82&lt;MAX(INDEX($I$8:$I$157,MATCH("Q11",$A$8:$A$157,0))+1),"Dependency conflict","Scheduled")))</x:f>
        <x:v>Scheduled</x:v>
      </x:c>
      <x:c r="N82" s="45" t="n">
        <x:f>IF(OR($J82="",$K82=""),"",IF(SUMIFS(Calendar!$C$16:$C$141,Calendar!$A$16:$A$141,"&gt;="&amp;MAX(N$7,$J82),Calendar!$A$16:$A$141,"&lt;="&amp;MIN(N$7+4,$K82))=0,0,IF($H82="","EXT",SUMIFS(Calendar!$C$16:$C$141,Calendar!$A$16:$A$141,"&gt;="&amp;MAX(N$7,$J82),Calendar!$A$16:$A$141,"&lt;="&amp;MIN(N$7+4,$K82))*$H82/$G82)))</x:f>
        <x:v>0</x:v>
      </x:c>
      <x:c r="O82" s="45" t="n">
        <x:f>IF(OR($J82="",$K82=""),"",IF(SUMIFS(Calendar!$C$16:$C$141,Calendar!$A$16:$A$141,"&gt;="&amp;MAX(O$7,$J82),Calendar!$A$16:$A$141,"&lt;="&amp;MIN(O$7+4,$K82))=0,0,IF($H82="","EXT",SUMIFS(Calendar!$C$16:$C$141,Calendar!$A$16:$A$141,"&gt;="&amp;MAX(O$7,$J82),Calendar!$A$16:$A$141,"&lt;="&amp;MIN(O$7+4,$K82))*$H82/$G82)))</x:f>
        <x:v>0</x:v>
      </x:c>
      <x:c r="P82" s="45" t="n">
        <x:f>IF(OR($J82="",$K82=""),"",IF(SUMIFS(Calendar!$C$16:$C$141,Calendar!$A$16:$A$141,"&gt;="&amp;MAX(P$7,$J82),Calendar!$A$16:$A$141,"&lt;="&amp;MIN(P$7+4,$K82))=0,0,IF($H82="","EXT",SUMIFS(Calendar!$C$16:$C$141,Calendar!$A$16:$A$141,"&gt;="&amp;MAX(P$7,$J82),Calendar!$A$16:$A$141,"&lt;="&amp;MIN(P$7+4,$K82))*$H82/$G82)))</x:f>
        <x:v>0</x:v>
      </x:c>
      <x:c r="Q82" s="45" t="n">
        <x:f>IF(OR($J82="",$K82=""),"",IF(SUMIFS(Calendar!$C$16:$C$141,Calendar!$A$16:$A$141,"&gt;="&amp;MAX(Q$7,$J82),Calendar!$A$16:$A$141,"&lt;="&amp;MIN(Q$7+4,$K82))=0,0,IF($H82="","EXT",SUMIFS(Calendar!$C$16:$C$141,Calendar!$A$16:$A$141,"&gt;="&amp;MAX(Q$7,$J82),Calendar!$A$16:$A$141,"&lt;="&amp;MIN(Q$7+4,$K82))*$H82/$G82)))</x:f>
        <x:v>0</x:v>
      </x:c>
      <x:c r="R82" s="45" t="n">
        <x:f>IF(OR($J82="",$K82=""),"",IF(SUMIFS(Calendar!$C$16:$C$141,Calendar!$A$16:$A$141,"&gt;="&amp;MAX(R$7,$J82),Calendar!$A$16:$A$141,"&lt;="&amp;MIN(R$7+4,$K82))=0,0,IF($H82="","EXT",SUMIFS(Calendar!$C$16:$C$141,Calendar!$A$16:$A$141,"&gt;="&amp;MAX(R$7,$J82),Calendar!$A$16:$A$141,"&lt;="&amp;MIN(R$7+4,$K82))*$H82/$G82)))</x:f>
        <x:v>0</x:v>
      </x:c>
      <x:c r="S82" s="45" t="n">
        <x:f>IF(OR($J82="",$K82=""),"",IF(SUMIFS(Calendar!$C$16:$C$141,Calendar!$A$16:$A$141,"&gt;="&amp;MAX(S$7,$J82),Calendar!$A$16:$A$141,"&lt;="&amp;MIN(S$7+4,$K82))=0,0,IF($H82="","EXT",SUMIFS(Calendar!$C$16:$C$141,Calendar!$A$16:$A$141,"&gt;="&amp;MAX(S$7,$J82),Calendar!$A$16:$A$141,"&lt;="&amp;MIN(S$7+4,$K82))*$H82/$G82)))</x:f>
        <x:v>0</x:v>
      </x:c>
      <x:c r="T82" s="45" t="n">
        <x:f>IF(OR($J82="",$K82=""),"",IF(SUMIFS(Calendar!$C$16:$C$141,Calendar!$A$16:$A$141,"&gt;="&amp;MAX(T$7,$J82),Calendar!$A$16:$A$141,"&lt;="&amp;MIN(T$7+4,$K82))=0,0,IF($H82="","EXT",SUMIFS(Calendar!$C$16:$C$141,Calendar!$A$16:$A$141,"&gt;="&amp;MAX(T$7,$J82),Calendar!$A$16:$A$141,"&lt;="&amp;MIN(T$7+4,$K82))*$H82/$G82)))</x:f>
        <x:v>0</x:v>
      </x:c>
      <x:c r="U82" s="45" t="n">
        <x:f>IF(OR($J82="",$K82=""),"",IF(SUMIFS(Calendar!$C$16:$C$141,Calendar!$A$16:$A$141,"&gt;="&amp;MAX(U$7,$J82),Calendar!$A$16:$A$141,"&lt;="&amp;MIN(U$7+4,$K82))=0,0,IF($H82="","EXT",SUMIFS(Calendar!$C$16:$C$141,Calendar!$A$16:$A$141,"&gt;="&amp;MAX(U$7,$J82),Calendar!$A$16:$A$141,"&lt;="&amp;MIN(U$7+4,$K82))*$H82/$G82)))</x:f>
        <x:v>0</x:v>
      </x:c>
      <x:c r="V82" s="45" t="n">
        <x:f>IF(OR($J82="",$K82=""),"",IF(SUMIFS(Calendar!$C$16:$C$141,Calendar!$A$16:$A$141,"&gt;="&amp;MAX(V$7,$J82),Calendar!$A$16:$A$141,"&lt;="&amp;MIN(V$7+4,$K82))=0,0,IF($H82="","EXT",SUMIFS(Calendar!$C$16:$C$141,Calendar!$A$16:$A$141,"&gt;="&amp;MAX(V$7,$J82),Calendar!$A$16:$A$141,"&lt;="&amp;MIN(V$7+4,$K82))*$H82/$G82)))</x:f>
        <x:v>0</x:v>
      </x:c>
      <x:c r="W82" s="45" t="n">
        <x:f>IF(OR($J82="",$K82=""),"",IF(SUMIFS(Calendar!$C$16:$C$141,Calendar!$A$16:$A$141,"&gt;="&amp;MAX(W$7,$J82),Calendar!$A$16:$A$141,"&lt;="&amp;MIN(W$7+4,$K82))=0,0,IF($H82="","EXT",SUMIFS(Calendar!$C$16:$C$141,Calendar!$A$16:$A$141,"&gt;="&amp;MAX(W$7,$J82),Calendar!$A$16:$A$141,"&lt;="&amp;MIN(W$7+4,$K82))*$H82/$G82)))</x:f>
        <x:v>4</x:v>
      </x:c>
      <x:c r="X82" s="45" t="n">
        <x:f>IF(OR($J82="",$K82=""),"",IF(SUMIFS(Calendar!$C$16:$C$141,Calendar!$A$16:$A$141,"&gt;="&amp;MAX(X$7,$J82),Calendar!$A$16:$A$141,"&lt;="&amp;MIN(X$7+4,$K82))=0,0,IF($H82="","EXT",SUMIFS(Calendar!$C$16:$C$141,Calendar!$A$16:$A$141,"&gt;="&amp;MAX(X$7,$J82),Calendar!$A$16:$A$141,"&lt;="&amp;MIN(X$7+4,$K82))*$H82/$G82)))</x:f>
        <x:v>0</x:v>
      </x:c>
      <x:c r="Y82" s="45" t="n">
        <x:f>IF(OR($J82="",$K82=""),"",IF(SUMIFS(Calendar!$C$16:$C$141,Calendar!$A$16:$A$141,"&gt;="&amp;MAX(Y$7,$J82),Calendar!$A$16:$A$141,"&lt;="&amp;MIN(Y$7+4,$K82))=0,0,IF($H82="","EXT",SUMIFS(Calendar!$C$16:$C$141,Calendar!$A$16:$A$141,"&gt;="&amp;MAX(Y$7,$J82),Calendar!$A$16:$A$141,"&lt;="&amp;MIN(Y$7+4,$K82))*$H82/$G82)))</x:f>
        <x:v>0</x:v>
      </x:c>
      <x:c r="Z82" s="45" t="n">
        <x:f>IF(OR($J82="",$K82=""),"",IF(SUMIFS(Calendar!$C$16:$C$141,Calendar!$A$16:$A$141,"&gt;="&amp;MAX(Z$7,$J82),Calendar!$A$16:$A$141,"&lt;="&amp;MIN(Z$7+4,$K82))=0,0,IF($H82="","EXT",SUMIFS(Calendar!$C$16:$C$141,Calendar!$A$16:$A$141,"&gt;="&amp;MAX(Z$7,$J82),Calendar!$A$16:$A$141,"&lt;="&amp;MIN(Z$7+4,$K82))*$H82/$G82)))</x:f>
        <x:v>0</x:v>
      </x:c>
      <x:c r="AA82" s="45" t="n">
        <x:f>IF(OR($J82="",$K82=""),"",IF(SUMIFS(Calendar!$C$16:$C$141,Calendar!$A$16:$A$141,"&gt;="&amp;MAX(AA$7,$J82),Calendar!$A$16:$A$141,"&lt;="&amp;MIN(AA$7+4,$K82))=0,0,IF($H82="","EXT",SUMIFS(Calendar!$C$16:$C$141,Calendar!$A$16:$A$141,"&gt;="&amp;MAX(AA$7,$J82),Calendar!$A$16:$A$141,"&lt;="&amp;MIN(AA$7+4,$K82))*$H82/$G82)))</x:f>
        <x:v>0</x:v>
      </x:c>
      <x:c r="AB82" s="45" t="n">
        <x:f>IF(OR($J82="",$K82=""),"",IF(SUMIFS(Calendar!$C$16:$C$141,Calendar!$A$16:$A$141,"&gt;="&amp;MAX(AB$7,$J82),Calendar!$A$16:$A$141,"&lt;="&amp;MIN(AB$7+4,$K82))=0,0,IF($H82="","EXT",SUMIFS(Calendar!$C$16:$C$141,Calendar!$A$16:$A$141,"&gt;="&amp;MAX(AB$7,$J82),Calendar!$A$16:$A$141,"&lt;="&amp;MIN(AB$7+4,$K82))*$H82/$G82)))</x:f>
        <x:v>0</x:v>
      </x:c>
      <x:c r="AC82" s="45" t="n">
        <x:f>IF(OR($J82="",$K82=""),"",IF(SUMIFS(Calendar!$C$16:$C$141,Calendar!$A$16:$A$141,"&gt;="&amp;MAX(AC$7,$J82),Calendar!$A$16:$A$141,"&lt;="&amp;MIN(AC$7+4,$K82))=0,0,IF($H82="","EXT",SUMIFS(Calendar!$C$16:$C$141,Calendar!$A$16:$A$141,"&gt;="&amp;MAX(AC$7,$J82),Calendar!$A$16:$A$141,"&lt;="&amp;MIN(AC$7+4,$K82))*$H82/$G82)))</x:f>
        <x:v>0</x:v>
      </x:c>
      <x:c r="AD82" s="45" t="n">
        <x:f>IF(OR($J82="",$K82=""),"",IF(SUMIFS(Calendar!$C$16:$C$141,Calendar!$A$16:$A$141,"&gt;="&amp;MAX(AD$7,$J82),Calendar!$A$16:$A$141,"&lt;="&amp;MIN(AD$7+4,$K82))=0,0,IF($H82="","EXT",SUMIFS(Calendar!$C$16:$C$141,Calendar!$A$16:$A$141,"&gt;="&amp;MAX(AD$7,$J82),Calendar!$A$16:$A$141,"&lt;="&amp;MIN(AD$7+4,$K82))*$H82/$G82)))</x:f>
        <x:v>0</x:v>
      </x:c>
      <x:c r="AE82" s="45" t="n">
        <x:f>IF(OR($J82="",$K82=""),"",IF(SUMIFS(Calendar!$C$16:$C$141,Calendar!$A$16:$A$141,"&gt;="&amp;MAX(AE$7,$J82),Calendar!$A$16:$A$141,"&lt;="&amp;MIN(AE$7+4,$K82))=0,0,IF($H82="","EXT",SUMIFS(Calendar!$C$16:$C$141,Calendar!$A$16:$A$141,"&gt;="&amp;MAX(AE$7,$J82),Calendar!$A$16:$A$141,"&lt;="&amp;MIN(AE$7+4,$K82))*$H82/$G82)))</x:f>
        <x:v>0</x:v>
      </x:c>
      <x:c r="AF82" s="8" t="n">
        <x:f>IF(OR(M82&lt;&gt;"Scheduled",INDEX('Team and Gates'!$C$7:$C$13,MATCH($D82,'Team and Gates'!$A$7:$A$13,0))=""),"CHECK",SUM(N82:AE82)*INDEX('Team and Gates'!$C$7:$C$13,MATCH($D82,'Team and Gates'!$A$7:$A$13,0)))</x:f>
        <x:v>1440</x:v>
      </x:c>
      <x:c r="AG82" s="46" t="str">
        <x:v>Record versioned technical/business results, QA feedback, DS/developer fixes and affected-path retests. Business validation remains independent of DS tuning.</x:v>
      </x:c>
      <x:c r="AH82" s="46" t="str">
        <x:v>Two additional weeks of tuning, independent QA and stabilization recovered from shorter preparation/coding.</x:v>
      </x:c>
    </x:row>
    <x:row r="83" ht="45" customHeight="1">
      <x:c r="A83" s="39" t="str">
        <x:v>Q-FB11</x:v>
      </x:c>
      <x:c r="B83" s="39" t="str">
        <x:v>Technical QA</x:v>
      </x:c>
      <x:c r="C83" s="47" t="str">
        <x:v>Full technical regression and failure injection</x:v>
      </x:c>
      <x:c r="D83" s="32" t="str">
        <x:v>Tester 1</x:v>
      </x:c>
      <x:c r="E83" s="47" t="str">
        <x:v>Q-FB10</x:v>
      </x:c>
      <x:c r="F83" s="50" t="n">
        <x:v>51</x:v>
      </x:c>
      <x:c r="G83" s="50" t="n">
        <x:v>5</x:v>
      </x:c>
      <x:c r="H83" s="51" t="n">
        <x:v>4</x:v>
      </x:c>
      <x:c r="I83" s="39" t="n">
        <x:f>IF(OR(F83="",G83=""),"",F83+G83-1)</x:f>
        <x:v>55</x:v>
      </x:c>
      <x:c r="J83" s="41" t="n">
        <x:f>IF(OR(F83="",F83&lt;1,F83&gt;Calendar!$B$9),"",INDEX(Calendar!$A$16:$A$141,MATCH(F83,Calendar!$D$16:$D$141,0)))</x:f>
        <x:v>46398</x:v>
      </x:c>
      <x:c r="K83" s="41" t="n">
        <x:f>IF(OR(I83="",I83&lt;1,I83&gt;Calendar!$B$9),"",INDEX(Calendar!$A$16:$A$141,MATCH(I83,Calendar!$D$16:$D$141,0)))</x:f>
        <x:v>46402</x:v>
      </x:c>
      <x:c r="L83" s="53" t="n">
        <x:v>0</x:v>
      </x:c>
      <x:c r="M83" s="39" t="str">
        <x:f>IF(OR(F83="",G83="",H83=""),"Missing input",IF(OR(F83&lt;1,G83&lt;1,I83&gt;Calendar!$B$9),"Outside calendar",IF(F83&lt;MAX(INDEX($I$8:$I$157,MATCH("Q-FB10",$A$8:$A$157,0))+1),"Dependency conflict","Scheduled")))</x:f>
        <x:v>Scheduled</x:v>
      </x:c>
      <x:c r="N83" s="45" t="n">
        <x:f>IF(OR($J83="",$K83=""),"",IF(SUMIFS(Calendar!$C$16:$C$141,Calendar!$A$16:$A$141,"&gt;="&amp;MAX(N$7,$J83),Calendar!$A$16:$A$141,"&lt;="&amp;MIN(N$7+4,$K83))=0,0,IF($H83="","EXT",SUMIFS(Calendar!$C$16:$C$141,Calendar!$A$16:$A$141,"&gt;="&amp;MAX(N$7,$J83),Calendar!$A$16:$A$141,"&lt;="&amp;MIN(N$7+4,$K83))*$H83/$G83)))</x:f>
        <x:v>0</x:v>
      </x:c>
      <x:c r="O83" s="45" t="n">
        <x:f>IF(OR($J83="",$K83=""),"",IF(SUMIFS(Calendar!$C$16:$C$141,Calendar!$A$16:$A$141,"&gt;="&amp;MAX(O$7,$J83),Calendar!$A$16:$A$141,"&lt;="&amp;MIN(O$7+4,$K83))=0,0,IF($H83="","EXT",SUMIFS(Calendar!$C$16:$C$141,Calendar!$A$16:$A$141,"&gt;="&amp;MAX(O$7,$J83),Calendar!$A$16:$A$141,"&lt;="&amp;MIN(O$7+4,$K83))*$H83/$G83)))</x:f>
        <x:v>0</x:v>
      </x:c>
      <x:c r="P83" s="45" t="n">
        <x:f>IF(OR($J83="",$K83=""),"",IF(SUMIFS(Calendar!$C$16:$C$141,Calendar!$A$16:$A$141,"&gt;="&amp;MAX(P$7,$J83),Calendar!$A$16:$A$141,"&lt;="&amp;MIN(P$7+4,$K83))=0,0,IF($H83="","EXT",SUMIFS(Calendar!$C$16:$C$141,Calendar!$A$16:$A$141,"&gt;="&amp;MAX(P$7,$J83),Calendar!$A$16:$A$141,"&lt;="&amp;MIN(P$7+4,$K83))*$H83/$G83)))</x:f>
        <x:v>0</x:v>
      </x:c>
      <x:c r="Q83" s="45" t="n">
        <x:f>IF(OR($J83="",$K83=""),"",IF(SUMIFS(Calendar!$C$16:$C$141,Calendar!$A$16:$A$141,"&gt;="&amp;MAX(Q$7,$J83),Calendar!$A$16:$A$141,"&lt;="&amp;MIN(Q$7+4,$K83))=0,0,IF($H83="","EXT",SUMIFS(Calendar!$C$16:$C$141,Calendar!$A$16:$A$141,"&gt;="&amp;MAX(Q$7,$J83),Calendar!$A$16:$A$141,"&lt;="&amp;MIN(Q$7+4,$K83))*$H83/$G83)))</x:f>
        <x:v>0</x:v>
      </x:c>
      <x:c r="R83" s="45" t="n">
        <x:f>IF(OR($J83="",$K83=""),"",IF(SUMIFS(Calendar!$C$16:$C$141,Calendar!$A$16:$A$141,"&gt;="&amp;MAX(R$7,$J83),Calendar!$A$16:$A$141,"&lt;="&amp;MIN(R$7+4,$K83))=0,0,IF($H83="","EXT",SUMIFS(Calendar!$C$16:$C$141,Calendar!$A$16:$A$141,"&gt;="&amp;MAX(R$7,$J83),Calendar!$A$16:$A$141,"&lt;="&amp;MIN(R$7+4,$K83))*$H83/$G83)))</x:f>
        <x:v>0</x:v>
      </x:c>
      <x:c r="S83" s="45" t="n">
        <x:f>IF(OR($J83="",$K83=""),"",IF(SUMIFS(Calendar!$C$16:$C$141,Calendar!$A$16:$A$141,"&gt;="&amp;MAX(S$7,$J83),Calendar!$A$16:$A$141,"&lt;="&amp;MIN(S$7+4,$K83))=0,0,IF($H83="","EXT",SUMIFS(Calendar!$C$16:$C$141,Calendar!$A$16:$A$141,"&gt;="&amp;MAX(S$7,$J83),Calendar!$A$16:$A$141,"&lt;="&amp;MIN(S$7+4,$K83))*$H83/$G83)))</x:f>
        <x:v>0</x:v>
      </x:c>
      <x:c r="T83" s="45" t="n">
        <x:f>IF(OR($J83="",$K83=""),"",IF(SUMIFS(Calendar!$C$16:$C$141,Calendar!$A$16:$A$141,"&gt;="&amp;MAX(T$7,$J83),Calendar!$A$16:$A$141,"&lt;="&amp;MIN(T$7+4,$K83))=0,0,IF($H83="","EXT",SUMIFS(Calendar!$C$16:$C$141,Calendar!$A$16:$A$141,"&gt;="&amp;MAX(T$7,$J83),Calendar!$A$16:$A$141,"&lt;="&amp;MIN(T$7+4,$K83))*$H83/$G83)))</x:f>
        <x:v>0</x:v>
      </x:c>
      <x:c r="U83" s="45" t="n">
        <x:f>IF(OR($J83="",$K83=""),"",IF(SUMIFS(Calendar!$C$16:$C$141,Calendar!$A$16:$A$141,"&gt;="&amp;MAX(U$7,$J83),Calendar!$A$16:$A$141,"&lt;="&amp;MIN(U$7+4,$K83))=0,0,IF($H83="","EXT",SUMIFS(Calendar!$C$16:$C$141,Calendar!$A$16:$A$141,"&gt;="&amp;MAX(U$7,$J83),Calendar!$A$16:$A$141,"&lt;="&amp;MIN(U$7+4,$K83))*$H83/$G83)))</x:f>
        <x:v>0</x:v>
      </x:c>
      <x:c r="V83" s="45" t="n">
        <x:f>IF(OR($J83="",$K83=""),"",IF(SUMIFS(Calendar!$C$16:$C$141,Calendar!$A$16:$A$141,"&gt;="&amp;MAX(V$7,$J83),Calendar!$A$16:$A$141,"&lt;="&amp;MIN(V$7+4,$K83))=0,0,IF($H83="","EXT",SUMIFS(Calendar!$C$16:$C$141,Calendar!$A$16:$A$141,"&gt;="&amp;MAX(V$7,$J83),Calendar!$A$16:$A$141,"&lt;="&amp;MIN(V$7+4,$K83))*$H83/$G83)))</x:f>
        <x:v>0</x:v>
      </x:c>
      <x:c r="W83" s="45" t="n">
        <x:f>IF(OR($J83="",$K83=""),"",IF(SUMIFS(Calendar!$C$16:$C$141,Calendar!$A$16:$A$141,"&gt;="&amp;MAX(W$7,$J83),Calendar!$A$16:$A$141,"&lt;="&amp;MIN(W$7+4,$K83))=0,0,IF($H83="","EXT",SUMIFS(Calendar!$C$16:$C$141,Calendar!$A$16:$A$141,"&gt;="&amp;MAX(W$7,$J83),Calendar!$A$16:$A$141,"&lt;="&amp;MIN(W$7+4,$K83))*$H83/$G83)))</x:f>
        <x:v>0</x:v>
      </x:c>
      <x:c r="X83" s="45" t="n">
        <x:f>IF(OR($J83="",$K83=""),"",IF(SUMIFS(Calendar!$C$16:$C$141,Calendar!$A$16:$A$141,"&gt;="&amp;MAX(X$7,$J83),Calendar!$A$16:$A$141,"&lt;="&amp;MIN(X$7+4,$K83))=0,0,IF($H83="","EXT",SUMIFS(Calendar!$C$16:$C$141,Calendar!$A$16:$A$141,"&gt;="&amp;MAX(X$7,$J83),Calendar!$A$16:$A$141,"&lt;="&amp;MIN(X$7+4,$K83))*$H83/$G83)))</x:f>
        <x:v>4</x:v>
      </x:c>
      <x:c r="Y83" s="45" t="n">
        <x:f>IF(OR($J83="",$K83=""),"",IF(SUMIFS(Calendar!$C$16:$C$141,Calendar!$A$16:$A$141,"&gt;="&amp;MAX(Y$7,$J83),Calendar!$A$16:$A$141,"&lt;="&amp;MIN(Y$7+4,$K83))=0,0,IF($H83="","EXT",SUMIFS(Calendar!$C$16:$C$141,Calendar!$A$16:$A$141,"&gt;="&amp;MAX(Y$7,$J83),Calendar!$A$16:$A$141,"&lt;="&amp;MIN(Y$7+4,$K83))*$H83/$G83)))</x:f>
        <x:v>0</x:v>
      </x:c>
      <x:c r="Z83" s="45" t="n">
        <x:f>IF(OR($J83="",$K83=""),"",IF(SUMIFS(Calendar!$C$16:$C$141,Calendar!$A$16:$A$141,"&gt;="&amp;MAX(Z$7,$J83),Calendar!$A$16:$A$141,"&lt;="&amp;MIN(Z$7+4,$K83))=0,0,IF($H83="","EXT",SUMIFS(Calendar!$C$16:$C$141,Calendar!$A$16:$A$141,"&gt;="&amp;MAX(Z$7,$J83),Calendar!$A$16:$A$141,"&lt;="&amp;MIN(Z$7+4,$K83))*$H83/$G83)))</x:f>
        <x:v>0</x:v>
      </x:c>
      <x:c r="AA83" s="45" t="n">
        <x:f>IF(OR($J83="",$K83=""),"",IF(SUMIFS(Calendar!$C$16:$C$141,Calendar!$A$16:$A$141,"&gt;="&amp;MAX(AA$7,$J83),Calendar!$A$16:$A$141,"&lt;="&amp;MIN(AA$7+4,$K83))=0,0,IF($H83="","EXT",SUMIFS(Calendar!$C$16:$C$141,Calendar!$A$16:$A$141,"&gt;="&amp;MAX(AA$7,$J83),Calendar!$A$16:$A$141,"&lt;="&amp;MIN(AA$7+4,$K83))*$H83/$G83)))</x:f>
        <x:v>0</x:v>
      </x:c>
      <x:c r="AB83" s="45" t="n">
        <x:f>IF(OR($J83="",$K83=""),"",IF(SUMIFS(Calendar!$C$16:$C$141,Calendar!$A$16:$A$141,"&gt;="&amp;MAX(AB$7,$J83),Calendar!$A$16:$A$141,"&lt;="&amp;MIN(AB$7+4,$K83))=0,0,IF($H83="","EXT",SUMIFS(Calendar!$C$16:$C$141,Calendar!$A$16:$A$141,"&gt;="&amp;MAX(AB$7,$J83),Calendar!$A$16:$A$141,"&lt;="&amp;MIN(AB$7+4,$K83))*$H83/$G83)))</x:f>
        <x:v>0</x:v>
      </x:c>
      <x:c r="AC83" s="45" t="n">
        <x:f>IF(OR($J83="",$K83=""),"",IF(SUMIFS(Calendar!$C$16:$C$141,Calendar!$A$16:$A$141,"&gt;="&amp;MAX(AC$7,$J83),Calendar!$A$16:$A$141,"&lt;="&amp;MIN(AC$7+4,$K83))=0,0,IF($H83="","EXT",SUMIFS(Calendar!$C$16:$C$141,Calendar!$A$16:$A$141,"&gt;="&amp;MAX(AC$7,$J83),Calendar!$A$16:$A$141,"&lt;="&amp;MIN(AC$7+4,$K83))*$H83/$G83)))</x:f>
        <x:v>0</x:v>
      </x:c>
      <x:c r="AD83" s="45" t="n">
        <x:f>IF(OR($J83="",$K83=""),"",IF(SUMIFS(Calendar!$C$16:$C$141,Calendar!$A$16:$A$141,"&gt;="&amp;MAX(AD$7,$J83),Calendar!$A$16:$A$141,"&lt;="&amp;MIN(AD$7+4,$K83))=0,0,IF($H83="","EXT",SUMIFS(Calendar!$C$16:$C$141,Calendar!$A$16:$A$141,"&gt;="&amp;MAX(AD$7,$J83),Calendar!$A$16:$A$141,"&lt;="&amp;MIN(AD$7+4,$K83))*$H83/$G83)))</x:f>
        <x:v>0</x:v>
      </x:c>
      <x:c r="AE83" s="45" t="n">
        <x:f>IF(OR($J83="",$K83=""),"",IF(SUMIFS(Calendar!$C$16:$C$141,Calendar!$A$16:$A$141,"&gt;="&amp;MAX(AE$7,$J83),Calendar!$A$16:$A$141,"&lt;="&amp;MIN(AE$7+4,$K83))=0,0,IF($H83="","EXT",SUMIFS(Calendar!$C$16:$C$141,Calendar!$A$16:$A$141,"&gt;="&amp;MAX(AE$7,$J83),Calendar!$A$16:$A$141,"&lt;="&amp;MIN(AE$7+4,$K83))*$H83/$G83)))</x:f>
        <x:v>0</x:v>
      </x:c>
      <x:c r="AF83" s="8" t="n">
        <x:f>IF(OR(M83&lt;&gt;"Scheduled",INDEX('Team and Gates'!$C$7:$C$13,MATCH($D83,'Team and Gates'!$A$7:$A$13,0))=""),"CHECK",SUM(N83:AE83)*INDEX('Team and Gates'!$C$7:$C$13,MATCH($D83,'Team and Gates'!$A$7:$A$13,0)))</x:f>
        <x:v>1440</x:v>
      </x:c>
      <x:c r="AG83" s="46" t="str">
        <x:v>Record versioned technical/business results, QA feedback, DS/developer fixes and affected-path retests. Business validation remains independent of DS tuning.</x:v>
      </x:c>
      <x:c r="AH83" s="46" t="str">
        <x:v>Two additional weeks of tuning, independent QA and stabilization recovered from shorter preparation/coding.</x:v>
      </x:c>
    </x:row>
    <x:row r="84" ht="45" customHeight="1">
      <x:c r="A84" s="2" t="str">
        <x:v>Q12</x:v>
      </x:c>
      <x:c r="B84" s="2" t="str">
        <x:v>Technical QA</x:v>
      </x:c>
      <x:c r="C84" s="46" t="str">
        <x:v>Extended SIT technical fixes, failure tests and regression</x:v>
      </x:c>
      <x:c r="D84" s="32" t="str">
        <x:v>Tester 1</x:v>
      </x:c>
      <x:c r="E84" s="46" t="str">
        <x:v>Q11, U11, S11, A11, B11, F11, BA11, Q-FB11</x:v>
      </x:c>
      <x:c r="F84" s="50" t="n">
        <x:v>56</x:v>
      </x:c>
      <x:c r="G84" s="50" t="n">
        <x:v>5</x:v>
      </x:c>
      <x:c r="H84" s="51" t="n">
        <x:v>4</x:v>
      </x:c>
      <x:c r="I84" s="2" t="n">
        <x:f>IF(OR(F84="",G84=""),"",F84+G84-1)</x:f>
        <x:v>60</x:v>
      </x:c>
      <x:c r="J84" s="5" t="n">
        <x:f>IF(OR(F84="",F84&lt;1,F84&gt;Calendar!$B$9),"",INDEX(Calendar!$A$16:$A$141,MATCH(F84,Calendar!$D$16:$D$141,0)))</x:f>
        <x:v>46405</x:v>
      </x:c>
      <x:c r="K84" s="5" t="n">
        <x:f>IF(OR(I84="",I84&lt;1,I84&gt;Calendar!$B$9),"",INDEX(Calendar!$A$16:$A$141,MATCH(I84,Calendar!$D$16:$D$141,0)))</x:f>
        <x:v>46409</x:v>
      </x:c>
      <x:c r="L84" s="53" t="n">
        <x:v>0</x:v>
      </x:c>
      <x:c r="M84" s="2" t="str">
        <x:f>IF(OR(F84="",G84="",H84=""),"Missing input",IF(OR(F84&lt;1,G84&lt;1,I84&gt;Calendar!$B$9),"Outside calendar",IF(F84&lt;MAX(INDEX($I$8:$I$157,MATCH("Q11",$A$8:$A$157,0))+1,INDEX($I$8:$I$157,MATCH("U11",$A$8:$A$157,0))+1,INDEX($I$8:$I$157,MATCH("S11",$A$8:$A$157,0))+1,INDEX($I$8:$I$157,MATCH("A11",$A$8:$A$157,0))+1,INDEX($I$8:$I$157,MATCH("B11",$A$8:$A$157,0))+1,INDEX($I$8:$I$157,MATCH("F11",$A$8:$A$157,0))+1,INDEX($I$8:$I$157,MATCH("BA11",$A$8:$A$157,0))+1,INDEX($I$8:$I$157,MATCH("Q-FB11",$A$8:$A$157,0))+1),"Dependency conflict","Scheduled")))</x:f>
        <x:v>Scheduled</x:v>
      </x:c>
      <x:c r="N84" s="45" t="n">
        <x:f>IF(OR($J84="",$K84=""),"",IF(SUMIFS(Calendar!$C$16:$C$141,Calendar!$A$16:$A$141,"&gt;="&amp;MAX(N$7,$J84),Calendar!$A$16:$A$141,"&lt;="&amp;MIN(N$7+4,$K84))=0,0,IF($H84="","EXT",SUMIFS(Calendar!$C$16:$C$141,Calendar!$A$16:$A$141,"&gt;="&amp;MAX(N$7,$J84),Calendar!$A$16:$A$141,"&lt;="&amp;MIN(N$7+4,$K84))*$H84/$G84)))</x:f>
        <x:v>0</x:v>
      </x:c>
      <x:c r="O84" s="45" t="n">
        <x:f>IF(OR($J84="",$K84=""),"",IF(SUMIFS(Calendar!$C$16:$C$141,Calendar!$A$16:$A$141,"&gt;="&amp;MAX(O$7,$J84),Calendar!$A$16:$A$141,"&lt;="&amp;MIN(O$7+4,$K84))=0,0,IF($H84="","EXT",SUMIFS(Calendar!$C$16:$C$141,Calendar!$A$16:$A$141,"&gt;="&amp;MAX(O$7,$J84),Calendar!$A$16:$A$141,"&lt;="&amp;MIN(O$7+4,$K84))*$H84/$G84)))</x:f>
        <x:v>0</x:v>
      </x:c>
      <x:c r="P84" s="45" t="n">
        <x:f>IF(OR($J84="",$K84=""),"",IF(SUMIFS(Calendar!$C$16:$C$141,Calendar!$A$16:$A$141,"&gt;="&amp;MAX(P$7,$J84),Calendar!$A$16:$A$141,"&lt;="&amp;MIN(P$7+4,$K84))=0,0,IF($H84="","EXT",SUMIFS(Calendar!$C$16:$C$141,Calendar!$A$16:$A$141,"&gt;="&amp;MAX(P$7,$J84),Calendar!$A$16:$A$141,"&lt;="&amp;MIN(P$7+4,$K84))*$H84/$G84)))</x:f>
        <x:v>0</x:v>
      </x:c>
      <x:c r="Q84" s="45" t="n">
        <x:f>IF(OR($J84="",$K84=""),"",IF(SUMIFS(Calendar!$C$16:$C$141,Calendar!$A$16:$A$141,"&gt;="&amp;MAX(Q$7,$J84),Calendar!$A$16:$A$141,"&lt;="&amp;MIN(Q$7+4,$K84))=0,0,IF($H84="","EXT",SUMIFS(Calendar!$C$16:$C$141,Calendar!$A$16:$A$141,"&gt;="&amp;MAX(Q$7,$J84),Calendar!$A$16:$A$141,"&lt;="&amp;MIN(Q$7+4,$K84))*$H84/$G84)))</x:f>
        <x:v>0</x:v>
      </x:c>
      <x:c r="R84" s="45" t="n">
        <x:f>IF(OR($J84="",$K84=""),"",IF(SUMIFS(Calendar!$C$16:$C$141,Calendar!$A$16:$A$141,"&gt;="&amp;MAX(R$7,$J84),Calendar!$A$16:$A$141,"&lt;="&amp;MIN(R$7+4,$K84))=0,0,IF($H84="","EXT",SUMIFS(Calendar!$C$16:$C$141,Calendar!$A$16:$A$141,"&gt;="&amp;MAX(R$7,$J84),Calendar!$A$16:$A$141,"&lt;="&amp;MIN(R$7+4,$K84))*$H84/$G84)))</x:f>
        <x:v>0</x:v>
      </x:c>
      <x:c r="S84" s="45" t="n">
        <x:f>IF(OR($J84="",$K84=""),"",IF(SUMIFS(Calendar!$C$16:$C$141,Calendar!$A$16:$A$141,"&gt;="&amp;MAX(S$7,$J84),Calendar!$A$16:$A$141,"&lt;="&amp;MIN(S$7+4,$K84))=0,0,IF($H84="","EXT",SUMIFS(Calendar!$C$16:$C$141,Calendar!$A$16:$A$141,"&gt;="&amp;MAX(S$7,$J84),Calendar!$A$16:$A$141,"&lt;="&amp;MIN(S$7+4,$K84))*$H84/$G84)))</x:f>
        <x:v>0</x:v>
      </x:c>
      <x:c r="T84" s="45" t="n">
        <x:f>IF(OR($J84="",$K84=""),"",IF(SUMIFS(Calendar!$C$16:$C$141,Calendar!$A$16:$A$141,"&gt;="&amp;MAX(T$7,$J84),Calendar!$A$16:$A$141,"&lt;="&amp;MIN(T$7+4,$K84))=0,0,IF($H84="","EXT",SUMIFS(Calendar!$C$16:$C$141,Calendar!$A$16:$A$141,"&gt;="&amp;MAX(T$7,$J84),Calendar!$A$16:$A$141,"&lt;="&amp;MIN(T$7+4,$K84))*$H84/$G84)))</x:f>
        <x:v>0</x:v>
      </x:c>
      <x:c r="U84" s="45" t="n">
        <x:f>IF(OR($J84="",$K84=""),"",IF(SUMIFS(Calendar!$C$16:$C$141,Calendar!$A$16:$A$141,"&gt;="&amp;MAX(U$7,$J84),Calendar!$A$16:$A$141,"&lt;="&amp;MIN(U$7+4,$K84))=0,0,IF($H84="","EXT",SUMIFS(Calendar!$C$16:$C$141,Calendar!$A$16:$A$141,"&gt;="&amp;MAX(U$7,$J84),Calendar!$A$16:$A$141,"&lt;="&amp;MIN(U$7+4,$K84))*$H84/$G84)))</x:f>
        <x:v>0</x:v>
      </x:c>
      <x:c r="V84" s="45" t="n">
        <x:f>IF(OR($J84="",$K84=""),"",IF(SUMIFS(Calendar!$C$16:$C$141,Calendar!$A$16:$A$141,"&gt;="&amp;MAX(V$7,$J84),Calendar!$A$16:$A$141,"&lt;="&amp;MIN(V$7+4,$K84))=0,0,IF($H84="","EXT",SUMIFS(Calendar!$C$16:$C$141,Calendar!$A$16:$A$141,"&gt;="&amp;MAX(V$7,$J84),Calendar!$A$16:$A$141,"&lt;="&amp;MIN(V$7+4,$K84))*$H84/$G84)))</x:f>
        <x:v>0</x:v>
      </x:c>
      <x:c r="W84" s="45" t="n">
        <x:f>IF(OR($J84="",$K84=""),"",IF(SUMIFS(Calendar!$C$16:$C$141,Calendar!$A$16:$A$141,"&gt;="&amp;MAX(W$7,$J84),Calendar!$A$16:$A$141,"&lt;="&amp;MIN(W$7+4,$K84))=0,0,IF($H84="","EXT",SUMIFS(Calendar!$C$16:$C$141,Calendar!$A$16:$A$141,"&gt;="&amp;MAX(W$7,$J84),Calendar!$A$16:$A$141,"&lt;="&amp;MIN(W$7+4,$K84))*$H84/$G84)))</x:f>
        <x:v>0</x:v>
      </x:c>
      <x:c r="X84" s="45" t="n">
        <x:f>IF(OR($J84="",$K84=""),"",IF(SUMIFS(Calendar!$C$16:$C$141,Calendar!$A$16:$A$141,"&gt;="&amp;MAX(X$7,$J84),Calendar!$A$16:$A$141,"&lt;="&amp;MIN(X$7+4,$K84))=0,0,IF($H84="","EXT",SUMIFS(Calendar!$C$16:$C$141,Calendar!$A$16:$A$141,"&gt;="&amp;MAX(X$7,$J84),Calendar!$A$16:$A$141,"&lt;="&amp;MIN(X$7+4,$K84))*$H84/$G84)))</x:f>
        <x:v>0</x:v>
      </x:c>
      <x:c r="Y84" s="45" t="n">
        <x:f>IF(OR($J84="",$K84=""),"",IF(SUMIFS(Calendar!$C$16:$C$141,Calendar!$A$16:$A$141,"&gt;="&amp;MAX(Y$7,$J84),Calendar!$A$16:$A$141,"&lt;="&amp;MIN(Y$7+4,$K84))=0,0,IF($H84="","EXT",SUMIFS(Calendar!$C$16:$C$141,Calendar!$A$16:$A$141,"&gt;="&amp;MAX(Y$7,$J84),Calendar!$A$16:$A$141,"&lt;="&amp;MIN(Y$7+4,$K84))*$H84/$G84)))</x:f>
        <x:v>4</x:v>
      </x:c>
      <x:c r="Z84" s="45" t="n">
        <x:f>IF(OR($J84="",$K84=""),"",IF(SUMIFS(Calendar!$C$16:$C$141,Calendar!$A$16:$A$141,"&gt;="&amp;MAX(Z$7,$J84),Calendar!$A$16:$A$141,"&lt;="&amp;MIN(Z$7+4,$K84))=0,0,IF($H84="","EXT",SUMIFS(Calendar!$C$16:$C$141,Calendar!$A$16:$A$141,"&gt;="&amp;MAX(Z$7,$J84),Calendar!$A$16:$A$141,"&lt;="&amp;MIN(Z$7+4,$K84))*$H84/$G84)))</x:f>
        <x:v>0</x:v>
      </x:c>
      <x:c r="AA84" s="45" t="n">
        <x:f>IF(OR($J84="",$K84=""),"",IF(SUMIFS(Calendar!$C$16:$C$141,Calendar!$A$16:$A$141,"&gt;="&amp;MAX(AA$7,$J84),Calendar!$A$16:$A$141,"&lt;="&amp;MIN(AA$7+4,$K84))=0,0,IF($H84="","EXT",SUMIFS(Calendar!$C$16:$C$141,Calendar!$A$16:$A$141,"&gt;="&amp;MAX(AA$7,$J84),Calendar!$A$16:$A$141,"&lt;="&amp;MIN(AA$7+4,$K84))*$H84/$G84)))</x:f>
        <x:v>0</x:v>
      </x:c>
      <x:c r="AB84" s="45" t="n">
        <x:f>IF(OR($J84="",$K84=""),"",IF(SUMIFS(Calendar!$C$16:$C$141,Calendar!$A$16:$A$141,"&gt;="&amp;MAX(AB$7,$J84),Calendar!$A$16:$A$141,"&lt;="&amp;MIN(AB$7+4,$K84))=0,0,IF($H84="","EXT",SUMIFS(Calendar!$C$16:$C$141,Calendar!$A$16:$A$141,"&gt;="&amp;MAX(AB$7,$J84),Calendar!$A$16:$A$141,"&lt;="&amp;MIN(AB$7+4,$K84))*$H84/$G84)))</x:f>
        <x:v>0</x:v>
      </x:c>
      <x:c r="AC84" s="45" t="n">
        <x:f>IF(OR($J84="",$K84=""),"",IF(SUMIFS(Calendar!$C$16:$C$141,Calendar!$A$16:$A$141,"&gt;="&amp;MAX(AC$7,$J84),Calendar!$A$16:$A$141,"&lt;="&amp;MIN(AC$7+4,$K84))=0,0,IF($H84="","EXT",SUMIFS(Calendar!$C$16:$C$141,Calendar!$A$16:$A$141,"&gt;="&amp;MAX(AC$7,$J84),Calendar!$A$16:$A$141,"&lt;="&amp;MIN(AC$7+4,$K84))*$H84/$G84)))</x:f>
        <x:v>0</x:v>
      </x:c>
      <x:c r="AD84" s="45" t="n">
        <x:f>IF(OR($J84="",$K84=""),"",IF(SUMIFS(Calendar!$C$16:$C$141,Calendar!$A$16:$A$141,"&gt;="&amp;MAX(AD$7,$J84),Calendar!$A$16:$A$141,"&lt;="&amp;MIN(AD$7+4,$K84))=0,0,IF($H84="","EXT",SUMIFS(Calendar!$C$16:$C$141,Calendar!$A$16:$A$141,"&gt;="&amp;MAX(AD$7,$J84),Calendar!$A$16:$A$141,"&lt;="&amp;MIN(AD$7+4,$K84))*$H84/$G84)))</x:f>
        <x:v>0</x:v>
      </x:c>
      <x:c r="AE84" s="45" t="n">
        <x:f>IF(OR($J84="",$K84=""),"",IF(SUMIFS(Calendar!$C$16:$C$141,Calendar!$A$16:$A$141,"&gt;="&amp;MAX(AE$7,$J84),Calendar!$A$16:$A$141,"&lt;="&amp;MIN(AE$7+4,$K84))=0,0,IF($H84="","EXT",SUMIFS(Calendar!$C$16:$C$141,Calendar!$A$16:$A$141,"&gt;="&amp;MAX(AE$7,$J84),Calendar!$A$16:$A$141,"&lt;="&amp;MIN(AE$7+4,$K84))*$H84/$G84)))</x:f>
        <x:v>0</x:v>
      </x:c>
      <x:c r="AF84" s="8" t="n">
        <x:f>IF(OR(M84&lt;&gt;"Scheduled",INDEX('Team and Gates'!$C$7:$C$13,MATCH($D84,'Team and Gates'!$A$7:$A$13,0))=""),"CHECK",SUM(N84:AE84)*INDEX('Team and Gates'!$C$7:$C$13,MATCH($D84,'Team and Gates'!$A$7:$A$13,0)))</x:f>
        <x:v>1440</x:v>
      </x:c>
      <x:c r="AG84" s="46" t="str">
        <x:v>SIT evidence, defect retests and UAT-readiness artifacts are recorded; formal AM UAT is after the holiday.</x:v>
      </x:c>
      <x:c r="AH84" s="46" t="str">
        <x:v>Protect extended SIT, tuning and post-holiday UAT time. If quality gates slip, reduce scope or replan; do not assume more AI coding fixes quality.</x:v>
      </x:c>
    </x:row>
    <x:row r="85" ht="45" customHeight="1">
      <x:c r="A85" s="39" t="str">
        <x:v>Q13</x:v>
      </x:c>
      <x:c r="B85" s="39" t="str">
        <x:v>Technical QA</x:v>
      </x:c>
      <x:c r="C85" s="47" t="str">
        <x:v>SIT exit regression, signoff pack and UAT deployment tests</x:v>
      </x:c>
      <x:c r="D85" s="32" t="str">
        <x:v>Tester 1</x:v>
      </x:c>
      <x:c r="E85" s="47" t="str">
        <x:v>Q12</x:v>
      </x:c>
      <x:c r="F85" s="50" t="n">
        <x:v>61</x:v>
      </x:c>
      <x:c r="G85" s="50" t="n">
        <x:v>5</x:v>
      </x:c>
      <x:c r="H85" s="51" t="n">
        <x:v>4</x:v>
      </x:c>
      <x:c r="I85" s="39" t="n">
        <x:f>IF(OR(F85="",G85=""),"",F85+G85-1)</x:f>
        <x:v>65</x:v>
      </x:c>
      <x:c r="J85" s="41" t="n">
        <x:f>IF(OR(F85="",F85&lt;1,F85&gt;Calendar!$B$9),"",INDEX(Calendar!$A$16:$A$141,MATCH(F85,Calendar!$D$16:$D$141,0)))</x:f>
        <x:v>46412</x:v>
      </x:c>
      <x:c r="K85" s="41" t="n">
        <x:f>IF(OR(I85="",I85&lt;1,I85&gt;Calendar!$B$9),"",INDEX(Calendar!$A$16:$A$141,MATCH(I85,Calendar!$D$16:$D$141,0)))</x:f>
        <x:v>46416</x:v>
      </x:c>
      <x:c r="L85" s="53" t="n">
        <x:v>0</x:v>
      </x:c>
      <x:c r="M85" s="39" t="str">
        <x:f>IF(OR(F85="",G85="",H85=""),"Missing input",IF(OR(F85&lt;1,G85&lt;1,I85&gt;Calendar!$B$9),"Outside calendar",IF(F85&lt;MAX(INDEX($I$8:$I$157,MATCH("Q12",$A$8:$A$157,0))+1),"Dependency conflict","Scheduled")))</x:f>
        <x:v>Scheduled</x:v>
      </x:c>
      <x:c r="N85" s="45" t="n">
        <x:f>IF(OR($J85="",$K85=""),"",IF(SUMIFS(Calendar!$C$16:$C$141,Calendar!$A$16:$A$141,"&gt;="&amp;MAX(N$7,$J85),Calendar!$A$16:$A$141,"&lt;="&amp;MIN(N$7+4,$K85))=0,0,IF($H85="","EXT",SUMIFS(Calendar!$C$16:$C$141,Calendar!$A$16:$A$141,"&gt;="&amp;MAX(N$7,$J85),Calendar!$A$16:$A$141,"&lt;="&amp;MIN(N$7+4,$K85))*$H85/$G85)))</x:f>
        <x:v>0</x:v>
      </x:c>
      <x:c r="O85" s="45" t="n">
        <x:f>IF(OR($J85="",$K85=""),"",IF(SUMIFS(Calendar!$C$16:$C$141,Calendar!$A$16:$A$141,"&gt;="&amp;MAX(O$7,$J85),Calendar!$A$16:$A$141,"&lt;="&amp;MIN(O$7+4,$K85))=0,0,IF($H85="","EXT",SUMIFS(Calendar!$C$16:$C$141,Calendar!$A$16:$A$141,"&gt;="&amp;MAX(O$7,$J85),Calendar!$A$16:$A$141,"&lt;="&amp;MIN(O$7+4,$K85))*$H85/$G85)))</x:f>
        <x:v>0</x:v>
      </x:c>
      <x:c r="P85" s="45" t="n">
        <x:f>IF(OR($J85="",$K85=""),"",IF(SUMIFS(Calendar!$C$16:$C$141,Calendar!$A$16:$A$141,"&gt;="&amp;MAX(P$7,$J85),Calendar!$A$16:$A$141,"&lt;="&amp;MIN(P$7+4,$K85))=0,0,IF($H85="","EXT",SUMIFS(Calendar!$C$16:$C$141,Calendar!$A$16:$A$141,"&gt;="&amp;MAX(P$7,$J85),Calendar!$A$16:$A$141,"&lt;="&amp;MIN(P$7+4,$K85))*$H85/$G85)))</x:f>
        <x:v>0</x:v>
      </x:c>
      <x:c r="Q85" s="45" t="n">
        <x:f>IF(OR($J85="",$K85=""),"",IF(SUMIFS(Calendar!$C$16:$C$141,Calendar!$A$16:$A$141,"&gt;="&amp;MAX(Q$7,$J85),Calendar!$A$16:$A$141,"&lt;="&amp;MIN(Q$7+4,$K85))=0,0,IF($H85="","EXT",SUMIFS(Calendar!$C$16:$C$141,Calendar!$A$16:$A$141,"&gt;="&amp;MAX(Q$7,$J85),Calendar!$A$16:$A$141,"&lt;="&amp;MIN(Q$7+4,$K85))*$H85/$G85)))</x:f>
        <x:v>0</x:v>
      </x:c>
      <x:c r="R85" s="45" t="n">
        <x:f>IF(OR($J85="",$K85=""),"",IF(SUMIFS(Calendar!$C$16:$C$141,Calendar!$A$16:$A$141,"&gt;="&amp;MAX(R$7,$J85),Calendar!$A$16:$A$141,"&lt;="&amp;MIN(R$7+4,$K85))=0,0,IF($H85="","EXT",SUMIFS(Calendar!$C$16:$C$141,Calendar!$A$16:$A$141,"&gt;="&amp;MAX(R$7,$J85),Calendar!$A$16:$A$141,"&lt;="&amp;MIN(R$7+4,$K85))*$H85/$G85)))</x:f>
        <x:v>0</x:v>
      </x:c>
      <x:c r="S85" s="45" t="n">
        <x:f>IF(OR($J85="",$K85=""),"",IF(SUMIFS(Calendar!$C$16:$C$141,Calendar!$A$16:$A$141,"&gt;="&amp;MAX(S$7,$J85),Calendar!$A$16:$A$141,"&lt;="&amp;MIN(S$7+4,$K85))=0,0,IF($H85="","EXT",SUMIFS(Calendar!$C$16:$C$141,Calendar!$A$16:$A$141,"&gt;="&amp;MAX(S$7,$J85),Calendar!$A$16:$A$141,"&lt;="&amp;MIN(S$7+4,$K85))*$H85/$G85)))</x:f>
        <x:v>0</x:v>
      </x:c>
      <x:c r="T85" s="45" t="n">
        <x:f>IF(OR($J85="",$K85=""),"",IF(SUMIFS(Calendar!$C$16:$C$141,Calendar!$A$16:$A$141,"&gt;="&amp;MAX(T$7,$J85),Calendar!$A$16:$A$141,"&lt;="&amp;MIN(T$7+4,$K85))=0,0,IF($H85="","EXT",SUMIFS(Calendar!$C$16:$C$141,Calendar!$A$16:$A$141,"&gt;="&amp;MAX(T$7,$J85),Calendar!$A$16:$A$141,"&lt;="&amp;MIN(T$7+4,$K85))*$H85/$G85)))</x:f>
        <x:v>0</x:v>
      </x:c>
      <x:c r="U85" s="45" t="n">
        <x:f>IF(OR($J85="",$K85=""),"",IF(SUMIFS(Calendar!$C$16:$C$141,Calendar!$A$16:$A$141,"&gt;="&amp;MAX(U$7,$J85),Calendar!$A$16:$A$141,"&lt;="&amp;MIN(U$7+4,$K85))=0,0,IF($H85="","EXT",SUMIFS(Calendar!$C$16:$C$141,Calendar!$A$16:$A$141,"&gt;="&amp;MAX(U$7,$J85),Calendar!$A$16:$A$141,"&lt;="&amp;MIN(U$7+4,$K85))*$H85/$G85)))</x:f>
        <x:v>0</x:v>
      </x:c>
      <x:c r="V85" s="45" t="n">
        <x:f>IF(OR($J85="",$K85=""),"",IF(SUMIFS(Calendar!$C$16:$C$141,Calendar!$A$16:$A$141,"&gt;="&amp;MAX(V$7,$J85),Calendar!$A$16:$A$141,"&lt;="&amp;MIN(V$7+4,$K85))=0,0,IF($H85="","EXT",SUMIFS(Calendar!$C$16:$C$141,Calendar!$A$16:$A$141,"&gt;="&amp;MAX(V$7,$J85),Calendar!$A$16:$A$141,"&lt;="&amp;MIN(V$7+4,$K85))*$H85/$G85)))</x:f>
        <x:v>0</x:v>
      </x:c>
      <x:c r="W85" s="45" t="n">
        <x:f>IF(OR($J85="",$K85=""),"",IF(SUMIFS(Calendar!$C$16:$C$141,Calendar!$A$16:$A$141,"&gt;="&amp;MAX(W$7,$J85),Calendar!$A$16:$A$141,"&lt;="&amp;MIN(W$7+4,$K85))=0,0,IF($H85="","EXT",SUMIFS(Calendar!$C$16:$C$141,Calendar!$A$16:$A$141,"&gt;="&amp;MAX(W$7,$J85),Calendar!$A$16:$A$141,"&lt;="&amp;MIN(W$7+4,$K85))*$H85/$G85)))</x:f>
        <x:v>0</x:v>
      </x:c>
      <x:c r="X85" s="45" t="n">
        <x:f>IF(OR($J85="",$K85=""),"",IF(SUMIFS(Calendar!$C$16:$C$141,Calendar!$A$16:$A$141,"&gt;="&amp;MAX(X$7,$J85),Calendar!$A$16:$A$141,"&lt;="&amp;MIN(X$7+4,$K85))=0,0,IF($H85="","EXT",SUMIFS(Calendar!$C$16:$C$141,Calendar!$A$16:$A$141,"&gt;="&amp;MAX(X$7,$J85),Calendar!$A$16:$A$141,"&lt;="&amp;MIN(X$7+4,$K85))*$H85/$G85)))</x:f>
        <x:v>0</x:v>
      </x:c>
      <x:c r="Y85" s="45" t="n">
        <x:f>IF(OR($J85="",$K85=""),"",IF(SUMIFS(Calendar!$C$16:$C$141,Calendar!$A$16:$A$141,"&gt;="&amp;MAX(Y$7,$J85),Calendar!$A$16:$A$141,"&lt;="&amp;MIN(Y$7+4,$K85))=0,0,IF($H85="","EXT",SUMIFS(Calendar!$C$16:$C$141,Calendar!$A$16:$A$141,"&gt;="&amp;MAX(Y$7,$J85),Calendar!$A$16:$A$141,"&lt;="&amp;MIN(Y$7+4,$K85))*$H85/$G85)))</x:f>
        <x:v>0</x:v>
      </x:c>
      <x:c r="Z85" s="45" t="n">
        <x:f>IF(OR($J85="",$K85=""),"",IF(SUMIFS(Calendar!$C$16:$C$141,Calendar!$A$16:$A$141,"&gt;="&amp;MAX(Z$7,$J85),Calendar!$A$16:$A$141,"&lt;="&amp;MIN(Z$7+4,$K85))=0,0,IF($H85="","EXT",SUMIFS(Calendar!$C$16:$C$141,Calendar!$A$16:$A$141,"&gt;="&amp;MAX(Z$7,$J85),Calendar!$A$16:$A$141,"&lt;="&amp;MIN(Z$7+4,$K85))*$H85/$G85)))</x:f>
        <x:v>4</x:v>
      </x:c>
      <x:c r="AA85" s="45" t="n">
        <x:f>IF(OR($J85="",$K85=""),"",IF(SUMIFS(Calendar!$C$16:$C$141,Calendar!$A$16:$A$141,"&gt;="&amp;MAX(AA$7,$J85),Calendar!$A$16:$A$141,"&lt;="&amp;MIN(AA$7+4,$K85))=0,0,IF($H85="","EXT",SUMIFS(Calendar!$C$16:$C$141,Calendar!$A$16:$A$141,"&gt;="&amp;MAX(AA$7,$J85),Calendar!$A$16:$A$141,"&lt;="&amp;MIN(AA$7+4,$K85))*$H85/$G85)))</x:f>
        <x:v>0</x:v>
      </x:c>
      <x:c r="AB85" s="45" t="n">
        <x:f>IF(OR($J85="",$K85=""),"",IF(SUMIFS(Calendar!$C$16:$C$141,Calendar!$A$16:$A$141,"&gt;="&amp;MAX(AB$7,$J85),Calendar!$A$16:$A$141,"&lt;="&amp;MIN(AB$7+4,$K85))=0,0,IF($H85="","EXT",SUMIFS(Calendar!$C$16:$C$141,Calendar!$A$16:$A$141,"&gt;="&amp;MAX(AB$7,$J85),Calendar!$A$16:$A$141,"&lt;="&amp;MIN(AB$7+4,$K85))*$H85/$G85)))</x:f>
        <x:v>0</x:v>
      </x:c>
      <x:c r="AC85" s="45" t="n">
        <x:f>IF(OR($J85="",$K85=""),"",IF(SUMIFS(Calendar!$C$16:$C$141,Calendar!$A$16:$A$141,"&gt;="&amp;MAX(AC$7,$J85),Calendar!$A$16:$A$141,"&lt;="&amp;MIN(AC$7+4,$K85))=0,0,IF($H85="","EXT",SUMIFS(Calendar!$C$16:$C$141,Calendar!$A$16:$A$141,"&gt;="&amp;MAX(AC$7,$J85),Calendar!$A$16:$A$141,"&lt;="&amp;MIN(AC$7+4,$K85))*$H85/$G85)))</x:f>
        <x:v>0</x:v>
      </x:c>
      <x:c r="AD85" s="45" t="n">
        <x:f>IF(OR($J85="",$K85=""),"",IF(SUMIFS(Calendar!$C$16:$C$141,Calendar!$A$16:$A$141,"&gt;="&amp;MAX(AD$7,$J85),Calendar!$A$16:$A$141,"&lt;="&amp;MIN(AD$7+4,$K85))=0,0,IF($H85="","EXT",SUMIFS(Calendar!$C$16:$C$141,Calendar!$A$16:$A$141,"&gt;="&amp;MAX(AD$7,$J85),Calendar!$A$16:$A$141,"&lt;="&amp;MIN(AD$7+4,$K85))*$H85/$G85)))</x:f>
        <x:v>0</x:v>
      </x:c>
      <x:c r="AE85" s="45" t="n">
        <x:f>IF(OR($J85="",$K85=""),"",IF(SUMIFS(Calendar!$C$16:$C$141,Calendar!$A$16:$A$141,"&gt;="&amp;MAX(AE$7,$J85),Calendar!$A$16:$A$141,"&lt;="&amp;MIN(AE$7+4,$K85))=0,0,IF($H85="","EXT",SUMIFS(Calendar!$C$16:$C$141,Calendar!$A$16:$A$141,"&gt;="&amp;MAX(AE$7,$J85),Calendar!$A$16:$A$141,"&lt;="&amp;MIN(AE$7+4,$K85))*$H85/$G85)))</x:f>
        <x:v>0</x:v>
      </x:c>
      <x:c r="AF85" s="8" t="n">
        <x:f>IF(OR(M85&lt;&gt;"Scheduled",INDEX('Team and Gates'!$C$7:$C$13,MATCH($D85,'Team and Gates'!$A$7:$A$13,0))=""),"CHECK",SUM(N85:AE85)*INDEX('Team and Gates'!$C$7:$C$13,MATCH($D85,'Team and Gates'!$A$7:$A$13,0)))</x:f>
        <x:v>1440</x:v>
      </x:c>
      <x:c r="AG85" s="46" t="str">
        <x:v>SIT evidence, defect retests and UAT-readiness artifacts are recorded; formal AM UAT is after the holiday.</x:v>
      </x:c>
      <x:c r="AH85" s="46" t="str">
        <x:v>Protect extended SIT, tuning and post-holiday UAT time. If quality gates slip, reduce scope or replan; do not assume more AI coding fixes quality.</x:v>
      </x:c>
    </x:row>
    <x:row r="86" ht="45" customHeight="1">
      <x:c r="A86" s="2" t="str">
        <x:v>Q14</x:v>
      </x:c>
      <x:c r="B86" s="2" t="str">
        <x:v>Technical QA</x:v>
      </x:c>
      <x:c r="C86" s="46" t="str">
        <x:v>UAT environment smoke and pre-holiday readiness checkpoint</x:v>
      </x:c>
      <x:c r="D86" s="32" t="str">
        <x:v>Tester 1</x:v>
      </x:c>
      <x:c r="E86" s="46" t="str">
        <x:v>Q13</x:v>
      </x:c>
      <x:c r="F86" s="50" t="n">
        <x:v>66</x:v>
      </x:c>
      <x:c r="G86" s="50" t="n">
        <x:v>2</x:v>
      </x:c>
      <x:c r="H86" s="51" t="n">
        <x:v>1.5</x:v>
      </x:c>
      <x:c r="I86" s="2" t="n">
        <x:f>IF(OR(F86="",G86=""),"",F86+G86-1)</x:f>
        <x:v>67</x:v>
      </x:c>
      <x:c r="J86" s="5" t="n">
        <x:f>IF(OR(F86="",F86&lt;1,F86&gt;Calendar!$B$9),"",INDEX(Calendar!$A$16:$A$141,MATCH(F86,Calendar!$D$16:$D$141,0)))</x:f>
        <x:v>46419</x:v>
      </x:c>
      <x:c r="K86" s="5" t="n">
        <x:f>IF(OR(I86="",I86&lt;1,I86&gt;Calendar!$B$9),"",INDEX(Calendar!$A$16:$A$141,MATCH(I86,Calendar!$D$16:$D$141,0)))</x:f>
        <x:v>46420</x:v>
      </x:c>
      <x:c r="L86" s="53" t="n">
        <x:v>0</x:v>
      </x:c>
      <x:c r="M86" s="2" t="str">
        <x:f>IF(OR(F86="",G86="",H86=""),"Missing input",IF(OR(F86&lt;1,G86&lt;1,I86&gt;Calendar!$B$9),"Outside calendar",IF(F86&lt;MAX(INDEX($I$8:$I$157,MATCH("Q13",$A$8:$A$157,0))+1),"Dependency conflict","Scheduled")))</x:f>
        <x:v>Scheduled</x:v>
      </x:c>
      <x:c r="N86" s="45" t="n">
        <x:f>IF(OR($J86="",$K86=""),"",IF(SUMIFS(Calendar!$C$16:$C$141,Calendar!$A$16:$A$141,"&gt;="&amp;MAX(N$7,$J86),Calendar!$A$16:$A$141,"&lt;="&amp;MIN(N$7+4,$K86))=0,0,IF($H86="","EXT",SUMIFS(Calendar!$C$16:$C$141,Calendar!$A$16:$A$141,"&gt;="&amp;MAX(N$7,$J86),Calendar!$A$16:$A$141,"&lt;="&amp;MIN(N$7+4,$K86))*$H86/$G86)))</x:f>
        <x:v>0</x:v>
      </x:c>
      <x:c r="O86" s="45" t="n">
        <x:f>IF(OR($J86="",$K86=""),"",IF(SUMIFS(Calendar!$C$16:$C$141,Calendar!$A$16:$A$141,"&gt;="&amp;MAX(O$7,$J86),Calendar!$A$16:$A$141,"&lt;="&amp;MIN(O$7+4,$K86))=0,0,IF($H86="","EXT",SUMIFS(Calendar!$C$16:$C$141,Calendar!$A$16:$A$141,"&gt;="&amp;MAX(O$7,$J86),Calendar!$A$16:$A$141,"&lt;="&amp;MIN(O$7+4,$K86))*$H86/$G86)))</x:f>
        <x:v>0</x:v>
      </x:c>
      <x:c r="P86" s="45" t="n">
        <x:f>IF(OR($J86="",$K86=""),"",IF(SUMIFS(Calendar!$C$16:$C$141,Calendar!$A$16:$A$141,"&gt;="&amp;MAX(P$7,$J86),Calendar!$A$16:$A$141,"&lt;="&amp;MIN(P$7+4,$K86))=0,0,IF($H86="","EXT",SUMIFS(Calendar!$C$16:$C$141,Calendar!$A$16:$A$141,"&gt;="&amp;MAX(P$7,$J86),Calendar!$A$16:$A$141,"&lt;="&amp;MIN(P$7+4,$K86))*$H86/$G86)))</x:f>
        <x:v>0</x:v>
      </x:c>
      <x:c r="Q86" s="45" t="n">
        <x:f>IF(OR($J86="",$K86=""),"",IF(SUMIFS(Calendar!$C$16:$C$141,Calendar!$A$16:$A$141,"&gt;="&amp;MAX(Q$7,$J86),Calendar!$A$16:$A$141,"&lt;="&amp;MIN(Q$7+4,$K86))=0,0,IF($H86="","EXT",SUMIFS(Calendar!$C$16:$C$141,Calendar!$A$16:$A$141,"&gt;="&amp;MAX(Q$7,$J86),Calendar!$A$16:$A$141,"&lt;="&amp;MIN(Q$7+4,$K86))*$H86/$G86)))</x:f>
        <x:v>0</x:v>
      </x:c>
      <x:c r="R86" s="45" t="n">
        <x:f>IF(OR($J86="",$K86=""),"",IF(SUMIFS(Calendar!$C$16:$C$141,Calendar!$A$16:$A$141,"&gt;="&amp;MAX(R$7,$J86),Calendar!$A$16:$A$141,"&lt;="&amp;MIN(R$7+4,$K86))=0,0,IF($H86="","EXT",SUMIFS(Calendar!$C$16:$C$141,Calendar!$A$16:$A$141,"&gt;="&amp;MAX(R$7,$J86),Calendar!$A$16:$A$141,"&lt;="&amp;MIN(R$7+4,$K86))*$H86/$G86)))</x:f>
        <x:v>0</x:v>
      </x:c>
      <x:c r="S86" s="45" t="n">
        <x:f>IF(OR($J86="",$K86=""),"",IF(SUMIFS(Calendar!$C$16:$C$141,Calendar!$A$16:$A$141,"&gt;="&amp;MAX(S$7,$J86),Calendar!$A$16:$A$141,"&lt;="&amp;MIN(S$7+4,$K86))=0,0,IF($H86="","EXT",SUMIFS(Calendar!$C$16:$C$141,Calendar!$A$16:$A$141,"&gt;="&amp;MAX(S$7,$J86),Calendar!$A$16:$A$141,"&lt;="&amp;MIN(S$7+4,$K86))*$H86/$G86)))</x:f>
        <x:v>0</x:v>
      </x:c>
      <x:c r="T86" s="45" t="n">
        <x:f>IF(OR($J86="",$K86=""),"",IF(SUMIFS(Calendar!$C$16:$C$141,Calendar!$A$16:$A$141,"&gt;="&amp;MAX(T$7,$J86),Calendar!$A$16:$A$141,"&lt;="&amp;MIN(T$7+4,$K86))=0,0,IF($H86="","EXT",SUMIFS(Calendar!$C$16:$C$141,Calendar!$A$16:$A$141,"&gt;="&amp;MAX(T$7,$J86),Calendar!$A$16:$A$141,"&lt;="&amp;MIN(T$7+4,$K86))*$H86/$G86)))</x:f>
        <x:v>0</x:v>
      </x:c>
      <x:c r="U86" s="45" t="n">
        <x:f>IF(OR($J86="",$K86=""),"",IF(SUMIFS(Calendar!$C$16:$C$141,Calendar!$A$16:$A$141,"&gt;="&amp;MAX(U$7,$J86),Calendar!$A$16:$A$141,"&lt;="&amp;MIN(U$7+4,$K86))=0,0,IF($H86="","EXT",SUMIFS(Calendar!$C$16:$C$141,Calendar!$A$16:$A$141,"&gt;="&amp;MAX(U$7,$J86),Calendar!$A$16:$A$141,"&lt;="&amp;MIN(U$7+4,$K86))*$H86/$G86)))</x:f>
        <x:v>0</x:v>
      </x:c>
      <x:c r="V86" s="45" t="n">
        <x:f>IF(OR($J86="",$K86=""),"",IF(SUMIFS(Calendar!$C$16:$C$141,Calendar!$A$16:$A$141,"&gt;="&amp;MAX(V$7,$J86),Calendar!$A$16:$A$141,"&lt;="&amp;MIN(V$7+4,$K86))=0,0,IF($H86="","EXT",SUMIFS(Calendar!$C$16:$C$141,Calendar!$A$16:$A$141,"&gt;="&amp;MAX(V$7,$J86),Calendar!$A$16:$A$141,"&lt;="&amp;MIN(V$7+4,$K86))*$H86/$G86)))</x:f>
        <x:v>0</x:v>
      </x:c>
      <x:c r="W86" s="45" t="n">
        <x:f>IF(OR($J86="",$K86=""),"",IF(SUMIFS(Calendar!$C$16:$C$141,Calendar!$A$16:$A$141,"&gt;="&amp;MAX(W$7,$J86),Calendar!$A$16:$A$141,"&lt;="&amp;MIN(W$7+4,$K86))=0,0,IF($H86="","EXT",SUMIFS(Calendar!$C$16:$C$141,Calendar!$A$16:$A$141,"&gt;="&amp;MAX(W$7,$J86),Calendar!$A$16:$A$141,"&lt;="&amp;MIN(W$7+4,$K86))*$H86/$G86)))</x:f>
        <x:v>0</x:v>
      </x:c>
      <x:c r="X86" s="45" t="n">
        <x:f>IF(OR($J86="",$K86=""),"",IF(SUMIFS(Calendar!$C$16:$C$141,Calendar!$A$16:$A$141,"&gt;="&amp;MAX(X$7,$J86),Calendar!$A$16:$A$141,"&lt;="&amp;MIN(X$7+4,$K86))=0,0,IF($H86="","EXT",SUMIFS(Calendar!$C$16:$C$141,Calendar!$A$16:$A$141,"&gt;="&amp;MAX(X$7,$J86),Calendar!$A$16:$A$141,"&lt;="&amp;MIN(X$7+4,$K86))*$H86/$G86)))</x:f>
        <x:v>0</x:v>
      </x:c>
      <x:c r="Y86" s="45" t="n">
        <x:f>IF(OR($J86="",$K86=""),"",IF(SUMIFS(Calendar!$C$16:$C$141,Calendar!$A$16:$A$141,"&gt;="&amp;MAX(Y$7,$J86),Calendar!$A$16:$A$141,"&lt;="&amp;MIN(Y$7+4,$K86))=0,0,IF($H86="","EXT",SUMIFS(Calendar!$C$16:$C$141,Calendar!$A$16:$A$141,"&gt;="&amp;MAX(Y$7,$J86),Calendar!$A$16:$A$141,"&lt;="&amp;MIN(Y$7+4,$K86))*$H86/$G86)))</x:f>
        <x:v>0</x:v>
      </x:c>
      <x:c r="Z86" s="45" t="n">
        <x:f>IF(OR($J86="",$K86=""),"",IF(SUMIFS(Calendar!$C$16:$C$141,Calendar!$A$16:$A$141,"&gt;="&amp;MAX(Z$7,$J86),Calendar!$A$16:$A$141,"&lt;="&amp;MIN(Z$7+4,$K86))=0,0,IF($H86="","EXT",SUMIFS(Calendar!$C$16:$C$141,Calendar!$A$16:$A$141,"&gt;="&amp;MAX(Z$7,$J86),Calendar!$A$16:$A$141,"&lt;="&amp;MIN(Z$7+4,$K86))*$H86/$G86)))</x:f>
        <x:v>0</x:v>
      </x:c>
      <x:c r="AA86" s="45" t="n">
        <x:f>IF(OR($J86="",$K86=""),"",IF(SUMIFS(Calendar!$C$16:$C$141,Calendar!$A$16:$A$141,"&gt;="&amp;MAX(AA$7,$J86),Calendar!$A$16:$A$141,"&lt;="&amp;MIN(AA$7+4,$K86))=0,0,IF($H86="","EXT",SUMIFS(Calendar!$C$16:$C$141,Calendar!$A$16:$A$141,"&gt;="&amp;MAX(AA$7,$J86),Calendar!$A$16:$A$141,"&lt;="&amp;MIN(AA$7+4,$K86))*$H86/$G86)))</x:f>
        <x:v>1.5</x:v>
      </x:c>
      <x:c r="AB86" s="45" t="n">
        <x:f>IF(OR($J86="",$K86=""),"",IF(SUMIFS(Calendar!$C$16:$C$141,Calendar!$A$16:$A$141,"&gt;="&amp;MAX(AB$7,$J86),Calendar!$A$16:$A$141,"&lt;="&amp;MIN(AB$7+4,$K86))=0,0,IF($H86="","EXT",SUMIFS(Calendar!$C$16:$C$141,Calendar!$A$16:$A$141,"&gt;="&amp;MAX(AB$7,$J86),Calendar!$A$16:$A$141,"&lt;="&amp;MIN(AB$7+4,$K86))*$H86/$G86)))</x:f>
        <x:v>0</x:v>
      </x:c>
      <x:c r="AC86" s="45" t="n">
        <x:f>IF(OR($J86="",$K86=""),"",IF(SUMIFS(Calendar!$C$16:$C$141,Calendar!$A$16:$A$141,"&gt;="&amp;MAX(AC$7,$J86),Calendar!$A$16:$A$141,"&lt;="&amp;MIN(AC$7+4,$K86))=0,0,IF($H86="","EXT",SUMIFS(Calendar!$C$16:$C$141,Calendar!$A$16:$A$141,"&gt;="&amp;MAX(AC$7,$J86),Calendar!$A$16:$A$141,"&lt;="&amp;MIN(AC$7+4,$K86))*$H86/$G86)))</x:f>
        <x:v>0</x:v>
      </x:c>
      <x:c r="AD86" s="45" t="n">
        <x:f>IF(OR($J86="",$K86=""),"",IF(SUMIFS(Calendar!$C$16:$C$141,Calendar!$A$16:$A$141,"&gt;="&amp;MAX(AD$7,$J86),Calendar!$A$16:$A$141,"&lt;="&amp;MIN(AD$7+4,$K86))=0,0,IF($H86="","EXT",SUMIFS(Calendar!$C$16:$C$141,Calendar!$A$16:$A$141,"&gt;="&amp;MAX(AD$7,$J86),Calendar!$A$16:$A$141,"&lt;="&amp;MIN(AD$7+4,$K86))*$H86/$G86)))</x:f>
        <x:v>0</x:v>
      </x:c>
      <x:c r="AE86" s="45" t="n">
        <x:f>IF(OR($J86="",$K86=""),"",IF(SUMIFS(Calendar!$C$16:$C$141,Calendar!$A$16:$A$141,"&gt;="&amp;MAX(AE$7,$J86),Calendar!$A$16:$A$141,"&lt;="&amp;MIN(AE$7+4,$K86))=0,0,IF($H86="","EXT",SUMIFS(Calendar!$C$16:$C$141,Calendar!$A$16:$A$141,"&gt;="&amp;MAX(AE$7,$J86),Calendar!$A$16:$A$141,"&lt;="&amp;MIN(AE$7+4,$K86))*$H86/$G86)))</x:f>
        <x:v>0</x:v>
      </x:c>
      <x:c r="AF86" s="8" t="n">
        <x:f>IF(OR(M86&lt;&gt;"Scheduled",INDEX('Team and Gates'!$C$7:$C$13,MATCH($D86,'Team and Gates'!$A$7:$A$13,0))=""),"CHECK",SUM(N86:AE86)*INDEX('Team and Gates'!$C$7:$C$13,MATCH($D86,'Team and Gates'!$A$7:$A$13,0)))</x:f>
        <x:v>540</x:v>
      </x:c>
      <x:c r="AG86" s="46" t="str">
        <x:v>Qualified release artifacts, operational checks and named handover evidence are recorded.</x:v>
      </x:c>
      <x:c r="AH86" s="46" t="str"/>
    </x:row>
    <x:row r="87" ht="45" customHeight="1">
      <x:c r="A87" s="39" t="str">
        <x:v>Q16</x:v>
      </x:c>
      <x:c r="B87" s="39" t="str">
        <x:v>Technical QA</x:v>
      </x:c>
      <x:c r="C87" s="47" t="str">
        <x:v>Formal UAT support, full regression and technical exit evidence</x:v>
      </x:c>
      <x:c r="D87" s="32" t="str">
        <x:v>Tester 1</x:v>
      </x:c>
      <x:c r="E87" s="47" t="str">
        <x:v>Q14</x:v>
      </x:c>
      <x:c r="F87" s="50" t="n">
        <x:v>68</x:v>
      </x:c>
      <x:c r="G87" s="50" t="n">
        <x:v>5</x:v>
      </x:c>
      <x:c r="H87" s="51" t="n">
        <x:v>4</x:v>
      </x:c>
      <x:c r="I87" s="39" t="n">
        <x:f>IF(OR(F87="",G87=""),"",F87+G87-1)</x:f>
        <x:v>72</x:v>
      </x:c>
      <x:c r="J87" s="41" t="n">
        <x:f>IF(OR(F87="",F87&lt;1,F87&gt;Calendar!$B$9),"",INDEX(Calendar!$A$16:$A$141,MATCH(F87,Calendar!$D$16:$D$141,0)))</x:f>
        <x:v>46433</x:v>
      </x:c>
      <x:c r="K87" s="41" t="n">
        <x:f>IF(OR(I87="",I87&lt;1,I87&gt;Calendar!$B$9),"",INDEX(Calendar!$A$16:$A$141,MATCH(I87,Calendar!$D$16:$D$141,0)))</x:f>
        <x:v>46437</x:v>
      </x:c>
      <x:c r="L87" s="53" t="n">
        <x:v>0</x:v>
      </x:c>
      <x:c r="M87" s="39" t="str">
        <x:f>IF(OR(F87="",G87="",H87=""),"Missing input",IF(OR(F87&lt;1,G87&lt;1,I87&gt;Calendar!$B$9),"Outside calendar",IF(F87&lt;MAX(INDEX($I$8:$I$157,MATCH("Q14",$A$8:$A$157,0))+1),"Dependency conflict","Scheduled")))</x:f>
        <x:v>Scheduled</x:v>
      </x:c>
      <x:c r="N87" s="45" t="n">
        <x:f>IF(OR($J87="",$K87=""),"",IF(SUMIFS(Calendar!$C$16:$C$141,Calendar!$A$16:$A$141,"&gt;="&amp;MAX(N$7,$J87),Calendar!$A$16:$A$141,"&lt;="&amp;MIN(N$7+4,$K87))=0,0,IF($H87="","EXT",SUMIFS(Calendar!$C$16:$C$141,Calendar!$A$16:$A$141,"&gt;="&amp;MAX(N$7,$J87),Calendar!$A$16:$A$141,"&lt;="&amp;MIN(N$7+4,$K87))*$H87/$G87)))</x:f>
        <x:v>0</x:v>
      </x:c>
      <x:c r="O87" s="45" t="n">
        <x:f>IF(OR($J87="",$K87=""),"",IF(SUMIFS(Calendar!$C$16:$C$141,Calendar!$A$16:$A$141,"&gt;="&amp;MAX(O$7,$J87),Calendar!$A$16:$A$141,"&lt;="&amp;MIN(O$7+4,$K87))=0,0,IF($H87="","EXT",SUMIFS(Calendar!$C$16:$C$141,Calendar!$A$16:$A$141,"&gt;="&amp;MAX(O$7,$J87),Calendar!$A$16:$A$141,"&lt;="&amp;MIN(O$7+4,$K87))*$H87/$G87)))</x:f>
        <x:v>0</x:v>
      </x:c>
      <x:c r="P87" s="45" t="n">
        <x:f>IF(OR($J87="",$K87=""),"",IF(SUMIFS(Calendar!$C$16:$C$141,Calendar!$A$16:$A$141,"&gt;="&amp;MAX(P$7,$J87),Calendar!$A$16:$A$141,"&lt;="&amp;MIN(P$7+4,$K87))=0,0,IF($H87="","EXT",SUMIFS(Calendar!$C$16:$C$141,Calendar!$A$16:$A$141,"&gt;="&amp;MAX(P$7,$J87),Calendar!$A$16:$A$141,"&lt;="&amp;MIN(P$7+4,$K87))*$H87/$G87)))</x:f>
        <x:v>0</x:v>
      </x:c>
      <x:c r="Q87" s="45" t="n">
        <x:f>IF(OR($J87="",$K87=""),"",IF(SUMIFS(Calendar!$C$16:$C$141,Calendar!$A$16:$A$141,"&gt;="&amp;MAX(Q$7,$J87),Calendar!$A$16:$A$141,"&lt;="&amp;MIN(Q$7+4,$K87))=0,0,IF($H87="","EXT",SUMIFS(Calendar!$C$16:$C$141,Calendar!$A$16:$A$141,"&gt;="&amp;MAX(Q$7,$J87),Calendar!$A$16:$A$141,"&lt;="&amp;MIN(Q$7+4,$K87))*$H87/$G87)))</x:f>
        <x:v>0</x:v>
      </x:c>
      <x:c r="R87" s="45" t="n">
        <x:f>IF(OR($J87="",$K87=""),"",IF(SUMIFS(Calendar!$C$16:$C$141,Calendar!$A$16:$A$141,"&gt;="&amp;MAX(R$7,$J87),Calendar!$A$16:$A$141,"&lt;="&amp;MIN(R$7+4,$K87))=0,0,IF($H87="","EXT",SUMIFS(Calendar!$C$16:$C$141,Calendar!$A$16:$A$141,"&gt;="&amp;MAX(R$7,$J87),Calendar!$A$16:$A$141,"&lt;="&amp;MIN(R$7+4,$K87))*$H87/$G87)))</x:f>
        <x:v>0</x:v>
      </x:c>
      <x:c r="S87" s="45" t="n">
        <x:f>IF(OR($J87="",$K87=""),"",IF(SUMIFS(Calendar!$C$16:$C$141,Calendar!$A$16:$A$141,"&gt;="&amp;MAX(S$7,$J87),Calendar!$A$16:$A$141,"&lt;="&amp;MIN(S$7+4,$K87))=0,0,IF($H87="","EXT",SUMIFS(Calendar!$C$16:$C$141,Calendar!$A$16:$A$141,"&gt;="&amp;MAX(S$7,$J87),Calendar!$A$16:$A$141,"&lt;="&amp;MIN(S$7+4,$K87))*$H87/$G87)))</x:f>
        <x:v>0</x:v>
      </x:c>
      <x:c r="T87" s="45" t="n">
        <x:f>IF(OR($J87="",$K87=""),"",IF(SUMIFS(Calendar!$C$16:$C$141,Calendar!$A$16:$A$141,"&gt;="&amp;MAX(T$7,$J87),Calendar!$A$16:$A$141,"&lt;="&amp;MIN(T$7+4,$K87))=0,0,IF($H87="","EXT",SUMIFS(Calendar!$C$16:$C$141,Calendar!$A$16:$A$141,"&gt;="&amp;MAX(T$7,$J87),Calendar!$A$16:$A$141,"&lt;="&amp;MIN(T$7+4,$K87))*$H87/$G87)))</x:f>
        <x:v>0</x:v>
      </x:c>
      <x:c r="U87" s="45" t="n">
        <x:f>IF(OR($J87="",$K87=""),"",IF(SUMIFS(Calendar!$C$16:$C$141,Calendar!$A$16:$A$141,"&gt;="&amp;MAX(U$7,$J87),Calendar!$A$16:$A$141,"&lt;="&amp;MIN(U$7+4,$K87))=0,0,IF($H87="","EXT",SUMIFS(Calendar!$C$16:$C$141,Calendar!$A$16:$A$141,"&gt;="&amp;MAX(U$7,$J87),Calendar!$A$16:$A$141,"&lt;="&amp;MIN(U$7+4,$K87))*$H87/$G87)))</x:f>
        <x:v>0</x:v>
      </x:c>
      <x:c r="V87" s="45" t="n">
        <x:f>IF(OR($J87="",$K87=""),"",IF(SUMIFS(Calendar!$C$16:$C$141,Calendar!$A$16:$A$141,"&gt;="&amp;MAX(V$7,$J87),Calendar!$A$16:$A$141,"&lt;="&amp;MIN(V$7+4,$K87))=0,0,IF($H87="","EXT",SUMIFS(Calendar!$C$16:$C$141,Calendar!$A$16:$A$141,"&gt;="&amp;MAX(V$7,$J87),Calendar!$A$16:$A$141,"&lt;="&amp;MIN(V$7+4,$K87))*$H87/$G87)))</x:f>
        <x:v>0</x:v>
      </x:c>
      <x:c r="W87" s="45" t="n">
        <x:f>IF(OR($J87="",$K87=""),"",IF(SUMIFS(Calendar!$C$16:$C$141,Calendar!$A$16:$A$141,"&gt;="&amp;MAX(W$7,$J87),Calendar!$A$16:$A$141,"&lt;="&amp;MIN(W$7+4,$K87))=0,0,IF($H87="","EXT",SUMIFS(Calendar!$C$16:$C$141,Calendar!$A$16:$A$141,"&gt;="&amp;MAX(W$7,$J87),Calendar!$A$16:$A$141,"&lt;="&amp;MIN(W$7+4,$K87))*$H87/$G87)))</x:f>
        <x:v>0</x:v>
      </x:c>
      <x:c r="X87" s="45" t="n">
        <x:f>IF(OR($J87="",$K87=""),"",IF(SUMIFS(Calendar!$C$16:$C$141,Calendar!$A$16:$A$141,"&gt;="&amp;MAX(X$7,$J87),Calendar!$A$16:$A$141,"&lt;="&amp;MIN(X$7+4,$K87))=0,0,IF($H87="","EXT",SUMIFS(Calendar!$C$16:$C$141,Calendar!$A$16:$A$141,"&gt;="&amp;MAX(X$7,$J87),Calendar!$A$16:$A$141,"&lt;="&amp;MIN(X$7+4,$K87))*$H87/$G87)))</x:f>
        <x:v>0</x:v>
      </x:c>
      <x:c r="Y87" s="45" t="n">
        <x:f>IF(OR($J87="",$K87=""),"",IF(SUMIFS(Calendar!$C$16:$C$141,Calendar!$A$16:$A$141,"&gt;="&amp;MAX(Y$7,$J87),Calendar!$A$16:$A$141,"&lt;="&amp;MIN(Y$7+4,$K87))=0,0,IF($H87="","EXT",SUMIFS(Calendar!$C$16:$C$141,Calendar!$A$16:$A$141,"&gt;="&amp;MAX(Y$7,$J87),Calendar!$A$16:$A$141,"&lt;="&amp;MIN(Y$7+4,$K87))*$H87/$G87)))</x:f>
        <x:v>0</x:v>
      </x:c>
      <x:c r="Z87" s="45" t="n">
        <x:f>IF(OR($J87="",$K87=""),"",IF(SUMIFS(Calendar!$C$16:$C$141,Calendar!$A$16:$A$141,"&gt;="&amp;MAX(Z$7,$J87),Calendar!$A$16:$A$141,"&lt;="&amp;MIN(Z$7+4,$K87))=0,0,IF($H87="","EXT",SUMIFS(Calendar!$C$16:$C$141,Calendar!$A$16:$A$141,"&gt;="&amp;MAX(Z$7,$J87),Calendar!$A$16:$A$141,"&lt;="&amp;MIN(Z$7+4,$K87))*$H87/$G87)))</x:f>
        <x:v>0</x:v>
      </x:c>
      <x:c r="AA87" s="45" t="n">
        <x:f>IF(OR($J87="",$K87=""),"",IF(SUMIFS(Calendar!$C$16:$C$141,Calendar!$A$16:$A$141,"&gt;="&amp;MAX(AA$7,$J87),Calendar!$A$16:$A$141,"&lt;="&amp;MIN(AA$7+4,$K87))=0,0,IF($H87="","EXT",SUMIFS(Calendar!$C$16:$C$141,Calendar!$A$16:$A$141,"&gt;="&amp;MAX(AA$7,$J87),Calendar!$A$16:$A$141,"&lt;="&amp;MIN(AA$7+4,$K87))*$H87/$G87)))</x:f>
        <x:v>0</x:v>
      </x:c>
      <x:c r="AB87" s="45" t="n">
        <x:f>IF(OR($J87="",$K87=""),"",IF(SUMIFS(Calendar!$C$16:$C$141,Calendar!$A$16:$A$141,"&gt;="&amp;MAX(AB$7,$J87),Calendar!$A$16:$A$141,"&lt;="&amp;MIN(AB$7+4,$K87))=0,0,IF($H87="","EXT",SUMIFS(Calendar!$C$16:$C$141,Calendar!$A$16:$A$141,"&gt;="&amp;MAX(AB$7,$J87),Calendar!$A$16:$A$141,"&lt;="&amp;MIN(AB$7+4,$K87))*$H87/$G87)))</x:f>
        <x:v>0</x:v>
      </x:c>
      <x:c r="AC87" s="45" t="n">
        <x:f>IF(OR($J87="",$K87=""),"",IF(SUMIFS(Calendar!$C$16:$C$141,Calendar!$A$16:$A$141,"&gt;="&amp;MAX(AC$7,$J87),Calendar!$A$16:$A$141,"&lt;="&amp;MIN(AC$7+4,$K87))=0,0,IF($H87="","EXT",SUMIFS(Calendar!$C$16:$C$141,Calendar!$A$16:$A$141,"&gt;="&amp;MAX(AC$7,$J87),Calendar!$A$16:$A$141,"&lt;="&amp;MIN(AC$7+4,$K87))*$H87/$G87)))</x:f>
        <x:v>4</x:v>
      </x:c>
      <x:c r="AD87" s="45" t="n">
        <x:f>IF(OR($J87="",$K87=""),"",IF(SUMIFS(Calendar!$C$16:$C$141,Calendar!$A$16:$A$141,"&gt;="&amp;MAX(AD$7,$J87),Calendar!$A$16:$A$141,"&lt;="&amp;MIN(AD$7+4,$K87))=0,0,IF($H87="","EXT",SUMIFS(Calendar!$C$16:$C$141,Calendar!$A$16:$A$141,"&gt;="&amp;MAX(AD$7,$J87),Calendar!$A$16:$A$141,"&lt;="&amp;MIN(AD$7+4,$K87))*$H87/$G87)))</x:f>
        <x:v>0</x:v>
      </x:c>
      <x:c r="AE87" s="45" t="n">
        <x:f>IF(OR($J87="",$K87=""),"",IF(SUMIFS(Calendar!$C$16:$C$141,Calendar!$A$16:$A$141,"&gt;="&amp;MAX(AE$7,$J87),Calendar!$A$16:$A$141,"&lt;="&amp;MIN(AE$7+4,$K87))=0,0,IF($H87="","EXT",SUMIFS(Calendar!$C$16:$C$141,Calendar!$A$16:$A$141,"&gt;="&amp;MAX(AE$7,$J87),Calendar!$A$16:$A$141,"&lt;="&amp;MIN(AE$7+4,$K87))*$H87/$G87)))</x:f>
        <x:v>0</x:v>
      </x:c>
      <x:c r="AF87" s="8" t="n">
        <x:f>IF(OR(M87&lt;&gt;"Scheduled",INDEX('Team and Gates'!$C$7:$C$13,MATCH($D87,'Team and Gates'!$A$7:$A$13,0))=""),"CHECK",SUM(N87:AE87)*INDEX('Team and Gates'!$C$7:$C$13,MATCH($D87,'Team and Gates'!$A$7:$A$13,0)))</x:f>
        <x:v>1440</x:v>
      </x:c>
      <x:c r="AG87" s="46" t="str">
        <x:v>Pilot AMs execute first-week UAT scenarios; defects and affected regression/AI retests are recorded for final acceptance on Feb 24. Recheck AI integration contracts, permissions, errors and send safeguards for every changed candidate.</x:v>
      </x:c>
      <x:c r="AH87" s="46" t="str"/>
    </x:row>
    <x:row r="88" ht="45" customHeight="1">
      <x:c r="A88" s="2" t="str">
        <x:v>Q17</x:v>
      </x:c>
      <x:c r="B88" s="2" t="str">
        <x:v>Technical QA</x:v>
      </x:c>
      <x:c r="C88" s="46" t="str">
        <x:v>Final UAT technical regression, security and rollback evidence</x:v>
      </x:c>
      <x:c r="D88" s="32" t="str">
        <x:v>Tester 1</x:v>
      </x:c>
      <x:c r="E88" s="46" t="str">
        <x:v>Q16, U16</x:v>
      </x:c>
      <x:c r="F88" s="50" t="n">
        <x:v>73</x:v>
      </x:c>
      <x:c r="G88" s="50" t="n">
        <x:v>3</x:v>
      </x:c>
      <x:c r="H88" s="51" t="n">
        <x:v>2.4</x:v>
      </x:c>
      <x:c r="I88" s="2" t="n">
        <x:f>IF(OR(F88="",G88=""),"",F88+G88-1)</x:f>
        <x:v>75</x:v>
      </x:c>
      <x:c r="J88" s="5" t="n">
        <x:f>IF(OR(F88="",F88&lt;1,F88&gt;Calendar!$B$9),"",INDEX(Calendar!$A$16:$A$141,MATCH(F88,Calendar!$D$16:$D$141,0)))</x:f>
        <x:v>46440</x:v>
      </x:c>
      <x:c r="K88" s="5" t="n">
        <x:f>IF(OR(I88="",I88&lt;1,I88&gt;Calendar!$B$9),"",INDEX(Calendar!$A$16:$A$141,MATCH(I88,Calendar!$D$16:$D$141,0)))</x:f>
        <x:v>46442</x:v>
      </x:c>
      <x:c r="L88" s="53" t="n">
        <x:v>0</x:v>
      </x:c>
      <x:c r="M88" s="2" t="str">
        <x:f>IF(OR(F88="",G88="",H88=""),"Missing input",IF(OR(F88&lt;1,G88&lt;1,I88&gt;Calendar!$B$9),"Outside calendar",IF(F88&lt;MAX(INDEX($I$8:$I$157,MATCH("Q16",$A$8:$A$157,0))+1,INDEX($I$8:$I$157,MATCH("U16",$A$8:$A$157,0))+1),"Dependency conflict","Scheduled")))</x:f>
        <x:v>Scheduled</x:v>
      </x:c>
      <x:c r="N88" s="45" t="n">
        <x:f>IF(OR($J88="",$K88=""),"",IF(SUMIFS(Calendar!$C$16:$C$141,Calendar!$A$16:$A$141,"&gt;="&amp;MAX(N$7,$J88),Calendar!$A$16:$A$141,"&lt;="&amp;MIN(N$7+4,$K88))=0,0,IF($H88="","EXT",SUMIFS(Calendar!$C$16:$C$141,Calendar!$A$16:$A$141,"&gt;="&amp;MAX(N$7,$J88),Calendar!$A$16:$A$141,"&lt;="&amp;MIN(N$7+4,$K88))*$H88/$G88)))</x:f>
        <x:v>0</x:v>
      </x:c>
      <x:c r="O88" s="45" t="n">
        <x:f>IF(OR($J88="",$K88=""),"",IF(SUMIFS(Calendar!$C$16:$C$141,Calendar!$A$16:$A$141,"&gt;="&amp;MAX(O$7,$J88),Calendar!$A$16:$A$141,"&lt;="&amp;MIN(O$7+4,$K88))=0,0,IF($H88="","EXT",SUMIFS(Calendar!$C$16:$C$141,Calendar!$A$16:$A$141,"&gt;="&amp;MAX(O$7,$J88),Calendar!$A$16:$A$141,"&lt;="&amp;MIN(O$7+4,$K88))*$H88/$G88)))</x:f>
        <x:v>0</x:v>
      </x:c>
      <x:c r="P88" s="45" t="n">
        <x:f>IF(OR($J88="",$K88=""),"",IF(SUMIFS(Calendar!$C$16:$C$141,Calendar!$A$16:$A$141,"&gt;="&amp;MAX(P$7,$J88),Calendar!$A$16:$A$141,"&lt;="&amp;MIN(P$7+4,$K88))=0,0,IF($H88="","EXT",SUMIFS(Calendar!$C$16:$C$141,Calendar!$A$16:$A$141,"&gt;="&amp;MAX(P$7,$J88),Calendar!$A$16:$A$141,"&lt;="&amp;MIN(P$7+4,$K88))*$H88/$G88)))</x:f>
        <x:v>0</x:v>
      </x:c>
      <x:c r="Q88" s="45" t="n">
        <x:f>IF(OR($J88="",$K88=""),"",IF(SUMIFS(Calendar!$C$16:$C$141,Calendar!$A$16:$A$141,"&gt;="&amp;MAX(Q$7,$J88),Calendar!$A$16:$A$141,"&lt;="&amp;MIN(Q$7+4,$K88))=0,0,IF($H88="","EXT",SUMIFS(Calendar!$C$16:$C$141,Calendar!$A$16:$A$141,"&gt;="&amp;MAX(Q$7,$J88),Calendar!$A$16:$A$141,"&lt;="&amp;MIN(Q$7+4,$K88))*$H88/$G88)))</x:f>
        <x:v>0</x:v>
      </x:c>
      <x:c r="R88" s="45" t="n">
        <x:f>IF(OR($J88="",$K88=""),"",IF(SUMIFS(Calendar!$C$16:$C$141,Calendar!$A$16:$A$141,"&gt;="&amp;MAX(R$7,$J88),Calendar!$A$16:$A$141,"&lt;="&amp;MIN(R$7+4,$K88))=0,0,IF($H88="","EXT",SUMIFS(Calendar!$C$16:$C$141,Calendar!$A$16:$A$141,"&gt;="&amp;MAX(R$7,$J88),Calendar!$A$16:$A$141,"&lt;="&amp;MIN(R$7+4,$K88))*$H88/$G88)))</x:f>
        <x:v>0</x:v>
      </x:c>
      <x:c r="S88" s="45" t="n">
        <x:f>IF(OR($J88="",$K88=""),"",IF(SUMIFS(Calendar!$C$16:$C$141,Calendar!$A$16:$A$141,"&gt;="&amp;MAX(S$7,$J88),Calendar!$A$16:$A$141,"&lt;="&amp;MIN(S$7+4,$K88))=0,0,IF($H88="","EXT",SUMIFS(Calendar!$C$16:$C$141,Calendar!$A$16:$A$141,"&gt;="&amp;MAX(S$7,$J88),Calendar!$A$16:$A$141,"&lt;="&amp;MIN(S$7+4,$K88))*$H88/$G88)))</x:f>
        <x:v>0</x:v>
      </x:c>
      <x:c r="T88" s="45" t="n">
        <x:f>IF(OR($J88="",$K88=""),"",IF(SUMIFS(Calendar!$C$16:$C$141,Calendar!$A$16:$A$141,"&gt;="&amp;MAX(T$7,$J88),Calendar!$A$16:$A$141,"&lt;="&amp;MIN(T$7+4,$K88))=0,0,IF($H88="","EXT",SUMIFS(Calendar!$C$16:$C$141,Calendar!$A$16:$A$141,"&gt;="&amp;MAX(T$7,$J88),Calendar!$A$16:$A$141,"&lt;="&amp;MIN(T$7+4,$K88))*$H88/$G88)))</x:f>
        <x:v>0</x:v>
      </x:c>
      <x:c r="U88" s="45" t="n">
        <x:f>IF(OR($J88="",$K88=""),"",IF(SUMIFS(Calendar!$C$16:$C$141,Calendar!$A$16:$A$141,"&gt;="&amp;MAX(U$7,$J88),Calendar!$A$16:$A$141,"&lt;="&amp;MIN(U$7+4,$K88))=0,0,IF($H88="","EXT",SUMIFS(Calendar!$C$16:$C$141,Calendar!$A$16:$A$141,"&gt;="&amp;MAX(U$7,$J88),Calendar!$A$16:$A$141,"&lt;="&amp;MIN(U$7+4,$K88))*$H88/$G88)))</x:f>
        <x:v>0</x:v>
      </x:c>
      <x:c r="V88" s="45" t="n">
        <x:f>IF(OR($J88="",$K88=""),"",IF(SUMIFS(Calendar!$C$16:$C$141,Calendar!$A$16:$A$141,"&gt;="&amp;MAX(V$7,$J88),Calendar!$A$16:$A$141,"&lt;="&amp;MIN(V$7+4,$K88))=0,0,IF($H88="","EXT",SUMIFS(Calendar!$C$16:$C$141,Calendar!$A$16:$A$141,"&gt;="&amp;MAX(V$7,$J88),Calendar!$A$16:$A$141,"&lt;="&amp;MIN(V$7+4,$K88))*$H88/$G88)))</x:f>
        <x:v>0</x:v>
      </x:c>
      <x:c r="W88" s="45" t="n">
        <x:f>IF(OR($J88="",$K88=""),"",IF(SUMIFS(Calendar!$C$16:$C$141,Calendar!$A$16:$A$141,"&gt;="&amp;MAX(W$7,$J88),Calendar!$A$16:$A$141,"&lt;="&amp;MIN(W$7+4,$K88))=0,0,IF($H88="","EXT",SUMIFS(Calendar!$C$16:$C$141,Calendar!$A$16:$A$141,"&gt;="&amp;MAX(W$7,$J88),Calendar!$A$16:$A$141,"&lt;="&amp;MIN(W$7+4,$K88))*$H88/$G88)))</x:f>
        <x:v>0</x:v>
      </x:c>
      <x:c r="X88" s="45" t="n">
        <x:f>IF(OR($J88="",$K88=""),"",IF(SUMIFS(Calendar!$C$16:$C$141,Calendar!$A$16:$A$141,"&gt;="&amp;MAX(X$7,$J88),Calendar!$A$16:$A$141,"&lt;="&amp;MIN(X$7+4,$K88))=0,0,IF($H88="","EXT",SUMIFS(Calendar!$C$16:$C$141,Calendar!$A$16:$A$141,"&gt;="&amp;MAX(X$7,$J88),Calendar!$A$16:$A$141,"&lt;="&amp;MIN(X$7+4,$K88))*$H88/$G88)))</x:f>
        <x:v>0</x:v>
      </x:c>
      <x:c r="Y88" s="45" t="n">
        <x:f>IF(OR($J88="",$K88=""),"",IF(SUMIFS(Calendar!$C$16:$C$141,Calendar!$A$16:$A$141,"&gt;="&amp;MAX(Y$7,$J88),Calendar!$A$16:$A$141,"&lt;="&amp;MIN(Y$7+4,$K88))=0,0,IF($H88="","EXT",SUMIFS(Calendar!$C$16:$C$141,Calendar!$A$16:$A$141,"&gt;="&amp;MAX(Y$7,$J88),Calendar!$A$16:$A$141,"&lt;="&amp;MIN(Y$7+4,$K88))*$H88/$G88)))</x:f>
        <x:v>0</x:v>
      </x:c>
      <x:c r="Z88" s="45" t="n">
        <x:f>IF(OR($J88="",$K88=""),"",IF(SUMIFS(Calendar!$C$16:$C$141,Calendar!$A$16:$A$141,"&gt;="&amp;MAX(Z$7,$J88),Calendar!$A$16:$A$141,"&lt;="&amp;MIN(Z$7+4,$K88))=0,0,IF($H88="","EXT",SUMIFS(Calendar!$C$16:$C$141,Calendar!$A$16:$A$141,"&gt;="&amp;MAX(Z$7,$J88),Calendar!$A$16:$A$141,"&lt;="&amp;MIN(Z$7+4,$K88))*$H88/$G88)))</x:f>
        <x:v>0</x:v>
      </x:c>
      <x:c r="AA88" s="45" t="n">
        <x:f>IF(OR($J88="",$K88=""),"",IF(SUMIFS(Calendar!$C$16:$C$141,Calendar!$A$16:$A$141,"&gt;="&amp;MAX(AA$7,$J88),Calendar!$A$16:$A$141,"&lt;="&amp;MIN(AA$7+4,$K88))=0,0,IF($H88="","EXT",SUMIFS(Calendar!$C$16:$C$141,Calendar!$A$16:$A$141,"&gt;="&amp;MAX(AA$7,$J88),Calendar!$A$16:$A$141,"&lt;="&amp;MIN(AA$7+4,$K88))*$H88/$G88)))</x:f>
        <x:v>0</x:v>
      </x:c>
      <x:c r="AB88" s="45" t="n">
        <x:f>IF(OR($J88="",$K88=""),"",IF(SUMIFS(Calendar!$C$16:$C$141,Calendar!$A$16:$A$141,"&gt;="&amp;MAX(AB$7,$J88),Calendar!$A$16:$A$141,"&lt;="&amp;MIN(AB$7+4,$K88))=0,0,IF($H88="","EXT",SUMIFS(Calendar!$C$16:$C$141,Calendar!$A$16:$A$141,"&gt;="&amp;MAX(AB$7,$J88),Calendar!$A$16:$A$141,"&lt;="&amp;MIN(AB$7+4,$K88))*$H88/$G88)))</x:f>
        <x:v>0</x:v>
      </x:c>
      <x:c r="AC88" s="45" t="n">
        <x:f>IF(OR($J88="",$K88=""),"",IF(SUMIFS(Calendar!$C$16:$C$141,Calendar!$A$16:$A$141,"&gt;="&amp;MAX(AC$7,$J88),Calendar!$A$16:$A$141,"&lt;="&amp;MIN(AC$7+4,$K88))=0,0,IF($H88="","EXT",SUMIFS(Calendar!$C$16:$C$141,Calendar!$A$16:$A$141,"&gt;="&amp;MAX(AC$7,$J88),Calendar!$A$16:$A$141,"&lt;="&amp;MIN(AC$7+4,$K88))*$H88/$G88)))</x:f>
        <x:v>0</x:v>
      </x:c>
      <x:c r="AD88" s="45" t="n">
        <x:f>IF(OR($J88="",$K88=""),"",IF(SUMIFS(Calendar!$C$16:$C$141,Calendar!$A$16:$A$141,"&gt;="&amp;MAX(AD$7,$J88),Calendar!$A$16:$A$141,"&lt;="&amp;MIN(AD$7+4,$K88))=0,0,IF($H88="","EXT",SUMIFS(Calendar!$C$16:$C$141,Calendar!$A$16:$A$141,"&gt;="&amp;MAX(AD$7,$J88),Calendar!$A$16:$A$141,"&lt;="&amp;MIN(AD$7+4,$K88))*$H88/$G88)))</x:f>
        <x:v>2.4</x:v>
      </x:c>
      <x:c r="AE88" s="45" t="n">
        <x:f>IF(OR($J88="",$K88=""),"",IF(SUMIFS(Calendar!$C$16:$C$141,Calendar!$A$16:$A$141,"&gt;="&amp;MAX(AE$7,$J88),Calendar!$A$16:$A$141,"&lt;="&amp;MIN(AE$7+4,$K88))=0,0,IF($H88="","EXT",SUMIFS(Calendar!$C$16:$C$141,Calendar!$A$16:$A$141,"&gt;="&amp;MAX(AE$7,$J88),Calendar!$A$16:$A$141,"&lt;="&amp;MIN(AE$7+4,$K88))*$H88/$G88)))</x:f>
        <x:v>0</x:v>
      </x:c>
      <x:c r="AF88" s="8" t="n">
        <x:f>IF(OR(M88&lt;&gt;"Scheduled",INDEX('Team and Gates'!$C$7:$C$13,MATCH($D88,'Team and Gates'!$A$7:$A$13,0))=""),"CHECK",SUM(N88:AE88)*INDEX('Team and Gates'!$C$7:$C$13,MATCH($D88,'Team and Gates'!$A$7:$A$13,0)))</x:f>
        <x:v>864</x:v>
      </x:c>
      <x:c r="AG88" s="46" t="str">
        <x:v>Final UAT evidence, controlled defect retests and business-owner approval are recorded by Feb 24. Recheck AI integration contracts, permissions, errors and send safeguards for every changed candidate.</x:v>
      </x:c>
      <x:c r="AH88" s="46" t="str"/>
    </x:row>
    <x:row r="89" ht="45" customHeight="1">
      <x:c r="A89" s="39" t="str">
        <x:v>Q-GATE</x:v>
      </x:c>
      <x:c r="B89" s="39" t="str">
        <x:v>Technical QA</x:v>
      </x:c>
      <x:c r="C89" s="47" t="str">
        <x:v>Feb 25 release readiness and Go/No-Go checks</x:v>
      </x:c>
      <x:c r="D89" s="32" t="str">
        <x:v>Tester 1</x:v>
      </x:c>
      <x:c r="E89" s="47" t="str">
        <x:v>Q17, BA17, U17</x:v>
      </x:c>
      <x:c r="F89" s="50" t="n">
        <x:v>76</x:v>
      </x:c>
      <x:c r="G89" s="50" t="n">
        <x:v>1</x:v>
      </x:c>
      <x:c r="H89" s="51" t="n">
        <x:v>0.8</x:v>
      </x:c>
      <x:c r="I89" s="39" t="n">
        <x:f>IF(OR(F89="",G89=""),"",F89+G89-1)</x:f>
        <x:v>76</x:v>
      </x:c>
      <x:c r="J89" s="41" t="n">
        <x:f>IF(OR(F89="",F89&lt;1,F89&gt;Calendar!$B$9),"",INDEX(Calendar!$A$16:$A$141,MATCH(F89,Calendar!$D$16:$D$141,0)))</x:f>
        <x:v>46443</x:v>
      </x:c>
      <x:c r="K89" s="41" t="n">
        <x:f>IF(OR(I89="",I89&lt;1,I89&gt;Calendar!$B$9),"",INDEX(Calendar!$A$16:$A$141,MATCH(I89,Calendar!$D$16:$D$141,0)))</x:f>
        <x:v>46443</x:v>
      </x:c>
      <x:c r="L89" s="53" t="n">
        <x:v>0</x:v>
      </x:c>
      <x:c r="M89" s="39" t="str">
        <x:f>IF(OR(F89="",G89="",H89=""),"Missing input",IF(OR(F89&lt;1,G89&lt;1,I89&gt;Calendar!$B$9),"Outside calendar",IF(F89&lt;MAX(INDEX($I$8:$I$157,MATCH("Q17",$A$8:$A$157,0))+1,INDEX($I$8:$I$157,MATCH("BA17",$A$8:$A$157,0))+1,INDEX($I$8:$I$157,MATCH("U17",$A$8:$A$157,0))+1),"Dependency conflict","Scheduled")))</x:f>
        <x:v>Scheduled</x:v>
      </x:c>
      <x:c r="N89" s="45" t="n">
        <x:f>IF(OR($J89="",$K89=""),"",IF(SUMIFS(Calendar!$C$16:$C$141,Calendar!$A$16:$A$141,"&gt;="&amp;MAX(N$7,$J89),Calendar!$A$16:$A$141,"&lt;="&amp;MIN(N$7+4,$K89))=0,0,IF($H89="","EXT",SUMIFS(Calendar!$C$16:$C$141,Calendar!$A$16:$A$141,"&gt;="&amp;MAX(N$7,$J89),Calendar!$A$16:$A$141,"&lt;="&amp;MIN(N$7+4,$K89))*$H89/$G89)))</x:f>
        <x:v>0</x:v>
      </x:c>
      <x:c r="O89" s="45" t="n">
        <x:f>IF(OR($J89="",$K89=""),"",IF(SUMIFS(Calendar!$C$16:$C$141,Calendar!$A$16:$A$141,"&gt;="&amp;MAX(O$7,$J89),Calendar!$A$16:$A$141,"&lt;="&amp;MIN(O$7+4,$K89))=0,0,IF($H89="","EXT",SUMIFS(Calendar!$C$16:$C$141,Calendar!$A$16:$A$141,"&gt;="&amp;MAX(O$7,$J89),Calendar!$A$16:$A$141,"&lt;="&amp;MIN(O$7+4,$K89))*$H89/$G89)))</x:f>
        <x:v>0</x:v>
      </x:c>
      <x:c r="P89" s="45" t="n">
        <x:f>IF(OR($J89="",$K89=""),"",IF(SUMIFS(Calendar!$C$16:$C$141,Calendar!$A$16:$A$141,"&gt;="&amp;MAX(P$7,$J89),Calendar!$A$16:$A$141,"&lt;="&amp;MIN(P$7+4,$K89))=0,0,IF($H89="","EXT",SUMIFS(Calendar!$C$16:$C$141,Calendar!$A$16:$A$141,"&gt;="&amp;MAX(P$7,$J89),Calendar!$A$16:$A$141,"&lt;="&amp;MIN(P$7+4,$K89))*$H89/$G89)))</x:f>
        <x:v>0</x:v>
      </x:c>
      <x:c r="Q89" s="45" t="n">
        <x:f>IF(OR($J89="",$K89=""),"",IF(SUMIFS(Calendar!$C$16:$C$141,Calendar!$A$16:$A$141,"&gt;="&amp;MAX(Q$7,$J89),Calendar!$A$16:$A$141,"&lt;="&amp;MIN(Q$7+4,$K89))=0,0,IF($H89="","EXT",SUMIFS(Calendar!$C$16:$C$141,Calendar!$A$16:$A$141,"&gt;="&amp;MAX(Q$7,$J89),Calendar!$A$16:$A$141,"&lt;="&amp;MIN(Q$7+4,$K89))*$H89/$G89)))</x:f>
        <x:v>0</x:v>
      </x:c>
      <x:c r="R89" s="45" t="n">
        <x:f>IF(OR($J89="",$K89=""),"",IF(SUMIFS(Calendar!$C$16:$C$141,Calendar!$A$16:$A$141,"&gt;="&amp;MAX(R$7,$J89),Calendar!$A$16:$A$141,"&lt;="&amp;MIN(R$7+4,$K89))=0,0,IF($H89="","EXT",SUMIFS(Calendar!$C$16:$C$141,Calendar!$A$16:$A$141,"&gt;="&amp;MAX(R$7,$J89),Calendar!$A$16:$A$141,"&lt;="&amp;MIN(R$7+4,$K89))*$H89/$G89)))</x:f>
        <x:v>0</x:v>
      </x:c>
      <x:c r="S89" s="45" t="n">
        <x:f>IF(OR($J89="",$K89=""),"",IF(SUMIFS(Calendar!$C$16:$C$141,Calendar!$A$16:$A$141,"&gt;="&amp;MAX(S$7,$J89),Calendar!$A$16:$A$141,"&lt;="&amp;MIN(S$7+4,$K89))=0,0,IF($H89="","EXT",SUMIFS(Calendar!$C$16:$C$141,Calendar!$A$16:$A$141,"&gt;="&amp;MAX(S$7,$J89),Calendar!$A$16:$A$141,"&lt;="&amp;MIN(S$7+4,$K89))*$H89/$G89)))</x:f>
        <x:v>0</x:v>
      </x:c>
      <x:c r="T89" s="45" t="n">
        <x:f>IF(OR($J89="",$K89=""),"",IF(SUMIFS(Calendar!$C$16:$C$141,Calendar!$A$16:$A$141,"&gt;="&amp;MAX(T$7,$J89),Calendar!$A$16:$A$141,"&lt;="&amp;MIN(T$7+4,$K89))=0,0,IF($H89="","EXT",SUMIFS(Calendar!$C$16:$C$141,Calendar!$A$16:$A$141,"&gt;="&amp;MAX(T$7,$J89),Calendar!$A$16:$A$141,"&lt;="&amp;MIN(T$7+4,$K89))*$H89/$G89)))</x:f>
        <x:v>0</x:v>
      </x:c>
      <x:c r="U89" s="45" t="n">
        <x:f>IF(OR($J89="",$K89=""),"",IF(SUMIFS(Calendar!$C$16:$C$141,Calendar!$A$16:$A$141,"&gt;="&amp;MAX(U$7,$J89),Calendar!$A$16:$A$141,"&lt;="&amp;MIN(U$7+4,$K89))=0,0,IF($H89="","EXT",SUMIFS(Calendar!$C$16:$C$141,Calendar!$A$16:$A$141,"&gt;="&amp;MAX(U$7,$J89),Calendar!$A$16:$A$141,"&lt;="&amp;MIN(U$7+4,$K89))*$H89/$G89)))</x:f>
        <x:v>0</x:v>
      </x:c>
      <x:c r="V89" s="45" t="n">
        <x:f>IF(OR($J89="",$K89=""),"",IF(SUMIFS(Calendar!$C$16:$C$141,Calendar!$A$16:$A$141,"&gt;="&amp;MAX(V$7,$J89),Calendar!$A$16:$A$141,"&lt;="&amp;MIN(V$7+4,$K89))=0,0,IF($H89="","EXT",SUMIFS(Calendar!$C$16:$C$141,Calendar!$A$16:$A$141,"&gt;="&amp;MAX(V$7,$J89),Calendar!$A$16:$A$141,"&lt;="&amp;MIN(V$7+4,$K89))*$H89/$G89)))</x:f>
        <x:v>0</x:v>
      </x:c>
      <x:c r="W89" s="45" t="n">
        <x:f>IF(OR($J89="",$K89=""),"",IF(SUMIFS(Calendar!$C$16:$C$141,Calendar!$A$16:$A$141,"&gt;="&amp;MAX(W$7,$J89),Calendar!$A$16:$A$141,"&lt;="&amp;MIN(W$7+4,$K89))=0,0,IF($H89="","EXT",SUMIFS(Calendar!$C$16:$C$141,Calendar!$A$16:$A$141,"&gt;="&amp;MAX(W$7,$J89),Calendar!$A$16:$A$141,"&lt;="&amp;MIN(W$7+4,$K89))*$H89/$G89)))</x:f>
        <x:v>0</x:v>
      </x:c>
      <x:c r="X89" s="45" t="n">
        <x:f>IF(OR($J89="",$K89=""),"",IF(SUMIFS(Calendar!$C$16:$C$141,Calendar!$A$16:$A$141,"&gt;="&amp;MAX(X$7,$J89),Calendar!$A$16:$A$141,"&lt;="&amp;MIN(X$7+4,$K89))=0,0,IF($H89="","EXT",SUMIFS(Calendar!$C$16:$C$141,Calendar!$A$16:$A$141,"&gt;="&amp;MAX(X$7,$J89),Calendar!$A$16:$A$141,"&lt;="&amp;MIN(X$7+4,$K89))*$H89/$G89)))</x:f>
        <x:v>0</x:v>
      </x:c>
      <x:c r="Y89" s="45" t="n">
        <x:f>IF(OR($J89="",$K89=""),"",IF(SUMIFS(Calendar!$C$16:$C$141,Calendar!$A$16:$A$141,"&gt;="&amp;MAX(Y$7,$J89),Calendar!$A$16:$A$141,"&lt;="&amp;MIN(Y$7+4,$K89))=0,0,IF($H89="","EXT",SUMIFS(Calendar!$C$16:$C$141,Calendar!$A$16:$A$141,"&gt;="&amp;MAX(Y$7,$J89),Calendar!$A$16:$A$141,"&lt;="&amp;MIN(Y$7+4,$K89))*$H89/$G89)))</x:f>
        <x:v>0</x:v>
      </x:c>
      <x:c r="Z89" s="45" t="n">
        <x:f>IF(OR($J89="",$K89=""),"",IF(SUMIFS(Calendar!$C$16:$C$141,Calendar!$A$16:$A$141,"&gt;="&amp;MAX(Z$7,$J89),Calendar!$A$16:$A$141,"&lt;="&amp;MIN(Z$7+4,$K89))=0,0,IF($H89="","EXT",SUMIFS(Calendar!$C$16:$C$141,Calendar!$A$16:$A$141,"&gt;="&amp;MAX(Z$7,$J89),Calendar!$A$16:$A$141,"&lt;="&amp;MIN(Z$7+4,$K89))*$H89/$G89)))</x:f>
        <x:v>0</x:v>
      </x:c>
      <x:c r="AA89" s="45" t="n">
        <x:f>IF(OR($J89="",$K89=""),"",IF(SUMIFS(Calendar!$C$16:$C$141,Calendar!$A$16:$A$141,"&gt;="&amp;MAX(AA$7,$J89),Calendar!$A$16:$A$141,"&lt;="&amp;MIN(AA$7+4,$K89))=0,0,IF($H89="","EXT",SUMIFS(Calendar!$C$16:$C$141,Calendar!$A$16:$A$141,"&gt;="&amp;MAX(AA$7,$J89),Calendar!$A$16:$A$141,"&lt;="&amp;MIN(AA$7+4,$K89))*$H89/$G89)))</x:f>
        <x:v>0</x:v>
      </x:c>
      <x:c r="AB89" s="45" t="n">
        <x:f>IF(OR($J89="",$K89=""),"",IF(SUMIFS(Calendar!$C$16:$C$141,Calendar!$A$16:$A$141,"&gt;="&amp;MAX(AB$7,$J89),Calendar!$A$16:$A$141,"&lt;="&amp;MIN(AB$7+4,$K89))=0,0,IF($H89="","EXT",SUMIFS(Calendar!$C$16:$C$141,Calendar!$A$16:$A$141,"&gt;="&amp;MAX(AB$7,$J89),Calendar!$A$16:$A$141,"&lt;="&amp;MIN(AB$7+4,$K89))*$H89/$G89)))</x:f>
        <x:v>0</x:v>
      </x:c>
      <x:c r="AC89" s="45" t="n">
        <x:f>IF(OR($J89="",$K89=""),"",IF(SUMIFS(Calendar!$C$16:$C$141,Calendar!$A$16:$A$141,"&gt;="&amp;MAX(AC$7,$J89),Calendar!$A$16:$A$141,"&lt;="&amp;MIN(AC$7+4,$K89))=0,0,IF($H89="","EXT",SUMIFS(Calendar!$C$16:$C$141,Calendar!$A$16:$A$141,"&gt;="&amp;MAX(AC$7,$J89),Calendar!$A$16:$A$141,"&lt;="&amp;MIN(AC$7+4,$K89))*$H89/$G89)))</x:f>
        <x:v>0</x:v>
      </x:c>
      <x:c r="AD89" s="45" t="n">
        <x:f>IF(OR($J89="",$K89=""),"",IF(SUMIFS(Calendar!$C$16:$C$141,Calendar!$A$16:$A$141,"&gt;="&amp;MAX(AD$7,$J89),Calendar!$A$16:$A$141,"&lt;="&amp;MIN(AD$7+4,$K89))=0,0,IF($H89="","EXT",SUMIFS(Calendar!$C$16:$C$141,Calendar!$A$16:$A$141,"&gt;="&amp;MAX(AD$7,$J89),Calendar!$A$16:$A$141,"&lt;="&amp;MIN(AD$7+4,$K89))*$H89/$G89)))</x:f>
        <x:v>0.8</x:v>
      </x:c>
      <x:c r="AE89" s="45" t="n">
        <x:f>IF(OR($J89="",$K89=""),"",IF(SUMIFS(Calendar!$C$16:$C$141,Calendar!$A$16:$A$141,"&gt;="&amp;MAX(AE$7,$J89),Calendar!$A$16:$A$141,"&lt;="&amp;MIN(AE$7+4,$K89))=0,0,IF($H89="","EXT",SUMIFS(Calendar!$C$16:$C$141,Calendar!$A$16:$A$141,"&gt;="&amp;MAX(AE$7,$J89),Calendar!$A$16:$A$141,"&lt;="&amp;MIN(AE$7+4,$K89))*$H89/$G89)))</x:f>
        <x:v>0</x:v>
      </x:c>
      <x:c r="AF89" s="8" t="n">
        <x:f>IF(OR(M89&lt;&gt;"Scheduled",INDEX('Team and Gates'!$C$7:$C$13,MATCH($D89,'Team and Gates'!$A$7:$A$13,0))=""),"CHECK",SUM(N89:AE89)*INDEX('Team and Gates'!$C$7:$C$13,MATCH($D89,'Team and Gates'!$A$7:$A$13,0)))</x:f>
        <x:v>288</x:v>
      </x:c>
      <x:c r="AG89" s="46" t="str">
        <x:v>Release owner, QA and business owner record Go decision after UAT signoff, blocking defect closure, production access and rollback checks.</x:v>
      </x:c>
      <x:c r="AH89" s="46" t="str">
        <x:v>Dedicated working day after Feb 24 UAT approval. Confirm staffed Friday rollout and weekend on-call/rollback coverage.</x:v>
      </x:c>
    </x:row>
    <x:row r="90" ht="45" customHeight="1">
      <x:c r="A90" s="2" t="str">
        <x:v>Q-REL</x:v>
      </x:c>
      <x:c r="B90" s="2" t="str">
        <x:v>Technical QA</x:v>
      </x:c>
      <x:c r="C90" s="46" t="str">
        <x:v>Feb 26 production rollout support and controlled validation</x:v>
      </x:c>
      <x:c r="D90" s="32" t="str">
        <x:v>Tester 1</x:v>
      </x:c>
      <x:c r="E90" s="46" t="str">
        <x:v>Q-GATE, A-GATE, B-GATE, BA-GATE, U-GATE</x:v>
      </x:c>
      <x:c r="F90" s="50" t="n">
        <x:v>77</x:v>
      </x:c>
      <x:c r="G90" s="50" t="n">
        <x:v>1</x:v>
      </x:c>
      <x:c r="H90" s="51" t="n">
        <x:v>0.8</x:v>
      </x:c>
      <x:c r="I90" s="2" t="n">
        <x:f>IF(OR(F90="",G90=""),"",F90+G90-1)</x:f>
        <x:v>77</x:v>
      </x:c>
      <x:c r="J90" s="5" t="n">
        <x:f>IF(OR(F90="",F90&lt;1,F90&gt;Calendar!$B$9),"",INDEX(Calendar!$A$16:$A$141,MATCH(F90,Calendar!$D$16:$D$141,0)))</x:f>
        <x:v>46444</x:v>
      </x:c>
      <x:c r="K90" s="5" t="n">
        <x:f>IF(OR(I90="",I90&lt;1,I90&gt;Calendar!$B$9),"",INDEX(Calendar!$A$16:$A$141,MATCH(I90,Calendar!$D$16:$D$141,0)))</x:f>
        <x:v>46444</x:v>
      </x:c>
      <x:c r="L90" s="53" t="n">
        <x:v>0</x:v>
      </x:c>
      <x:c r="M90" s="2" t="str">
        <x:f>IF(OR(F90="",G90="",H90=""),"Missing input",IF(OR(F90&lt;1,G90&lt;1,I90&gt;Calendar!$B$9),"Outside calendar",IF(F90&lt;MAX(INDEX($I$8:$I$157,MATCH("Q-GATE",$A$8:$A$157,0))+1,INDEX($I$8:$I$157,MATCH("A-GATE",$A$8:$A$157,0))+1,INDEX($I$8:$I$157,MATCH("B-GATE",$A$8:$A$157,0))+1,INDEX($I$8:$I$157,MATCH("BA-GATE",$A$8:$A$157,0))+1,INDEX($I$8:$I$157,MATCH("U-GATE",$A$8:$A$157,0))+1),"Dependency conflict","Scheduled")))</x:f>
        <x:v>Scheduled</x:v>
      </x:c>
      <x:c r="N90" s="45" t="n">
        <x:f>IF(OR($J90="",$K90=""),"",IF(SUMIFS(Calendar!$C$16:$C$141,Calendar!$A$16:$A$141,"&gt;="&amp;MAX(N$7,$J90),Calendar!$A$16:$A$141,"&lt;="&amp;MIN(N$7+4,$K90))=0,0,IF($H90="","EXT",SUMIFS(Calendar!$C$16:$C$141,Calendar!$A$16:$A$141,"&gt;="&amp;MAX(N$7,$J90),Calendar!$A$16:$A$141,"&lt;="&amp;MIN(N$7+4,$K90))*$H90/$G90)))</x:f>
        <x:v>0</x:v>
      </x:c>
      <x:c r="O90" s="45" t="n">
        <x:f>IF(OR($J90="",$K90=""),"",IF(SUMIFS(Calendar!$C$16:$C$141,Calendar!$A$16:$A$141,"&gt;="&amp;MAX(O$7,$J90),Calendar!$A$16:$A$141,"&lt;="&amp;MIN(O$7+4,$K90))=0,0,IF($H90="","EXT",SUMIFS(Calendar!$C$16:$C$141,Calendar!$A$16:$A$141,"&gt;="&amp;MAX(O$7,$J90),Calendar!$A$16:$A$141,"&lt;="&amp;MIN(O$7+4,$K90))*$H90/$G90)))</x:f>
        <x:v>0</x:v>
      </x:c>
      <x:c r="P90" s="45" t="n">
        <x:f>IF(OR($J90="",$K90=""),"",IF(SUMIFS(Calendar!$C$16:$C$141,Calendar!$A$16:$A$141,"&gt;="&amp;MAX(P$7,$J90),Calendar!$A$16:$A$141,"&lt;="&amp;MIN(P$7+4,$K90))=0,0,IF($H90="","EXT",SUMIFS(Calendar!$C$16:$C$141,Calendar!$A$16:$A$141,"&gt;="&amp;MAX(P$7,$J90),Calendar!$A$16:$A$141,"&lt;="&amp;MIN(P$7+4,$K90))*$H90/$G90)))</x:f>
        <x:v>0</x:v>
      </x:c>
      <x:c r="Q90" s="45" t="n">
        <x:f>IF(OR($J90="",$K90=""),"",IF(SUMIFS(Calendar!$C$16:$C$141,Calendar!$A$16:$A$141,"&gt;="&amp;MAX(Q$7,$J90),Calendar!$A$16:$A$141,"&lt;="&amp;MIN(Q$7+4,$K90))=0,0,IF($H90="","EXT",SUMIFS(Calendar!$C$16:$C$141,Calendar!$A$16:$A$141,"&gt;="&amp;MAX(Q$7,$J90),Calendar!$A$16:$A$141,"&lt;="&amp;MIN(Q$7+4,$K90))*$H90/$G90)))</x:f>
        <x:v>0</x:v>
      </x:c>
      <x:c r="R90" s="45" t="n">
        <x:f>IF(OR($J90="",$K90=""),"",IF(SUMIFS(Calendar!$C$16:$C$141,Calendar!$A$16:$A$141,"&gt;="&amp;MAX(R$7,$J90),Calendar!$A$16:$A$141,"&lt;="&amp;MIN(R$7+4,$K90))=0,0,IF($H90="","EXT",SUMIFS(Calendar!$C$16:$C$141,Calendar!$A$16:$A$141,"&gt;="&amp;MAX(R$7,$J90),Calendar!$A$16:$A$141,"&lt;="&amp;MIN(R$7+4,$K90))*$H90/$G90)))</x:f>
        <x:v>0</x:v>
      </x:c>
      <x:c r="S90" s="45" t="n">
        <x:f>IF(OR($J90="",$K90=""),"",IF(SUMIFS(Calendar!$C$16:$C$141,Calendar!$A$16:$A$141,"&gt;="&amp;MAX(S$7,$J90),Calendar!$A$16:$A$141,"&lt;="&amp;MIN(S$7+4,$K90))=0,0,IF($H90="","EXT",SUMIFS(Calendar!$C$16:$C$141,Calendar!$A$16:$A$141,"&gt;="&amp;MAX(S$7,$J90),Calendar!$A$16:$A$141,"&lt;="&amp;MIN(S$7+4,$K90))*$H90/$G90)))</x:f>
        <x:v>0</x:v>
      </x:c>
      <x:c r="T90" s="45" t="n">
        <x:f>IF(OR($J90="",$K90=""),"",IF(SUMIFS(Calendar!$C$16:$C$141,Calendar!$A$16:$A$141,"&gt;="&amp;MAX(T$7,$J90),Calendar!$A$16:$A$141,"&lt;="&amp;MIN(T$7+4,$K90))=0,0,IF($H90="","EXT",SUMIFS(Calendar!$C$16:$C$141,Calendar!$A$16:$A$141,"&gt;="&amp;MAX(T$7,$J90),Calendar!$A$16:$A$141,"&lt;="&amp;MIN(T$7+4,$K90))*$H90/$G90)))</x:f>
        <x:v>0</x:v>
      </x:c>
      <x:c r="U90" s="45" t="n">
        <x:f>IF(OR($J90="",$K90=""),"",IF(SUMIFS(Calendar!$C$16:$C$141,Calendar!$A$16:$A$141,"&gt;="&amp;MAX(U$7,$J90),Calendar!$A$16:$A$141,"&lt;="&amp;MIN(U$7+4,$K90))=0,0,IF($H90="","EXT",SUMIFS(Calendar!$C$16:$C$141,Calendar!$A$16:$A$141,"&gt;="&amp;MAX(U$7,$J90),Calendar!$A$16:$A$141,"&lt;="&amp;MIN(U$7+4,$K90))*$H90/$G90)))</x:f>
        <x:v>0</x:v>
      </x:c>
      <x:c r="V90" s="45" t="n">
        <x:f>IF(OR($J90="",$K90=""),"",IF(SUMIFS(Calendar!$C$16:$C$141,Calendar!$A$16:$A$141,"&gt;="&amp;MAX(V$7,$J90),Calendar!$A$16:$A$141,"&lt;="&amp;MIN(V$7+4,$K90))=0,0,IF($H90="","EXT",SUMIFS(Calendar!$C$16:$C$141,Calendar!$A$16:$A$141,"&gt;="&amp;MAX(V$7,$J90),Calendar!$A$16:$A$141,"&lt;="&amp;MIN(V$7+4,$K90))*$H90/$G90)))</x:f>
        <x:v>0</x:v>
      </x:c>
      <x:c r="W90" s="45" t="n">
        <x:f>IF(OR($J90="",$K90=""),"",IF(SUMIFS(Calendar!$C$16:$C$141,Calendar!$A$16:$A$141,"&gt;="&amp;MAX(W$7,$J90),Calendar!$A$16:$A$141,"&lt;="&amp;MIN(W$7+4,$K90))=0,0,IF($H90="","EXT",SUMIFS(Calendar!$C$16:$C$141,Calendar!$A$16:$A$141,"&gt;="&amp;MAX(W$7,$J90),Calendar!$A$16:$A$141,"&lt;="&amp;MIN(W$7+4,$K90))*$H90/$G90)))</x:f>
        <x:v>0</x:v>
      </x:c>
      <x:c r="X90" s="45" t="n">
        <x:f>IF(OR($J90="",$K90=""),"",IF(SUMIFS(Calendar!$C$16:$C$141,Calendar!$A$16:$A$141,"&gt;="&amp;MAX(X$7,$J90),Calendar!$A$16:$A$141,"&lt;="&amp;MIN(X$7+4,$K90))=0,0,IF($H90="","EXT",SUMIFS(Calendar!$C$16:$C$141,Calendar!$A$16:$A$141,"&gt;="&amp;MAX(X$7,$J90),Calendar!$A$16:$A$141,"&lt;="&amp;MIN(X$7+4,$K90))*$H90/$G90)))</x:f>
        <x:v>0</x:v>
      </x:c>
      <x:c r="Y90" s="45" t="n">
        <x:f>IF(OR($J90="",$K90=""),"",IF(SUMIFS(Calendar!$C$16:$C$141,Calendar!$A$16:$A$141,"&gt;="&amp;MAX(Y$7,$J90),Calendar!$A$16:$A$141,"&lt;="&amp;MIN(Y$7+4,$K90))=0,0,IF($H90="","EXT",SUMIFS(Calendar!$C$16:$C$141,Calendar!$A$16:$A$141,"&gt;="&amp;MAX(Y$7,$J90),Calendar!$A$16:$A$141,"&lt;="&amp;MIN(Y$7+4,$K90))*$H90/$G90)))</x:f>
        <x:v>0</x:v>
      </x:c>
      <x:c r="Z90" s="45" t="n">
        <x:f>IF(OR($J90="",$K90=""),"",IF(SUMIFS(Calendar!$C$16:$C$141,Calendar!$A$16:$A$141,"&gt;="&amp;MAX(Z$7,$J90),Calendar!$A$16:$A$141,"&lt;="&amp;MIN(Z$7+4,$K90))=0,0,IF($H90="","EXT",SUMIFS(Calendar!$C$16:$C$141,Calendar!$A$16:$A$141,"&gt;="&amp;MAX(Z$7,$J90),Calendar!$A$16:$A$141,"&lt;="&amp;MIN(Z$7+4,$K90))*$H90/$G90)))</x:f>
        <x:v>0</x:v>
      </x:c>
      <x:c r="AA90" s="45" t="n">
        <x:f>IF(OR($J90="",$K90=""),"",IF(SUMIFS(Calendar!$C$16:$C$141,Calendar!$A$16:$A$141,"&gt;="&amp;MAX(AA$7,$J90),Calendar!$A$16:$A$141,"&lt;="&amp;MIN(AA$7+4,$K90))=0,0,IF($H90="","EXT",SUMIFS(Calendar!$C$16:$C$141,Calendar!$A$16:$A$141,"&gt;="&amp;MAX(AA$7,$J90),Calendar!$A$16:$A$141,"&lt;="&amp;MIN(AA$7+4,$K90))*$H90/$G90)))</x:f>
        <x:v>0</x:v>
      </x:c>
      <x:c r="AB90" s="45" t="n">
        <x:f>IF(OR($J90="",$K90=""),"",IF(SUMIFS(Calendar!$C$16:$C$141,Calendar!$A$16:$A$141,"&gt;="&amp;MAX(AB$7,$J90),Calendar!$A$16:$A$141,"&lt;="&amp;MIN(AB$7+4,$K90))=0,0,IF($H90="","EXT",SUMIFS(Calendar!$C$16:$C$141,Calendar!$A$16:$A$141,"&gt;="&amp;MAX(AB$7,$J90),Calendar!$A$16:$A$141,"&lt;="&amp;MIN(AB$7+4,$K90))*$H90/$G90)))</x:f>
        <x:v>0</x:v>
      </x:c>
      <x:c r="AC90" s="45" t="n">
        <x:f>IF(OR($J90="",$K90=""),"",IF(SUMIFS(Calendar!$C$16:$C$141,Calendar!$A$16:$A$141,"&gt;="&amp;MAX(AC$7,$J90),Calendar!$A$16:$A$141,"&lt;="&amp;MIN(AC$7+4,$K90))=0,0,IF($H90="","EXT",SUMIFS(Calendar!$C$16:$C$141,Calendar!$A$16:$A$141,"&gt;="&amp;MAX(AC$7,$J90),Calendar!$A$16:$A$141,"&lt;="&amp;MIN(AC$7+4,$K90))*$H90/$G90)))</x:f>
        <x:v>0</x:v>
      </x:c>
      <x:c r="AD90" s="45" t="n">
        <x:f>IF(OR($J90="",$K90=""),"",IF(SUMIFS(Calendar!$C$16:$C$141,Calendar!$A$16:$A$141,"&gt;="&amp;MAX(AD$7,$J90),Calendar!$A$16:$A$141,"&lt;="&amp;MIN(AD$7+4,$K90))=0,0,IF($H90="","EXT",SUMIFS(Calendar!$C$16:$C$141,Calendar!$A$16:$A$141,"&gt;="&amp;MAX(AD$7,$J90),Calendar!$A$16:$A$141,"&lt;="&amp;MIN(AD$7+4,$K90))*$H90/$G90)))</x:f>
        <x:v>0.8</x:v>
      </x:c>
      <x:c r="AE90" s="45" t="n">
        <x:f>IF(OR($J90="",$K90=""),"",IF(SUMIFS(Calendar!$C$16:$C$141,Calendar!$A$16:$A$141,"&gt;="&amp;MAX(AE$7,$J90),Calendar!$A$16:$A$141,"&lt;="&amp;MIN(AE$7+4,$K90))=0,0,IF($H90="","EXT",SUMIFS(Calendar!$C$16:$C$141,Calendar!$A$16:$A$141,"&gt;="&amp;MAX(AE$7,$J90),Calendar!$A$16:$A$141,"&lt;="&amp;MIN(AE$7+4,$K90))*$H90/$G90)))</x:f>
        <x:v>0</x:v>
      </x:c>
      <x:c r="AF90" s="8" t="n">
        <x:f>IF(OR(M90&lt;&gt;"Scheduled",INDEX('Team and Gates'!$C$7:$C$13,MATCH($D90,'Team and Gates'!$A$7:$A$13,0))=""),"CHECK",SUM(N90:AE90)*INDEX('Team and Gates'!$C$7:$C$13,MATCH($D90,'Team and Gates'!$A$7:$A$13,0)))</x:f>
        <x:v>288</x:v>
      </x:c>
      <x:c r="AG90" s="46" t="str">
        <x:v>Deploy after Go decision; pass technical/business smoke and approved-send checks. Record monitoring, rollback and on-call ownership.</x:v>
      </x:c>
      <x:c r="AH90" s="46" t="str">
        <x:v>Friday rollout needs an agreed deployment/rollback window and weekend on-call coverage.</x:v>
      </x:c>
    </x:row>
    <x:row r="91" ht="45" customHeight="1">
      <x:c r="A91" s="39" t="str">
        <x:v>Q18</x:v>
      </x:c>
      <x:c r="B91" s="39" t="str">
        <x:v>Technical QA</x:v>
      </x:c>
      <x:c r="C91" s="47" t="str">
        <x:v>Production smoke, recovery/alert checks and defect retests</x:v>
      </x:c>
      <x:c r="D91" s="32" t="str">
        <x:v>Tester 1</x:v>
      </x:c>
      <x:c r="E91" s="47" t="str">
        <x:v>Q17, BA17, U17, Q-REL</x:v>
      </x:c>
      <x:c r="F91" s="50" t="n">
        <x:v>78</x:v>
      </x:c>
      <x:c r="G91" s="50" t="n">
        <x:v>5</x:v>
      </x:c>
      <x:c r="H91" s="51" t="n">
        <x:v>2</x:v>
      </x:c>
      <x:c r="I91" s="39" t="n">
        <x:f>IF(OR(F91="",G91=""),"",F91+G91-1)</x:f>
        <x:v>82</x:v>
      </x:c>
      <x:c r="J91" s="41" t="n">
        <x:f>IF(OR(F91="",F91&lt;1,F91&gt;Calendar!$B$9),"",INDEX(Calendar!$A$16:$A$141,MATCH(F91,Calendar!$D$16:$D$141,0)))</x:f>
        <x:v>46447</x:v>
      </x:c>
      <x:c r="K91" s="41" t="n">
        <x:f>IF(OR(I91="",I91&lt;1,I91&gt;Calendar!$B$9),"",INDEX(Calendar!$A$16:$A$141,MATCH(I91,Calendar!$D$16:$D$141,0)))</x:f>
        <x:v>46451</x:v>
      </x:c>
      <x:c r="L91" s="53" t="n">
        <x:v>0</x:v>
      </x:c>
      <x:c r="M91" s="39" t="str">
        <x:f>IF(OR(F91="",G91="",H91=""),"Missing input",IF(OR(F91&lt;1,G91&lt;1,I91&gt;Calendar!$B$9),"Outside calendar",IF(F91&lt;MAX(INDEX($I$8:$I$157,MATCH("Q17",$A$8:$A$157,0))+1,INDEX($I$8:$I$157,MATCH("BA17",$A$8:$A$157,0))+1,INDEX($I$8:$I$157,MATCH("U17",$A$8:$A$157,0))+1,INDEX($I$8:$I$157,MATCH("Q-REL",$A$8:$A$157,0))+1),"Dependency conflict","Scheduled")))</x:f>
        <x:v>Scheduled</x:v>
      </x:c>
      <x:c r="N91" s="45" t="n">
        <x:f>IF(OR($J91="",$K91=""),"",IF(SUMIFS(Calendar!$C$16:$C$141,Calendar!$A$16:$A$141,"&gt;="&amp;MAX(N$7,$J91),Calendar!$A$16:$A$141,"&lt;="&amp;MIN(N$7+4,$K91))=0,0,IF($H91="","EXT",SUMIFS(Calendar!$C$16:$C$141,Calendar!$A$16:$A$141,"&gt;="&amp;MAX(N$7,$J91),Calendar!$A$16:$A$141,"&lt;="&amp;MIN(N$7+4,$K91))*$H91/$G91)))</x:f>
        <x:v>0</x:v>
      </x:c>
      <x:c r="O91" s="45" t="n">
        <x:f>IF(OR($J91="",$K91=""),"",IF(SUMIFS(Calendar!$C$16:$C$141,Calendar!$A$16:$A$141,"&gt;="&amp;MAX(O$7,$J91),Calendar!$A$16:$A$141,"&lt;="&amp;MIN(O$7+4,$K91))=0,0,IF($H91="","EXT",SUMIFS(Calendar!$C$16:$C$141,Calendar!$A$16:$A$141,"&gt;="&amp;MAX(O$7,$J91),Calendar!$A$16:$A$141,"&lt;="&amp;MIN(O$7+4,$K91))*$H91/$G91)))</x:f>
        <x:v>0</x:v>
      </x:c>
      <x:c r="P91" s="45" t="n">
        <x:f>IF(OR($J91="",$K91=""),"",IF(SUMIFS(Calendar!$C$16:$C$141,Calendar!$A$16:$A$141,"&gt;="&amp;MAX(P$7,$J91),Calendar!$A$16:$A$141,"&lt;="&amp;MIN(P$7+4,$K91))=0,0,IF($H91="","EXT",SUMIFS(Calendar!$C$16:$C$141,Calendar!$A$16:$A$141,"&gt;="&amp;MAX(P$7,$J91),Calendar!$A$16:$A$141,"&lt;="&amp;MIN(P$7+4,$K91))*$H91/$G91)))</x:f>
        <x:v>0</x:v>
      </x:c>
      <x:c r="Q91" s="45" t="n">
        <x:f>IF(OR($J91="",$K91=""),"",IF(SUMIFS(Calendar!$C$16:$C$141,Calendar!$A$16:$A$141,"&gt;="&amp;MAX(Q$7,$J91),Calendar!$A$16:$A$141,"&lt;="&amp;MIN(Q$7+4,$K91))=0,0,IF($H91="","EXT",SUMIFS(Calendar!$C$16:$C$141,Calendar!$A$16:$A$141,"&gt;="&amp;MAX(Q$7,$J91),Calendar!$A$16:$A$141,"&lt;="&amp;MIN(Q$7+4,$K91))*$H91/$G91)))</x:f>
        <x:v>0</x:v>
      </x:c>
      <x:c r="R91" s="45" t="n">
        <x:f>IF(OR($J91="",$K91=""),"",IF(SUMIFS(Calendar!$C$16:$C$141,Calendar!$A$16:$A$141,"&gt;="&amp;MAX(R$7,$J91),Calendar!$A$16:$A$141,"&lt;="&amp;MIN(R$7+4,$K91))=0,0,IF($H91="","EXT",SUMIFS(Calendar!$C$16:$C$141,Calendar!$A$16:$A$141,"&gt;="&amp;MAX(R$7,$J91),Calendar!$A$16:$A$141,"&lt;="&amp;MIN(R$7+4,$K91))*$H91/$G91)))</x:f>
        <x:v>0</x:v>
      </x:c>
      <x:c r="S91" s="45" t="n">
        <x:f>IF(OR($J91="",$K91=""),"",IF(SUMIFS(Calendar!$C$16:$C$141,Calendar!$A$16:$A$141,"&gt;="&amp;MAX(S$7,$J91),Calendar!$A$16:$A$141,"&lt;="&amp;MIN(S$7+4,$K91))=0,0,IF($H91="","EXT",SUMIFS(Calendar!$C$16:$C$141,Calendar!$A$16:$A$141,"&gt;="&amp;MAX(S$7,$J91),Calendar!$A$16:$A$141,"&lt;="&amp;MIN(S$7+4,$K91))*$H91/$G91)))</x:f>
        <x:v>0</x:v>
      </x:c>
      <x:c r="T91" s="45" t="n">
        <x:f>IF(OR($J91="",$K91=""),"",IF(SUMIFS(Calendar!$C$16:$C$141,Calendar!$A$16:$A$141,"&gt;="&amp;MAX(T$7,$J91),Calendar!$A$16:$A$141,"&lt;="&amp;MIN(T$7+4,$K91))=0,0,IF($H91="","EXT",SUMIFS(Calendar!$C$16:$C$141,Calendar!$A$16:$A$141,"&gt;="&amp;MAX(T$7,$J91),Calendar!$A$16:$A$141,"&lt;="&amp;MIN(T$7+4,$K91))*$H91/$G91)))</x:f>
        <x:v>0</x:v>
      </x:c>
      <x:c r="U91" s="45" t="n">
        <x:f>IF(OR($J91="",$K91=""),"",IF(SUMIFS(Calendar!$C$16:$C$141,Calendar!$A$16:$A$141,"&gt;="&amp;MAX(U$7,$J91),Calendar!$A$16:$A$141,"&lt;="&amp;MIN(U$7+4,$K91))=0,0,IF($H91="","EXT",SUMIFS(Calendar!$C$16:$C$141,Calendar!$A$16:$A$141,"&gt;="&amp;MAX(U$7,$J91),Calendar!$A$16:$A$141,"&lt;="&amp;MIN(U$7+4,$K91))*$H91/$G91)))</x:f>
        <x:v>0</x:v>
      </x:c>
      <x:c r="V91" s="45" t="n">
        <x:f>IF(OR($J91="",$K91=""),"",IF(SUMIFS(Calendar!$C$16:$C$141,Calendar!$A$16:$A$141,"&gt;="&amp;MAX(V$7,$J91),Calendar!$A$16:$A$141,"&lt;="&amp;MIN(V$7+4,$K91))=0,0,IF($H91="","EXT",SUMIFS(Calendar!$C$16:$C$141,Calendar!$A$16:$A$141,"&gt;="&amp;MAX(V$7,$J91),Calendar!$A$16:$A$141,"&lt;="&amp;MIN(V$7+4,$K91))*$H91/$G91)))</x:f>
        <x:v>0</x:v>
      </x:c>
      <x:c r="W91" s="45" t="n">
        <x:f>IF(OR($J91="",$K91=""),"",IF(SUMIFS(Calendar!$C$16:$C$141,Calendar!$A$16:$A$141,"&gt;="&amp;MAX(W$7,$J91),Calendar!$A$16:$A$141,"&lt;="&amp;MIN(W$7+4,$K91))=0,0,IF($H91="","EXT",SUMIFS(Calendar!$C$16:$C$141,Calendar!$A$16:$A$141,"&gt;="&amp;MAX(W$7,$J91),Calendar!$A$16:$A$141,"&lt;="&amp;MIN(W$7+4,$K91))*$H91/$G91)))</x:f>
        <x:v>0</x:v>
      </x:c>
      <x:c r="X91" s="45" t="n">
        <x:f>IF(OR($J91="",$K91=""),"",IF(SUMIFS(Calendar!$C$16:$C$141,Calendar!$A$16:$A$141,"&gt;="&amp;MAX(X$7,$J91),Calendar!$A$16:$A$141,"&lt;="&amp;MIN(X$7+4,$K91))=0,0,IF($H91="","EXT",SUMIFS(Calendar!$C$16:$C$141,Calendar!$A$16:$A$141,"&gt;="&amp;MAX(X$7,$J91),Calendar!$A$16:$A$141,"&lt;="&amp;MIN(X$7+4,$K91))*$H91/$G91)))</x:f>
        <x:v>0</x:v>
      </x:c>
      <x:c r="Y91" s="45" t="n">
        <x:f>IF(OR($J91="",$K91=""),"",IF(SUMIFS(Calendar!$C$16:$C$141,Calendar!$A$16:$A$141,"&gt;="&amp;MAX(Y$7,$J91),Calendar!$A$16:$A$141,"&lt;="&amp;MIN(Y$7+4,$K91))=0,0,IF($H91="","EXT",SUMIFS(Calendar!$C$16:$C$141,Calendar!$A$16:$A$141,"&gt;="&amp;MAX(Y$7,$J91),Calendar!$A$16:$A$141,"&lt;="&amp;MIN(Y$7+4,$K91))*$H91/$G91)))</x:f>
        <x:v>0</x:v>
      </x:c>
      <x:c r="Z91" s="45" t="n">
        <x:f>IF(OR($J91="",$K91=""),"",IF(SUMIFS(Calendar!$C$16:$C$141,Calendar!$A$16:$A$141,"&gt;="&amp;MAX(Z$7,$J91),Calendar!$A$16:$A$141,"&lt;="&amp;MIN(Z$7+4,$K91))=0,0,IF($H91="","EXT",SUMIFS(Calendar!$C$16:$C$141,Calendar!$A$16:$A$141,"&gt;="&amp;MAX(Z$7,$J91),Calendar!$A$16:$A$141,"&lt;="&amp;MIN(Z$7+4,$K91))*$H91/$G91)))</x:f>
        <x:v>0</x:v>
      </x:c>
      <x:c r="AA91" s="45" t="n">
        <x:f>IF(OR($J91="",$K91=""),"",IF(SUMIFS(Calendar!$C$16:$C$141,Calendar!$A$16:$A$141,"&gt;="&amp;MAX(AA$7,$J91),Calendar!$A$16:$A$141,"&lt;="&amp;MIN(AA$7+4,$K91))=0,0,IF($H91="","EXT",SUMIFS(Calendar!$C$16:$C$141,Calendar!$A$16:$A$141,"&gt;="&amp;MAX(AA$7,$J91),Calendar!$A$16:$A$141,"&lt;="&amp;MIN(AA$7+4,$K91))*$H91/$G91)))</x:f>
        <x:v>0</x:v>
      </x:c>
      <x:c r="AB91" s="45" t="n">
        <x:f>IF(OR($J91="",$K91=""),"",IF(SUMIFS(Calendar!$C$16:$C$141,Calendar!$A$16:$A$141,"&gt;="&amp;MAX(AB$7,$J91),Calendar!$A$16:$A$141,"&lt;="&amp;MIN(AB$7+4,$K91))=0,0,IF($H91="","EXT",SUMIFS(Calendar!$C$16:$C$141,Calendar!$A$16:$A$141,"&gt;="&amp;MAX(AB$7,$J91),Calendar!$A$16:$A$141,"&lt;="&amp;MIN(AB$7+4,$K91))*$H91/$G91)))</x:f>
        <x:v>0</x:v>
      </x:c>
      <x:c r="AC91" s="45" t="n">
        <x:f>IF(OR($J91="",$K91=""),"",IF(SUMIFS(Calendar!$C$16:$C$141,Calendar!$A$16:$A$141,"&gt;="&amp;MAX(AC$7,$J91),Calendar!$A$16:$A$141,"&lt;="&amp;MIN(AC$7+4,$K91))=0,0,IF($H91="","EXT",SUMIFS(Calendar!$C$16:$C$141,Calendar!$A$16:$A$141,"&gt;="&amp;MAX(AC$7,$J91),Calendar!$A$16:$A$141,"&lt;="&amp;MIN(AC$7+4,$K91))*$H91/$G91)))</x:f>
        <x:v>0</x:v>
      </x:c>
      <x:c r="AD91" s="45" t="n">
        <x:f>IF(OR($J91="",$K91=""),"",IF(SUMIFS(Calendar!$C$16:$C$141,Calendar!$A$16:$A$141,"&gt;="&amp;MAX(AD$7,$J91),Calendar!$A$16:$A$141,"&lt;="&amp;MIN(AD$7+4,$K91))=0,0,IF($H91="","EXT",SUMIFS(Calendar!$C$16:$C$141,Calendar!$A$16:$A$141,"&gt;="&amp;MAX(AD$7,$J91),Calendar!$A$16:$A$141,"&lt;="&amp;MIN(AD$7+4,$K91))*$H91/$G91)))</x:f>
        <x:v>0</x:v>
      </x:c>
      <x:c r="AE91" s="45" t="n">
        <x:f>IF(OR($J91="",$K91=""),"",IF(SUMIFS(Calendar!$C$16:$C$141,Calendar!$A$16:$A$141,"&gt;="&amp;MAX(AE$7,$J91),Calendar!$A$16:$A$141,"&lt;="&amp;MIN(AE$7+4,$K91))=0,0,IF($H91="","EXT",SUMIFS(Calendar!$C$16:$C$141,Calendar!$A$16:$A$141,"&gt;="&amp;MAX(AE$7,$J91),Calendar!$A$16:$A$141,"&lt;="&amp;MIN(AE$7+4,$K91))*$H91/$G91)))</x:f>
        <x:v>2</x:v>
      </x:c>
      <x:c r="AF91" s="8" t="n">
        <x:f>IF(OR(M91&lt;&gt;"Scheduled",INDEX('Team and Gates'!$C$7:$C$13,MATCH($D91,'Team and Gates'!$A$7:$A$13,0))=""),"CHECK",SUM(N91:AE91)*INDEX('Team and Gates'!$C$7:$C$13,MATCH($D91,'Team and Gates'!$A$7:$A$13,0)))</x:f>
        <x:v>720</x:v>
      </x:c>
      <x:c r="AG91" s="46" t="str">
        <x:v>After Feb 26 production release, complete monitoring, defect retests and service handover by Mar 5.</x:v>
      </x:c>
      <x:c r="AH91" s="46" t="str">
        <x:v>Hypercare Mar 1-5; production rollout and Go/No-Go are separately scheduled Feb 25-26.</x:v>
      </x:c>
    </x:row>
    <x:row r="92" ht="45" customHeight="1">
      <x:c r="A92" s="2" t="str">
        <x:v>U01</x:v>
      </x:c>
      <x:c r="B92" s="2" t="str">
        <x:v>Business QA</x:v>
      </x:c>
      <x:c r="C92" s="46" t="str">
        <x:v>Business test strategy and BA default-case workshops</x:v>
      </x:c>
      <x:c r="D92" s="34" t="str">
        <x:v>Tester 2</x:v>
      </x:c>
      <x:c r="E92" s="46" t="str"/>
      <x:c r="F92" s="50" t="n">
        <x:v>1</x:v>
      </x:c>
      <x:c r="G92" s="50" t="n">
        <x:v>5</x:v>
      </x:c>
      <x:c r="H92" s="51" t="n">
        <x:v>3</x:v>
      </x:c>
      <x:c r="I92" s="2" t="n">
        <x:f>IF(OR(F92="",G92=""),"",F92+G92-1)</x:f>
        <x:v>5</x:v>
      </x:c>
      <x:c r="J92" s="5" t="n">
        <x:f>IF(OR(F92="",F92&lt;1,F92&gt;Calendar!$B$9),"",INDEX(Calendar!$A$16:$A$141,MATCH(F92,Calendar!$D$16:$D$141,0)))</x:f>
        <x:v>46328</x:v>
      </x:c>
      <x:c r="K92" s="5" t="n">
        <x:f>IF(OR(I92="",I92&lt;1,I92&gt;Calendar!$B$9),"",INDEX(Calendar!$A$16:$A$141,MATCH(I92,Calendar!$D$16:$D$141,0)))</x:f>
        <x:v>46332</x:v>
      </x:c>
      <x:c r="L92" s="53" t="n">
        <x:v>0</x:v>
      </x:c>
      <x:c r="M92" s="2" t="str">
        <x:f>IF(OR(F92="",G92="",H92=""),"Missing input",IF(OR(F92&lt;1,G92&lt;1,I92&gt;Calendar!$B$9),"Outside calendar",IF(F92&lt;1,"Dependency conflict","Scheduled")))</x:f>
        <x:v>Scheduled</x:v>
      </x:c>
      <x:c r="N92" s="45" t="n">
        <x:f>IF(OR($J92="",$K92=""),"",IF(SUMIFS(Calendar!$C$16:$C$141,Calendar!$A$16:$A$141,"&gt;="&amp;MAX(N$7,$J92),Calendar!$A$16:$A$141,"&lt;="&amp;MIN(N$7+4,$K92))=0,0,IF($H92="","EXT",SUMIFS(Calendar!$C$16:$C$141,Calendar!$A$16:$A$141,"&gt;="&amp;MAX(N$7,$J92),Calendar!$A$16:$A$141,"&lt;="&amp;MIN(N$7+4,$K92))*$H92/$G92)))</x:f>
        <x:v>3</x:v>
      </x:c>
      <x:c r="O92" s="45" t="n">
        <x:f>IF(OR($J92="",$K92=""),"",IF(SUMIFS(Calendar!$C$16:$C$141,Calendar!$A$16:$A$141,"&gt;="&amp;MAX(O$7,$J92),Calendar!$A$16:$A$141,"&lt;="&amp;MIN(O$7+4,$K92))=0,0,IF($H92="","EXT",SUMIFS(Calendar!$C$16:$C$141,Calendar!$A$16:$A$141,"&gt;="&amp;MAX(O$7,$J92),Calendar!$A$16:$A$141,"&lt;="&amp;MIN(O$7+4,$K92))*$H92/$G92)))</x:f>
        <x:v>0</x:v>
      </x:c>
      <x:c r="P92" s="45" t="n">
        <x:f>IF(OR($J92="",$K92=""),"",IF(SUMIFS(Calendar!$C$16:$C$141,Calendar!$A$16:$A$141,"&gt;="&amp;MAX(P$7,$J92),Calendar!$A$16:$A$141,"&lt;="&amp;MIN(P$7+4,$K92))=0,0,IF($H92="","EXT",SUMIFS(Calendar!$C$16:$C$141,Calendar!$A$16:$A$141,"&gt;="&amp;MAX(P$7,$J92),Calendar!$A$16:$A$141,"&lt;="&amp;MIN(P$7+4,$K92))*$H92/$G92)))</x:f>
        <x:v>0</x:v>
      </x:c>
      <x:c r="Q92" s="45" t="n">
        <x:f>IF(OR($J92="",$K92=""),"",IF(SUMIFS(Calendar!$C$16:$C$141,Calendar!$A$16:$A$141,"&gt;="&amp;MAX(Q$7,$J92),Calendar!$A$16:$A$141,"&lt;="&amp;MIN(Q$7+4,$K92))=0,0,IF($H92="","EXT",SUMIFS(Calendar!$C$16:$C$141,Calendar!$A$16:$A$141,"&gt;="&amp;MAX(Q$7,$J92),Calendar!$A$16:$A$141,"&lt;="&amp;MIN(Q$7+4,$K92))*$H92/$G92)))</x:f>
        <x:v>0</x:v>
      </x:c>
      <x:c r="R92" s="45" t="n">
        <x:f>IF(OR($J92="",$K92=""),"",IF(SUMIFS(Calendar!$C$16:$C$141,Calendar!$A$16:$A$141,"&gt;="&amp;MAX(R$7,$J92),Calendar!$A$16:$A$141,"&lt;="&amp;MIN(R$7+4,$K92))=0,0,IF($H92="","EXT",SUMIFS(Calendar!$C$16:$C$141,Calendar!$A$16:$A$141,"&gt;="&amp;MAX(R$7,$J92),Calendar!$A$16:$A$141,"&lt;="&amp;MIN(R$7+4,$K92))*$H92/$G92)))</x:f>
        <x:v>0</x:v>
      </x:c>
      <x:c r="S92" s="45" t="n">
        <x:f>IF(OR($J92="",$K92=""),"",IF(SUMIFS(Calendar!$C$16:$C$141,Calendar!$A$16:$A$141,"&gt;="&amp;MAX(S$7,$J92),Calendar!$A$16:$A$141,"&lt;="&amp;MIN(S$7+4,$K92))=0,0,IF($H92="","EXT",SUMIFS(Calendar!$C$16:$C$141,Calendar!$A$16:$A$141,"&gt;="&amp;MAX(S$7,$J92),Calendar!$A$16:$A$141,"&lt;="&amp;MIN(S$7+4,$K92))*$H92/$G92)))</x:f>
        <x:v>0</x:v>
      </x:c>
      <x:c r="T92" s="45" t="n">
        <x:f>IF(OR($J92="",$K92=""),"",IF(SUMIFS(Calendar!$C$16:$C$141,Calendar!$A$16:$A$141,"&gt;="&amp;MAX(T$7,$J92),Calendar!$A$16:$A$141,"&lt;="&amp;MIN(T$7+4,$K92))=0,0,IF($H92="","EXT",SUMIFS(Calendar!$C$16:$C$141,Calendar!$A$16:$A$141,"&gt;="&amp;MAX(T$7,$J92),Calendar!$A$16:$A$141,"&lt;="&amp;MIN(T$7+4,$K92))*$H92/$G92)))</x:f>
        <x:v>0</x:v>
      </x:c>
      <x:c r="U92" s="45" t="n">
        <x:f>IF(OR($J92="",$K92=""),"",IF(SUMIFS(Calendar!$C$16:$C$141,Calendar!$A$16:$A$141,"&gt;="&amp;MAX(U$7,$J92),Calendar!$A$16:$A$141,"&lt;="&amp;MIN(U$7+4,$K92))=0,0,IF($H92="","EXT",SUMIFS(Calendar!$C$16:$C$141,Calendar!$A$16:$A$141,"&gt;="&amp;MAX(U$7,$J92),Calendar!$A$16:$A$141,"&lt;="&amp;MIN(U$7+4,$K92))*$H92/$G92)))</x:f>
        <x:v>0</x:v>
      </x:c>
      <x:c r="V92" s="45" t="n">
        <x:f>IF(OR($J92="",$K92=""),"",IF(SUMIFS(Calendar!$C$16:$C$141,Calendar!$A$16:$A$141,"&gt;="&amp;MAX(V$7,$J92),Calendar!$A$16:$A$141,"&lt;="&amp;MIN(V$7+4,$K92))=0,0,IF($H92="","EXT",SUMIFS(Calendar!$C$16:$C$141,Calendar!$A$16:$A$141,"&gt;="&amp;MAX(V$7,$J92),Calendar!$A$16:$A$141,"&lt;="&amp;MIN(V$7+4,$K92))*$H92/$G92)))</x:f>
        <x:v>0</x:v>
      </x:c>
      <x:c r="W92" s="45" t="n">
        <x:f>IF(OR($J92="",$K92=""),"",IF(SUMIFS(Calendar!$C$16:$C$141,Calendar!$A$16:$A$141,"&gt;="&amp;MAX(W$7,$J92),Calendar!$A$16:$A$141,"&lt;="&amp;MIN(W$7+4,$K92))=0,0,IF($H92="","EXT",SUMIFS(Calendar!$C$16:$C$141,Calendar!$A$16:$A$141,"&gt;="&amp;MAX(W$7,$J92),Calendar!$A$16:$A$141,"&lt;="&amp;MIN(W$7+4,$K92))*$H92/$G92)))</x:f>
        <x:v>0</x:v>
      </x:c>
      <x:c r="X92" s="45" t="n">
        <x:f>IF(OR($J92="",$K92=""),"",IF(SUMIFS(Calendar!$C$16:$C$141,Calendar!$A$16:$A$141,"&gt;="&amp;MAX(X$7,$J92),Calendar!$A$16:$A$141,"&lt;="&amp;MIN(X$7+4,$K92))=0,0,IF($H92="","EXT",SUMIFS(Calendar!$C$16:$C$141,Calendar!$A$16:$A$141,"&gt;="&amp;MAX(X$7,$J92),Calendar!$A$16:$A$141,"&lt;="&amp;MIN(X$7+4,$K92))*$H92/$G92)))</x:f>
        <x:v>0</x:v>
      </x:c>
      <x:c r="Y92" s="45" t="n">
        <x:f>IF(OR($J92="",$K92=""),"",IF(SUMIFS(Calendar!$C$16:$C$141,Calendar!$A$16:$A$141,"&gt;="&amp;MAX(Y$7,$J92),Calendar!$A$16:$A$141,"&lt;="&amp;MIN(Y$7+4,$K92))=0,0,IF($H92="","EXT",SUMIFS(Calendar!$C$16:$C$141,Calendar!$A$16:$A$141,"&gt;="&amp;MAX(Y$7,$J92),Calendar!$A$16:$A$141,"&lt;="&amp;MIN(Y$7+4,$K92))*$H92/$G92)))</x:f>
        <x:v>0</x:v>
      </x:c>
      <x:c r="Z92" s="45" t="n">
        <x:f>IF(OR($J92="",$K92=""),"",IF(SUMIFS(Calendar!$C$16:$C$141,Calendar!$A$16:$A$141,"&gt;="&amp;MAX(Z$7,$J92),Calendar!$A$16:$A$141,"&lt;="&amp;MIN(Z$7+4,$K92))=0,0,IF($H92="","EXT",SUMIFS(Calendar!$C$16:$C$141,Calendar!$A$16:$A$141,"&gt;="&amp;MAX(Z$7,$J92),Calendar!$A$16:$A$141,"&lt;="&amp;MIN(Z$7+4,$K92))*$H92/$G92)))</x:f>
        <x:v>0</x:v>
      </x:c>
      <x:c r="AA92" s="45" t="n">
        <x:f>IF(OR($J92="",$K92=""),"",IF(SUMIFS(Calendar!$C$16:$C$141,Calendar!$A$16:$A$141,"&gt;="&amp;MAX(AA$7,$J92),Calendar!$A$16:$A$141,"&lt;="&amp;MIN(AA$7+4,$K92))=0,0,IF($H92="","EXT",SUMIFS(Calendar!$C$16:$C$141,Calendar!$A$16:$A$141,"&gt;="&amp;MAX(AA$7,$J92),Calendar!$A$16:$A$141,"&lt;="&amp;MIN(AA$7+4,$K92))*$H92/$G92)))</x:f>
        <x:v>0</x:v>
      </x:c>
      <x:c r="AB92" s="45" t="n">
        <x:f>IF(OR($J92="",$K92=""),"",IF(SUMIFS(Calendar!$C$16:$C$141,Calendar!$A$16:$A$141,"&gt;="&amp;MAX(AB$7,$J92),Calendar!$A$16:$A$141,"&lt;="&amp;MIN(AB$7+4,$K92))=0,0,IF($H92="","EXT",SUMIFS(Calendar!$C$16:$C$141,Calendar!$A$16:$A$141,"&gt;="&amp;MAX(AB$7,$J92),Calendar!$A$16:$A$141,"&lt;="&amp;MIN(AB$7+4,$K92))*$H92/$G92)))</x:f>
        <x:v>0</x:v>
      </x:c>
      <x:c r="AC92" s="45" t="n">
        <x:f>IF(OR($J92="",$K92=""),"",IF(SUMIFS(Calendar!$C$16:$C$141,Calendar!$A$16:$A$141,"&gt;="&amp;MAX(AC$7,$J92),Calendar!$A$16:$A$141,"&lt;="&amp;MIN(AC$7+4,$K92))=0,0,IF($H92="","EXT",SUMIFS(Calendar!$C$16:$C$141,Calendar!$A$16:$A$141,"&gt;="&amp;MAX(AC$7,$J92),Calendar!$A$16:$A$141,"&lt;="&amp;MIN(AC$7+4,$K92))*$H92/$G92)))</x:f>
        <x:v>0</x:v>
      </x:c>
      <x:c r="AD92" s="45" t="n">
        <x:f>IF(OR($J92="",$K92=""),"",IF(SUMIFS(Calendar!$C$16:$C$141,Calendar!$A$16:$A$141,"&gt;="&amp;MAX(AD$7,$J92),Calendar!$A$16:$A$141,"&lt;="&amp;MIN(AD$7+4,$K92))=0,0,IF($H92="","EXT",SUMIFS(Calendar!$C$16:$C$141,Calendar!$A$16:$A$141,"&gt;="&amp;MAX(AD$7,$J92),Calendar!$A$16:$A$141,"&lt;="&amp;MIN(AD$7+4,$K92))*$H92/$G92)))</x:f>
        <x:v>0</x:v>
      </x:c>
      <x:c r="AE92" s="45" t="n">
        <x:f>IF(OR($J92="",$K92=""),"",IF(SUMIFS(Calendar!$C$16:$C$141,Calendar!$A$16:$A$141,"&gt;="&amp;MAX(AE$7,$J92),Calendar!$A$16:$A$141,"&lt;="&amp;MIN(AE$7+4,$K92))=0,0,IF($H92="","EXT",SUMIFS(Calendar!$C$16:$C$141,Calendar!$A$16:$A$141,"&gt;="&amp;MAX(AE$7,$J92),Calendar!$A$16:$A$141,"&lt;="&amp;MIN(AE$7+4,$K92))*$H92/$G92)))</x:f>
        <x:v>0</x:v>
      </x:c>
      <x:c r="AF92" s="8" t="n">
        <x:f>IF(OR(M92&lt;&gt;"Scheduled",INDEX('Team and Gates'!$C$7:$C$13,MATCH($D92,'Team and Gates'!$A$7:$A$13,0))=""),"CHECK",SUM(N92:AE92)*INDEX('Team and Gates'!$C$7:$C$13,MATCH($D92,'Team and Gates'!$A$7:$A$13,0)))</x:f>
        <x:v>1080</x:v>
      </x:c>
      <x:c r="AG92" s="46" t="str">
        <x:v>Reviewed preparation artifact, mapped to FSD/AC and handoff checklist.</x:v>
      </x:c>
      <x:c r="AH92" s="46" t="str"/>
    </x:row>
    <x:row r="93" ht="45" customHeight="1">
      <x:c r="A93" s="39" t="str">
        <x:v>U02</x:v>
      </x:c>
      <x:c r="B93" s="39" t="str">
        <x:v>Business QA</x:v>
      </x:c>
      <x:c r="C93" s="47" t="str">
        <x:v>Review FSD AC and annotate authorized example threads</x:v>
      </x:c>
      <x:c r="D93" s="34" t="str">
        <x:v>Tester 2</x:v>
      </x:c>
      <x:c r="E93" s="47" t="str">
        <x:v>U01</x:v>
      </x:c>
      <x:c r="F93" s="50" t="n">
        <x:v>6</x:v>
      </x:c>
      <x:c r="G93" s="50" t="n">
        <x:v>2</x:v>
      </x:c>
      <x:c r="H93" s="51" t="n">
        <x:v>1.2000000000000002</x:v>
      </x:c>
      <x:c r="I93" s="39" t="n">
        <x:f>IF(OR(F93="",G93=""),"",F93+G93-1)</x:f>
        <x:v>7</x:v>
      </x:c>
      <x:c r="J93" s="41" t="n">
        <x:f>IF(OR(F93="",F93&lt;1,F93&gt;Calendar!$B$9),"",INDEX(Calendar!$A$16:$A$141,MATCH(F93,Calendar!$D$16:$D$141,0)))</x:f>
        <x:v>46335</x:v>
      </x:c>
      <x:c r="K93" s="41" t="n">
        <x:f>IF(OR(I93="",I93&lt;1,I93&gt;Calendar!$B$9),"",INDEX(Calendar!$A$16:$A$141,MATCH(I93,Calendar!$D$16:$D$141,0)))</x:f>
        <x:v>46336</x:v>
      </x:c>
      <x:c r="L93" s="53" t="n">
        <x:v>0</x:v>
      </x:c>
      <x:c r="M93" s="39" t="str">
        <x:f>IF(OR(F93="",G93="",H93=""),"Missing input",IF(OR(F93&lt;1,G93&lt;1,I93&gt;Calendar!$B$9),"Outside calendar",IF(F93&lt;MAX(INDEX($I$8:$I$157,MATCH("U01",$A$8:$A$157,0))+1),"Dependency conflict","Scheduled")))</x:f>
        <x:v>Scheduled</x:v>
      </x:c>
      <x:c r="N93" s="45" t="n">
        <x:f>IF(OR($J93="",$K93=""),"",IF(SUMIFS(Calendar!$C$16:$C$141,Calendar!$A$16:$A$141,"&gt;="&amp;MAX(N$7,$J93),Calendar!$A$16:$A$141,"&lt;="&amp;MIN(N$7+4,$K93))=0,0,IF($H93="","EXT",SUMIFS(Calendar!$C$16:$C$141,Calendar!$A$16:$A$141,"&gt;="&amp;MAX(N$7,$J93),Calendar!$A$16:$A$141,"&lt;="&amp;MIN(N$7+4,$K93))*$H93/$G93)))</x:f>
        <x:v>0</x:v>
      </x:c>
      <x:c r="O93" s="45" t="n">
        <x:f>IF(OR($J93="",$K93=""),"",IF(SUMIFS(Calendar!$C$16:$C$141,Calendar!$A$16:$A$141,"&gt;="&amp;MAX(O$7,$J93),Calendar!$A$16:$A$141,"&lt;="&amp;MIN(O$7+4,$K93))=0,0,IF($H93="","EXT",SUMIFS(Calendar!$C$16:$C$141,Calendar!$A$16:$A$141,"&gt;="&amp;MAX(O$7,$J93),Calendar!$A$16:$A$141,"&lt;="&amp;MIN(O$7+4,$K93))*$H93/$G93)))</x:f>
        <x:v>1.2000000000000002</x:v>
      </x:c>
      <x:c r="P93" s="45" t="n">
        <x:f>IF(OR($J93="",$K93=""),"",IF(SUMIFS(Calendar!$C$16:$C$141,Calendar!$A$16:$A$141,"&gt;="&amp;MAX(P$7,$J93),Calendar!$A$16:$A$141,"&lt;="&amp;MIN(P$7+4,$K93))=0,0,IF($H93="","EXT",SUMIFS(Calendar!$C$16:$C$141,Calendar!$A$16:$A$141,"&gt;="&amp;MAX(P$7,$J93),Calendar!$A$16:$A$141,"&lt;="&amp;MIN(P$7+4,$K93))*$H93/$G93)))</x:f>
        <x:v>0</x:v>
      </x:c>
      <x:c r="Q93" s="45" t="n">
        <x:f>IF(OR($J93="",$K93=""),"",IF(SUMIFS(Calendar!$C$16:$C$141,Calendar!$A$16:$A$141,"&gt;="&amp;MAX(Q$7,$J93),Calendar!$A$16:$A$141,"&lt;="&amp;MIN(Q$7+4,$K93))=0,0,IF($H93="","EXT",SUMIFS(Calendar!$C$16:$C$141,Calendar!$A$16:$A$141,"&gt;="&amp;MAX(Q$7,$J93),Calendar!$A$16:$A$141,"&lt;="&amp;MIN(Q$7+4,$K93))*$H93/$G93)))</x:f>
        <x:v>0</x:v>
      </x:c>
      <x:c r="R93" s="45" t="n">
        <x:f>IF(OR($J93="",$K93=""),"",IF(SUMIFS(Calendar!$C$16:$C$141,Calendar!$A$16:$A$141,"&gt;="&amp;MAX(R$7,$J93),Calendar!$A$16:$A$141,"&lt;="&amp;MIN(R$7+4,$K93))=0,0,IF($H93="","EXT",SUMIFS(Calendar!$C$16:$C$141,Calendar!$A$16:$A$141,"&gt;="&amp;MAX(R$7,$J93),Calendar!$A$16:$A$141,"&lt;="&amp;MIN(R$7+4,$K93))*$H93/$G93)))</x:f>
        <x:v>0</x:v>
      </x:c>
      <x:c r="S93" s="45" t="n">
        <x:f>IF(OR($J93="",$K93=""),"",IF(SUMIFS(Calendar!$C$16:$C$141,Calendar!$A$16:$A$141,"&gt;="&amp;MAX(S$7,$J93),Calendar!$A$16:$A$141,"&lt;="&amp;MIN(S$7+4,$K93))=0,0,IF($H93="","EXT",SUMIFS(Calendar!$C$16:$C$141,Calendar!$A$16:$A$141,"&gt;="&amp;MAX(S$7,$J93),Calendar!$A$16:$A$141,"&lt;="&amp;MIN(S$7+4,$K93))*$H93/$G93)))</x:f>
        <x:v>0</x:v>
      </x:c>
      <x:c r="T93" s="45" t="n">
        <x:f>IF(OR($J93="",$K93=""),"",IF(SUMIFS(Calendar!$C$16:$C$141,Calendar!$A$16:$A$141,"&gt;="&amp;MAX(T$7,$J93),Calendar!$A$16:$A$141,"&lt;="&amp;MIN(T$7+4,$K93))=0,0,IF($H93="","EXT",SUMIFS(Calendar!$C$16:$C$141,Calendar!$A$16:$A$141,"&gt;="&amp;MAX(T$7,$J93),Calendar!$A$16:$A$141,"&lt;="&amp;MIN(T$7+4,$K93))*$H93/$G93)))</x:f>
        <x:v>0</x:v>
      </x:c>
      <x:c r="U93" s="45" t="n">
        <x:f>IF(OR($J93="",$K93=""),"",IF(SUMIFS(Calendar!$C$16:$C$141,Calendar!$A$16:$A$141,"&gt;="&amp;MAX(U$7,$J93),Calendar!$A$16:$A$141,"&lt;="&amp;MIN(U$7+4,$K93))=0,0,IF($H93="","EXT",SUMIFS(Calendar!$C$16:$C$141,Calendar!$A$16:$A$141,"&gt;="&amp;MAX(U$7,$J93),Calendar!$A$16:$A$141,"&lt;="&amp;MIN(U$7+4,$K93))*$H93/$G93)))</x:f>
        <x:v>0</x:v>
      </x:c>
      <x:c r="V93" s="45" t="n">
        <x:f>IF(OR($J93="",$K93=""),"",IF(SUMIFS(Calendar!$C$16:$C$141,Calendar!$A$16:$A$141,"&gt;="&amp;MAX(V$7,$J93),Calendar!$A$16:$A$141,"&lt;="&amp;MIN(V$7+4,$K93))=0,0,IF($H93="","EXT",SUMIFS(Calendar!$C$16:$C$141,Calendar!$A$16:$A$141,"&gt;="&amp;MAX(V$7,$J93),Calendar!$A$16:$A$141,"&lt;="&amp;MIN(V$7+4,$K93))*$H93/$G93)))</x:f>
        <x:v>0</x:v>
      </x:c>
      <x:c r="W93" s="45" t="n">
        <x:f>IF(OR($J93="",$K93=""),"",IF(SUMIFS(Calendar!$C$16:$C$141,Calendar!$A$16:$A$141,"&gt;="&amp;MAX(W$7,$J93),Calendar!$A$16:$A$141,"&lt;="&amp;MIN(W$7+4,$K93))=0,0,IF($H93="","EXT",SUMIFS(Calendar!$C$16:$C$141,Calendar!$A$16:$A$141,"&gt;="&amp;MAX(W$7,$J93),Calendar!$A$16:$A$141,"&lt;="&amp;MIN(W$7+4,$K93))*$H93/$G93)))</x:f>
        <x:v>0</x:v>
      </x:c>
      <x:c r="X93" s="45" t="n">
        <x:f>IF(OR($J93="",$K93=""),"",IF(SUMIFS(Calendar!$C$16:$C$141,Calendar!$A$16:$A$141,"&gt;="&amp;MAX(X$7,$J93),Calendar!$A$16:$A$141,"&lt;="&amp;MIN(X$7+4,$K93))=0,0,IF($H93="","EXT",SUMIFS(Calendar!$C$16:$C$141,Calendar!$A$16:$A$141,"&gt;="&amp;MAX(X$7,$J93),Calendar!$A$16:$A$141,"&lt;="&amp;MIN(X$7+4,$K93))*$H93/$G93)))</x:f>
        <x:v>0</x:v>
      </x:c>
      <x:c r="Y93" s="45" t="n">
        <x:f>IF(OR($J93="",$K93=""),"",IF(SUMIFS(Calendar!$C$16:$C$141,Calendar!$A$16:$A$141,"&gt;="&amp;MAX(Y$7,$J93),Calendar!$A$16:$A$141,"&lt;="&amp;MIN(Y$7+4,$K93))=0,0,IF($H93="","EXT",SUMIFS(Calendar!$C$16:$C$141,Calendar!$A$16:$A$141,"&gt;="&amp;MAX(Y$7,$J93),Calendar!$A$16:$A$141,"&lt;="&amp;MIN(Y$7+4,$K93))*$H93/$G93)))</x:f>
        <x:v>0</x:v>
      </x:c>
      <x:c r="Z93" s="45" t="n">
        <x:f>IF(OR($J93="",$K93=""),"",IF(SUMIFS(Calendar!$C$16:$C$141,Calendar!$A$16:$A$141,"&gt;="&amp;MAX(Z$7,$J93),Calendar!$A$16:$A$141,"&lt;="&amp;MIN(Z$7+4,$K93))=0,0,IF($H93="","EXT",SUMIFS(Calendar!$C$16:$C$141,Calendar!$A$16:$A$141,"&gt;="&amp;MAX(Z$7,$J93),Calendar!$A$16:$A$141,"&lt;="&amp;MIN(Z$7+4,$K93))*$H93/$G93)))</x:f>
        <x:v>0</x:v>
      </x:c>
      <x:c r="AA93" s="45" t="n">
        <x:f>IF(OR($J93="",$K93=""),"",IF(SUMIFS(Calendar!$C$16:$C$141,Calendar!$A$16:$A$141,"&gt;="&amp;MAX(AA$7,$J93),Calendar!$A$16:$A$141,"&lt;="&amp;MIN(AA$7+4,$K93))=0,0,IF($H93="","EXT",SUMIFS(Calendar!$C$16:$C$141,Calendar!$A$16:$A$141,"&gt;="&amp;MAX(AA$7,$J93),Calendar!$A$16:$A$141,"&lt;="&amp;MIN(AA$7+4,$K93))*$H93/$G93)))</x:f>
        <x:v>0</x:v>
      </x:c>
      <x:c r="AB93" s="45" t="n">
        <x:f>IF(OR($J93="",$K93=""),"",IF(SUMIFS(Calendar!$C$16:$C$141,Calendar!$A$16:$A$141,"&gt;="&amp;MAX(AB$7,$J93),Calendar!$A$16:$A$141,"&lt;="&amp;MIN(AB$7+4,$K93))=0,0,IF($H93="","EXT",SUMIFS(Calendar!$C$16:$C$141,Calendar!$A$16:$A$141,"&gt;="&amp;MAX(AB$7,$J93),Calendar!$A$16:$A$141,"&lt;="&amp;MIN(AB$7+4,$K93))*$H93/$G93)))</x:f>
        <x:v>0</x:v>
      </x:c>
      <x:c r="AC93" s="45" t="n">
        <x:f>IF(OR($J93="",$K93=""),"",IF(SUMIFS(Calendar!$C$16:$C$141,Calendar!$A$16:$A$141,"&gt;="&amp;MAX(AC$7,$J93),Calendar!$A$16:$A$141,"&lt;="&amp;MIN(AC$7+4,$K93))=0,0,IF($H93="","EXT",SUMIFS(Calendar!$C$16:$C$141,Calendar!$A$16:$A$141,"&gt;="&amp;MAX(AC$7,$J93),Calendar!$A$16:$A$141,"&lt;="&amp;MIN(AC$7+4,$K93))*$H93/$G93)))</x:f>
        <x:v>0</x:v>
      </x:c>
      <x:c r="AD93" s="45" t="n">
        <x:f>IF(OR($J93="",$K93=""),"",IF(SUMIFS(Calendar!$C$16:$C$141,Calendar!$A$16:$A$141,"&gt;="&amp;MAX(AD$7,$J93),Calendar!$A$16:$A$141,"&lt;="&amp;MIN(AD$7+4,$K93))=0,0,IF($H93="","EXT",SUMIFS(Calendar!$C$16:$C$141,Calendar!$A$16:$A$141,"&gt;="&amp;MAX(AD$7,$J93),Calendar!$A$16:$A$141,"&lt;="&amp;MIN(AD$7+4,$K93))*$H93/$G93)))</x:f>
        <x:v>0</x:v>
      </x:c>
      <x:c r="AE93" s="45" t="n">
        <x:f>IF(OR($J93="",$K93=""),"",IF(SUMIFS(Calendar!$C$16:$C$141,Calendar!$A$16:$A$141,"&gt;="&amp;MAX(AE$7,$J93),Calendar!$A$16:$A$141,"&lt;="&amp;MIN(AE$7+4,$K93))=0,0,IF($H93="","EXT",SUMIFS(Calendar!$C$16:$C$141,Calendar!$A$16:$A$141,"&gt;="&amp;MAX(AE$7,$J93),Calendar!$A$16:$A$141,"&lt;="&amp;MIN(AE$7+4,$K93))*$H93/$G93)))</x:f>
        <x:v>0</x:v>
      </x:c>
      <x:c r="AF93" s="8" t="n">
        <x:f>IF(OR(M93&lt;&gt;"Scheduled",INDEX('Team and Gates'!$C$7:$C$13,MATCH($D93,'Team and Gates'!$A$7:$A$13,0))=""),"CHECK",SUM(N93:AE93)*INDEX('Team and Gates'!$C$7:$C$13,MATCH($D93,'Team and Gates'!$A$7:$A$13,0)))</x:f>
        <x:v>432.00000000000006</x:v>
      </x:c>
      <x:c r="AG93" s="46" t="str">
        <x:v>Reviewed preparation artifact, mapped to FSD/AC and handoff checklist.</x:v>
      </x:c>
      <x:c r="AH93" s="46" t="str"/>
    </x:row>
    <x:row r="94" ht="45" customHeight="1">
      <x:c r="A94" s="2" t="str">
        <x:v>U03</x:v>
      </x:c>
      <x:c r="B94" s="2" t="str">
        <x:v>Business QA</x:v>
      </x:c>
      <x:c r="C94" s="46" t="str">
        <x:v>Trace AC to tests; lock independent holdout custody</x:v>
      </x:c>
      <x:c r="D94" s="34" t="str">
        <x:v>Tester 2</x:v>
      </x:c>
      <x:c r="E94" s="46" t="str">
        <x:v>U02</x:v>
      </x:c>
      <x:c r="F94" s="50" t="n">
        <x:v>8</x:v>
      </x:c>
      <x:c r="G94" s="50" t="n">
        <x:v>3</x:v>
      </x:c>
      <x:c r="H94" s="51" t="n">
        <x:v>1.7999999999999998</x:v>
      </x:c>
      <x:c r="I94" s="2" t="n">
        <x:f>IF(OR(F94="",G94=""),"",F94+G94-1)</x:f>
        <x:v>10</x:v>
      </x:c>
      <x:c r="J94" s="5" t="n">
        <x:f>IF(OR(F94="",F94&lt;1,F94&gt;Calendar!$B$9),"",INDEX(Calendar!$A$16:$A$141,MATCH(F94,Calendar!$D$16:$D$141,0)))</x:f>
        <x:v>46337</x:v>
      </x:c>
      <x:c r="K94" s="5" t="n">
        <x:f>IF(OR(I94="",I94&lt;1,I94&gt;Calendar!$B$9),"",INDEX(Calendar!$A$16:$A$141,MATCH(I94,Calendar!$D$16:$D$141,0)))</x:f>
        <x:v>46339</x:v>
      </x:c>
      <x:c r="L94" s="53" t="n">
        <x:v>0</x:v>
      </x:c>
      <x:c r="M94" s="2" t="str">
        <x:f>IF(OR(F94="",G94="",H94=""),"Missing input",IF(OR(F94&lt;1,G94&lt;1,I94&gt;Calendar!$B$9),"Outside calendar",IF(F94&lt;MAX(INDEX($I$8:$I$157,MATCH("U02",$A$8:$A$157,0))+1),"Dependency conflict","Scheduled")))</x:f>
        <x:v>Scheduled</x:v>
      </x:c>
      <x:c r="N94" s="45" t="n">
        <x:f>IF(OR($J94="",$K94=""),"",IF(SUMIFS(Calendar!$C$16:$C$141,Calendar!$A$16:$A$141,"&gt;="&amp;MAX(N$7,$J94),Calendar!$A$16:$A$141,"&lt;="&amp;MIN(N$7+4,$K94))=0,0,IF($H94="","EXT",SUMIFS(Calendar!$C$16:$C$141,Calendar!$A$16:$A$141,"&gt;="&amp;MAX(N$7,$J94),Calendar!$A$16:$A$141,"&lt;="&amp;MIN(N$7+4,$K94))*$H94/$G94)))</x:f>
        <x:v>0</x:v>
      </x:c>
      <x:c r="O94" s="45" t="n">
        <x:f>IF(OR($J94="",$K94=""),"",IF(SUMIFS(Calendar!$C$16:$C$141,Calendar!$A$16:$A$141,"&gt;="&amp;MAX(O$7,$J94),Calendar!$A$16:$A$141,"&lt;="&amp;MIN(O$7+4,$K94))=0,0,IF($H94="","EXT",SUMIFS(Calendar!$C$16:$C$141,Calendar!$A$16:$A$141,"&gt;="&amp;MAX(O$7,$J94),Calendar!$A$16:$A$141,"&lt;="&amp;MIN(O$7+4,$K94))*$H94/$G94)))</x:f>
        <x:v>1.7999999999999998</x:v>
      </x:c>
      <x:c r="P94" s="45" t="n">
        <x:f>IF(OR($J94="",$K94=""),"",IF(SUMIFS(Calendar!$C$16:$C$141,Calendar!$A$16:$A$141,"&gt;="&amp;MAX(P$7,$J94),Calendar!$A$16:$A$141,"&lt;="&amp;MIN(P$7+4,$K94))=0,0,IF($H94="","EXT",SUMIFS(Calendar!$C$16:$C$141,Calendar!$A$16:$A$141,"&gt;="&amp;MAX(P$7,$J94),Calendar!$A$16:$A$141,"&lt;="&amp;MIN(P$7+4,$K94))*$H94/$G94)))</x:f>
        <x:v>0</x:v>
      </x:c>
      <x:c r="Q94" s="45" t="n">
        <x:f>IF(OR($J94="",$K94=""),"",IF(SUMIFS(Calendar!$C$16:$C$141,Calendar!$A$16:$A$141,"&gt;="&amp;MAX(Q$7,$J94),Calendar!$A$16:$A$141,"&lt;="&amp;MIN(Q$7+4,$K94))=0,0,IF($H94="","EXT",SUMIFS(Calendar!$C$16:$C$141,Calendar!$A$16:$A$141,"&gt;="&amp;MAX(Q$7,$J94),Calendar!$A$16:$A$141,"&lt;="&amp;MIN(Q$7+4,$K94))*$H94/$G94)))</x:f>
        <x:v>0</x:v>
      </x:c>
      <x:c r="R94" s="45" t="n">
        <x:f>IF(OR($J94="",$K94=""),"",IF(SUMIFS(Calendar!$C$16:$C$141,Calendar!$A$16:$A$141,"&gt;="&amp;MAX(R$7,$J94),Calendar!$A$16:$A$141,"&lt;="&amp;MIN(R$7+4,$K94))=0,0,IF($H94="","EXT",SUMIFS(Calendar!$C$16:$C$141,Calendar!$A$16:$A$141,"&gt;="&amp;MAX(R$7,$J94),Calendar!$A$16:$A$141,"&lt;="&amp;MIN(R$7+4,$K94))*$H94/$G94)))</x:f>
        <x:v>0</x:v>
      </x:c>
      <x:c r="S94" s="45" t="n">
        <x:f>IF(OR($J94="",$K94=""),"",IF(SUMIFS(Calendar!$C$16:$C$141,Calendar!$A$16:$A$141,"&gt;="&amp;MAX(S$7,$J94),Calendar!$A$16:$A$141,"&lt;="&amp;MIN(S$7+4,$K94))=0,0,IF($H94="","EXT",SUMIFS(Calendar!$C$16:$C$141,Calendar!$A$16:$A$141,"&gt;="&amp;MAX(S$7,$J94),Calendar!$A$16:$A$141,"&lt;="&amp;MIN(S$7+4,$K94))*$H94/$G94)))</x:f>
        <x:v>0</x:v>
      </x:c>
      <x:c r="T94" s="45" t="n">
        <x:f>IF(OR($J94="",$K94=""),"",IF(SUMIFS(Calendar!$C$16:$C$141,Calendar!$A$16:$A$141,"&gt;="&amp;MAX(T$7,$J94),Calendar!$A$16:$A$141,"&lt;="&amp;MIN(T$7+4,$K94))=0,0,IF($H94="","EXT",SUMIFS(Calendar!$C$16:$C$141,Calendar!$A$16:$A$141,"&gt;="&amp;MAX(T$7,$J94),Calendar!$A$16:$A$141,"&lt;="&amp;MIN(T$7+4,$K94))*$H94/$G94)))</x:f>
        <x:v>0</x:v>
      </x:c>
      <x:c r="U94" s="45" t="n">
        <x:f>IF(OR($J94="",$K94=""),"",IF(SUMIFS(Calendar!$C$16:$C$141,Calendar!$A$16:$A$141,"&gt;="&amp;MAX(U$7,$J94),Calendar!$A$16:$A$141,"&lt;="&amp;MIN(U$7+4,$K94))=0,0,IF($H94="","EXT",SUMIFS(Calendar!$C$16:$C$141,Calendar!$A$16:$A$141,"&gt;="&amp;MAX(U$7,$J94),Calendar!$A$16:$A$141,"&lt;="&amp;MIN(U$7+4,$K94))*$H94/$G94)))</x:f>
        <x:v>0</x:v>
      </x:c>
      <x:c r="V94" s="45" t="n">
        <x:f>IF(OR($J94="",$K94=""),"",IF(SUMIFS(Calendar!$C$16:$C$141,Calendar!$A$16:$A$141,"&gt;="&amp;MAX(V$7,$J94),Calendar!$A$16:$A$141,"&lt;="&amp;MIN(V$7+4,$K94))=0,0,IF($H94="","EXT",SUMIFS(Calendar!$C$16:$C$141,Calendar!$A$16:$A$141,"&gt;="&amp;MAX(V$7,$J94),Calendar!$A$16:$A$141,"&lt;="&amp;MIN(V$7+4,$K94))*$H94/$G94)))</x:f>
        <x:v>0</x:v>
      </x:c>
      <x:c r="W94" s="45" t="n">
        <x:f>IF(OR($J94="",$K94=""),"",IF(SUMIFS(Calendar!$C$16:$C$141,Calendar!$A$16:$A$141,"&gt;="&amp;MAX(W$7,$J94),Calendar!$A$16:$A$141,"&lt;="&amp;MIN(W$7+4,$K94))=0,0,IF($H94="","EXT",SUMIFS(Calendar!$C$16:$C$141,Calendar!$A$16:$A$141,"&gt;="&amp;MAX(W$7,$J94),Calendar!$A$16:$A$141,"&lt;="&amp;MIN(W$7+4,$K94))*$H94/$G94)))</x:f>
        <x:v>0</x:v>
      </x:c>
      <x:c r="X94" s="45" t="n">
        <x:f>IF(OR($J94="",$K94=""),"",IF(SUMIFS(Calendar!$C$16:$C$141,Calendar!$A$16:$A$141,"&gt;="&amp;MAX(X$7,$J94),Calendar!$A$16:$A$141,"&lt;="&amp;MIN(X$7+4,$K94))=0,0,IF($H94="","EXT",SUMIFS(Calendar!$C$16:$C$141,Calendar!$A$16:$A$141,"&gt;="&amp;MAX(X$7,$J94),Calendar!$A$16:$A$141,"&lt;="&amp;MIN(X$7+4,$K94))*$H94/$G94)))</x:f>
        <x:v>0</x:v>
      </x:c>
      <x:c r="Y94" s="45" t="n">
        <x:f>IF(OR($J94="",$K94=""),"",IF(SUMIFS(Calendar!$C$16:$C$141,Calendar!$A$16:$A$141,"&gt;="&amp;MAX(Y$7,$J94),Calendar!$A$16:$A$141,"&lt;="&amp;MIN(Y$7+4,$K94))=0,0,IF($H94="","EXT",SUMIFS(Calendar!$C$16:$C$141,Calendar!$A$16:$A$141,"&gt;="&amp;MAX(Y$7,$J94),Calendar!$A$16:$A$141,"&lt;="&amp;MIN(Y$7+4,$K94))*$H94/$G94)))</x:f>
        <x:v>0</x:v>
      </x:c>
      <x:c r="Z94" s="45" t="n">
        <x:f>IF(OR($J94="",$K94=""),"",IF(SUMIFS(Calendar!$C$16:$C$141,Calendar!$A$16:$A$141,"&gt;="&amp;MAX(Z$7,$J94),Calendar!$A$16:$A$141,"&lt;="&amp;MIN(Z$7+4,$K94))=0,0,IF($H94="","EXT",SUMIFS(Calendar!$C$16:$C$141,Calendar!$A$16:$A$141,"&gt;="&amp;MAX(Z$7,$J94),Calendar!$A$16:$A$141,"&lt;="&amp;MIN(Z$7+4,$K94))*$H94/$G94)))</x:f>
        <x:v>0</x:v>
      </x:c>
      <x:c r="AA94" s="45" t="n">
        <x:f>IF(OR($J94="",$K94=""),"",IF(SUMIFS(Calendar!$C$16:$C$141,Calendar!$A$16:$A$141,"&gt;="&amp;MAX(AA$7,$J94),Calendar!$A$16:$A$141,"&lt;="&amp;MIN(AA$7+4,$K94))=0,0,IF($H94="","EXT",SUMIFS(Calendar!$C$16:$C$141,Calendar!$A$16:$A$141,"&gt;="&amp;MAX(AA$7,$J94),Calendar!$A$16:$A$141,"&lt;="&amp;MIN(AA$7+4,$K94))*$H94/$G94)))</x:f>
        <x:v>0</x:v>
      </x:c>
      <x:c r="AB94" s="45" t="n">
        <x:f>IF(OR($J94="",$K94=""),"",IF(SUMIFS(Calendar!$C$16:$C$141,Calendar!$A$16:$A$141,"&gt;="&amp;MAX(AB$7,$J94),Calendar!$A$16:$A$141,"&lt;="&amp;MIN(AB$7+4,$K94))=0,0,IF($H94="","EXT",SUMIFS(Calendar!$C$16:$C$141,Calendar!$A$16:$A$141,"&gt;="&amp;MAX(AB$7,$J94),Calendar!$A$16:$A$141,"&lt;="&amp;MIN(AB$7+4,$K94))*$H94/$G94)))</x:f>
        <x:v>0</x:v>
      </x:c>
      <x:c r="AC94" s="45" t="n">
        <x:f>IF(OR($J94="",$K94=""),"",IF(SUMIFS(Calendar!$C$16:$C$141,Calendar!$A$16:$A$141,"&gt;="&amp;MAX(AC$7,$J94),Calendar!$A$16:$A$141,"&lt;="&amp;MIN(AC$7+4,$K94))=0,0,IF($H94="","EXT",SUMIFS(Calendar!$C$16:$C$141,Calendar!$A$16:$A$141,"&gt;="&amp;MAX(AC$7,$J94),Calendar!$A$16:$A$141,"&lt;="&amp;MIN(AC$7+4,$K94))*$H94/$G94)))</x:f>
        <x:v>0</x:v>
      </x:c>
      <x:c r="AD94" s="45" t="n">
        <x:f>IF(OR($J94="",$K94=""),"",IF(SUMIFS(Calendar!$C$16:$C$141,Calendar!$A$16:$A$141,"&gt;="&amp;MAX(AD$7,$J94),Calendar!$A$16:$A$141,"&lt;="&amp;MIN(AD$7+4,$K94))=0,0,IF($H94="","EXT",SUMIFS(Calendar!$C$16:$C$141,Calendar!$A$16:$A$141,"&gt;="&amp;MAX(AD$7,$J94),Calendar!$A$16:$A$141,"&lt;="&amp;MIN(AD$7+4,$K94))*$H94/$G94)))</x:f>
        <x:v>0</x:v>
      </x:c>
      <x:c r="AE94" s="45" t="n">
        <x:f>IF(OR($J94="",$K94=""),"",IF(SUMIFS(Calendar!$C$16:$C$141,Calendar!$A$16:$A$141,"&gt;="&amp;MAX(AE$7,$J94),Calendar!$A$16:$A$141,"&lt;="&amp;MIN(AE$7+4,$K94))=0,0,IF($H94="","EXT",SUMIFS(Calendar!$C$16:$C$141,Calendar!$A$16:$A$141,"&gt;="&amp;MAX(AE$7,$J94),Calendar!$A$16:$A$141,"&lt;="&amp;MIN(AE$7+4,$K94))*$H94/$G94)))</x:f>
        <x:v>0</x:v>
      </x:c>
      <x:c r="AF94" s="8" t="n">
        <x:f>IF(OR(M94&lt;&gt;"Scheduled",INDEX('Team and Gates'!$C$7:$C$13,MATCH($D94,'Team and Gates'!$A$7:$A$13,0))=""),"CHECK",SUM(N94:AE94)*INDEX('Team and Gates'!$C$7:$C$13,MATCH($D94,'Team and Gates'!$A$7:$A$13,0)))</x:f>
        <x:v>647.9999999999999</x:v>
      </x:c>
      <x:c r="AG94" s="46" t="str">
        <x:v>Reviewed preparation artifact, mapped to FSD/AC and handoff checklist.</x:v>
      </x:c>
      <x:c r="AH94" s="46" t="str"/>
    </x:row>
    <x:row r="95" ht="45" customHeight="1">
      <x:c r="A95" s="39" t="str">
        <x:v>U04</x:v>
      </x:c>
      <x:c r="B95" s="39" t="str">
        <x:v>Business QA</x:v>
      </x:c>
      <x:c r="C95" s="47" t="str">
        <x:v>Continuous acceptance checks: Case/Open Items and source ACLs</x:v>
      </x:c>
      <x:c r="D95" s="34" t="str">
        <x:v>Tester 2</x:v>
      </x:c>
      <x:c r="E95" s="47" t="str">
        <x:v>U03</x:v>
      </x:c>
      <x:c r="F95" s="50" t="n">
        <x:v>11</x:v>
      </x:c>
      <x:c r="G95" s="50" t="n">
        <x:v>5</x:v>
      </x:c>
      <x:c r="H95" s="51" t="n">
        <x:v>3</x:v>
      </x:c>
      <x:c r="I95" s="39" t="n">
        <x:f>IF(OR(F95="",G95=""),"",F95+G95-1)</x:f>
        <x:v>15</x:v>
      </x:c>
      <x:c r="J95" s="41" t="n">
        <x:f>IF(OR(F95="",F95&lt;1,F95&gt;Calendar!$B$9),"",INDEX(Calendar!$A$16:$A$141,MATCH(F95,Calendar!$D$16:$D$141,0)))</x:f>
        <x:v>46342</x:v>
      </x:c>
      <x:c r="K95" s="41" t="n">
        <x:f>IF(OR(I95="",I95&lt;1,I95&gt;Calendar!$B$9),"",INDEX(Calendar!$A$16:$A$141,MATCH(I95,Calendar!$D$16:$D$141,0)))</x:f>
        <x:v>46346</x:v>
      </x:c>
      <x:c r="L95" s="53" t="n">
        <x:v>0</x:v>
      </x:c>
      <x:c r="M95" s="39" t="str">
        <x:f>IF(OR(F95="",G95="",H95=""),"Missing input",IF(OR(F95&lt;1,G95&lt;1,I95&gt;Calendar!$B$9),"Outside calendar",IF(F95&lt;MAX(INDEX($I$8:$I$157,MATCH("U03",$A$8:$A$157,0))+1),"Dependency conflict","Scheduled")))</x:f>
        <x:v>Scheduled</x:v>
      </x:c>
      <x:c r="N95" s="45" t="n">
        <x:f>IF(OR($J95="",$K95=""),"",IF(SUMIFS(Calendar!$C$16:$C$141,Calendar!$A$16:$A$141,"&gt;="&amp;MAX(N$7,$J95),Calendar!$A$16:$A$141,"&lt;="&amp;MIN(N$7+4,$K95))=0,0,IF($H95="","EXT",SUMIFS(Calendar!$C$16:$C$141,Calendar!$A$16:$A$141,"&gt;="&amp;MAX(N$7,$J95),Calendar!$A$16:$A$141,"&lt;="&amp;MIN(N$7+4,$K95))*$H95/$G95)))</x:f>
        <x:v>0</x:v>
      </x:c>
      <x:c r="O95" s="45" t="n">
        <x:f>IF(OR($J95="",$K95=""),"",IF(SUMIFS(Calendar!$C$16:$C$141,Calendar!$A$16:$A$141,"&gt;="&amp;MAX(O$7,$J95),Calendar!$A$16:$A$141,"&lt;="&amp;MIN(O$7+4,$K95))=0,0,IF($H95="","EXT",SUMIFS(Calendar!$C$16:$C$141,Calendar!$A$16:$A$141,"&gt;="&amp;MAX(O$7,$J95),Calendar!$A$16:$A$141,"&lt;="&amp;MIN(O$7+4,$K95))*$H95/$G95)))</x:f>
        <x:v>0</x:v>
      </x:c>
      <x:c r="P95" s="45" t="n">
        <x:f>IF(OR($J95="",$K95=""),"",IF(SUMIFS(Calendar!$C$16:$C$141,Calendar!$A$16:$A$141,"&gt;="&amp;MAX(P$7,$J95),Calendar!$A$16:$A$141,"&lt;="&amp;MIN(P$7+4,$K95))=0,0,IF($H95="","EXT",SUMIFS(Calendar!$C$16:$C$141,Calendar!$A$16:$A$141,"&gt;="&amp;MAX(P$7,$J95),Calendar!$A$16:$A$141,"&lt;="&amp;MIN(P$7+4,$K95))*$H95/$G95)))</x:f>
        <x:v>3</x:v>
      </x:c>
      <x:c r="Q95" s="45" t="n">
        <x:f>IF(OR($J95="",$K95=""),"",IF(SUMIFS(Calendar!$C$16:$C$141,Calendar!$A$16:$A$141,"&gt;="&amp;MAX(Q$7,$J95),Calendar!$A$16:$A$141,"&lt;="&amp;MIN(Q$7+4,$K95))=0,0,IF($H95="","EXT",SUMIFS(Calendar!$C$16:$C$141,Calendar!$A$16:$A$141,"&gt;="&amp;MAX(Q$7,$J95),Calendar!$A$16:$A$141,"&lt;="&amp;MIN(Q$7+4,$K95))*$H95/$G95)))</x:f>
        <x:v>0</x:v>
      </x:c>
      <x:c r="R95" s="45" t="n">
        <x:f>IF(OR($J95="",$K95=""),"",IF(SUMIFS(Calendar!$C$16:$C$141,Calendar!$A$16:$A$141,"&gt;="&amp;MAX(R$7,$J95),Calendar!$A$16:$A$141,"&lt;="&amp;MIN(R$7+4,$K95))=0,0,IF($H95="","EXT",SUMIFS(Calendar!$C$16:$C$141,Calendar!$A$16:$A$141,"&gt;="&amp;MAX(R$7,$J95),Calendar!$A$16:$A$141,"&lt;="&amp;MIN(R$7+4,$K95))*$H95/$G95)))</x:f>
        <x:v>0</x:v>
      </x:c>
      <x:c r="S95" s="45" t="n">
        <x:f>IF(OR($J95="",$K95=""),"",IF(SUMIFS(Calendar!$C$16:$C$141,Calendar!$A$16:$A$141,"&gt;="&amp;MAX(S$7,$J95),Calendar!$A$16:$A$141,"&lt;="&amp;MIN(S$7+4,$K95))=0,0,IF($H95="","EXT",SUMIFS(Calendar!$C$16:$C$141,Calendar!$A$16:$A$141,"&gt;="&amp;MAX(S$7,$J95),Calendar!$A$16:$A$141,"&lt;="&amp;MIN(S$7+4,$K95))*$H95/$G95)))</x:f>
        <x:v>0</x:v>
      </x:c>
      <x:c r="T95" s="45" t="n">
        <x:f>IF(OR($J95="",$K95=""),"",IF(SUMIFS(Calendar!$C$16:$C$141,Calendar!$A$16:$A$141,"&gt;="&amp;MAX(T$7,$J95),Calendar!$A$16:$A$141,"&lt;="&amp;MIN(T$7+4,$K95))=0,0,IF($H95="","EXT",SUMIFS(Calendar!$C$16:$C$141,Calendar!$A$16:$A$141,"&gt;="&amp;MAX(T$7,$J95),Calendar!$A$16:$A$141,"&lt;="&amp;MIN(T$7+4,$K95))*$H95/$G95)))</x:f>
        <x:v>0</x:v>
      </x:c>
      <x:c r="U95" s="45" t="n">
        <x:f>IF(OR($J95="",$K95=""),"",IF(SUMIFS(Calendar!$C$16:$C$141,Calendar!$A$16:$A$141,"&gt;="&amp;MAX(U$7,$J95),Calendar!$A$16:$A$141,"&lt;="&amp;MIN(U$7+4,$K95))=0,0,IF($H95="","EXT",SUMIFS(Calendar!$C$16:$C$141,Calendar!$A$16:$A$141,"&gt;="&amp;MAX(U$7,$J95),Calendar!$A$16:$A$141,"&lt;="&amp;MIN(U$7+4,$K95))*$H95/$G95)))</x:f>
        <x:v>0</x:v>
      </x:c>
      <x:c r="V95" s="45" t="n">
        <x:f>IF(OR($J95="",$K95=""),"",IF(SUMIFS(Calendar!$C$16:$C$141,Calendar!$A$16:$A$141,"&gt;="&amp;MAX(V$7,$J95),Calendar!$A$16:$A$141,"&lt;="&amp;MIN(V$7+4,$K95))=0,0,IF($H95="","EXT",SUMIFS(Calendar!$C$16:$C$141,Calendar!$A$16:$A$141,"&gt;="&amp;MAX(V$7,$J95),Calendar!$A$16:$A$141,"&lt;="&amp;MIN(V$7+4,$K95))*$H95/$G95)))</x:f>
        <x:v>0</x:v>
      </x:c>
      <x:c r="W95" s="45" t="n">
        <x:f>IF(OR($J95="",$K95=""),"",IF(SUMIFS(Calendar!$C$16:$C$141,Calendar!$A$16:$A$141,"&gt;="&amp;MAX(W$7,$J95),Calendar!$A$16:$A$141,"&lt;="&amp;MIN(W$7+4,$K95))=0,0,IF($H95="","EXT",SUMIFS(Calendar!$C$16:$C$141,Calendar!$A$16:$A$141,"&gt;="&amp;MAX(W$7,$J95),Calendar!$A$16:$A$141,"&lt;="&amp;MIN(W$7+4,$K95))*$H95/$G95)))</x:f>
        <x:v>0</x:v>
      </x:c>
      <x:c r="X95" s="45" t="n">
        <x:f>IF(OR($J95="",$K95=""),"",IF(SUMIFS(Calendar!$C$16:$C$141,Calendar!$A$16:$A$141,"&gt;="&amp;MAX(X$7,$J95),Calendar!$A$16:$A$141,"&lt;="&amp;MIN(X$7+4,$K95))=0,0,IF($H95="","EXT",SUMIFS(Calendar!$C$16:$C$141,Calendar!$A$16:$A$141,"&gt;="&amp;MAX(X$7,$J95),Calendar!$A$16:$A$141,"&lt;="&amp;MIN(X$7+4,$K95))*$H95/$G95)))</x:f>
        <x:v>0</x:v>
      </x:c>
      <x:c r="Y95" s="45" t="n">
        <x:f>IF(OR($J95="",$K95=""),"",IF(SUMIFS(Calendar!$C$16:$C$141,Calendar!$A$16:$A$141,"&gt;="&amp;MAX(Y$7,$J95),Calendar!$A$16:$A$141,"&lt;="&amp;MIN(Y$7+4,$K95))=0,0,IF($H95="","EXT",SUMIFS(Calendar!$C$16:$C$141,Calendar!$A$16:$A$141,"&gt;="&amp;MAX(Y$7,$J95),Calendar!$A$16:$A$141,"&lt;="&amp;MIN(Y$7+4,$K95))*$H95/$G95)))</x:f>
        <x:v>0</x:v>
      </x:c>
      <x:c r="Z95" s="45" t="n">
        <x:f>IF(OR($J95="",$K95=""),"",IF(SUMIFS(Calendar!$C$16:$C$141,Calendar!$A$16:$A$141,"&gt;="&amp;MAX(Z$7,$J95),Calendar!$A$16:$A$141,"&lt;="&amp;MIN(Z$7+4,$K95))=0,0,IF($H95="","EXT",SUMIFS(Calendar!$C$16:$C$141,Calendar!$A$16:$A$141,"&gt;="&amp;MAX(Z$7,$J95),Calendar!$A$16:$A$141,"&lt;="&amp;MIN(Z$7+4,$K95))*$H95/$G95)))</x:f>
        <x:v>0</x:v>
      </x:c>
      <x:c r="AA95" s="45" t="n">
        <x:f>IF(OR($J95="",$K95=""),"",IF(SUMIFS(Calendar!$C$16:$C$141,Calendar!$A$16:$A$141,"&gt;="&amp;MAX(AA$7,$J95),Calendar!$A$16:$A$141,"&lt;="&amp;MIN(AA$7+4,$K95))=0,0,IF($H95="","EXT",SUMIFS(Calendar!$C$16:$C$141,Calendar!$A$16:$A$141,"&gt;="&amp;MAX(AA$7,$J95),Calendar!$A$16:$A$141,"&lt;="&amp;MIN(AA$7+4,$K95))*$H95/$G95)))</x:f>
        <x:v>0</x:v>
      </x:c>
      <x:c r="AB95" s="45" t="n">
        <x:f>IF(OR($J95="",$K95=""),"",IF(SUMIFS(Calendar!$C$16:$C$141,Calendar!$A$16:$A$141,"&gt;="&amp;MAX(AB$7,$J95),Calendar!$A$16:$A$141,"&lt;="&amp;MIN(AB$7+4,$K95))=0,0,IF($H95="","EXT",SUMIFS(Calendar!$C$16:$C$141,Calendar!$A$16:$A$141,"&gt;="&amp;MAX(AB$7,$J95),Calendar!$A$16:$A$141,"&lt;="&amp;MIN(AB$7+4,$K95))*$H95/$G95)))</x:f>
        <x:v>0</x:v>
      </x:c>
      <x:c r="AC95" s="45" t="n">
        <x:f>IF(OR($J95="",$K95=""),"",IF(SUMIFS(Calendar!$C$16:$C$141,Calendar!$A$16:$A$141,"&gt;="&amp;MAX(AC$7,$J95),Calendar!$A$16:$A$141,"&lt;="&amp;MIN(AC$7+4,$K95))=0,0,IF($H95="","EXT",SUMIFS(Calendar!$C$16:$C$141,Calendar!$A$16:$A$141,"&gt;="&amp;MAX(AC$7,$J95),Calendar!$A$16:$A$141,"&lt;="&amp;MIN(AC$7+4,$K95))*$H95/$G95)))</x:f>
        <x:v>0</x:v>
      </x:c>
      <x:c r="AD95" s="45" t="n">
        <x:f>IF(OR($J95="",$K95=""),"",IF(SUMIFS(Calendar!$C$16:$C$141,Calendar!$A$16:$A$141,"&gt;="&amp;MAX(AD$7,$J95),Calendar!$A$16:$A$141,"&lt;="&amp;MIN(AD$7+4,$K95))=0,0,IF($H95="","EXT",SUMIFS(Calendar!$C$16:$C$141,Calendar!$A$16:$A$141,"&gt;="&amp;MAX(AD$7,$J95),Calendar!$A$16:$A$141,"&lt;="&amp;MIN(AD$7+4,$K95))*$H95/$G95)))</x:f>
        <x:v>0</x:v>
      </x:c>
      <x:c r="AE95" s="45" t="n">
        <x:f>IF(OR($J95="",$K95=""),"",IF(SUMIFS(Calendar!$C$16:$C$141,Calendar!$A$16:$A$141,"&gt;="&amp;MAX(AE$7,$J95),Calendar!$A$16:$A$141,"&lt;="&amp;MIN(AE$7+4,$K95))=0,0,IF($H95="","EXT",SUMIFS(Calendar!$C$16:$C$141,Calendar!$A$16:$A$141,"&gt;="&amp;MAX(AE$7,$J95),Calendar!$A$16:$A$141,"&lt;="&amp;MIN(AE$7+4,$K95))*$H95/$G95)))</x:f>
        <x:v>0</x:v>
      </x:c>
      <x:c r="AF95" s="8" t="n">
        <x:f>IF(OR(M95&lt;&gt;"Scheduled",INDEX('Team and Gates'!$C$7:$C$13,MATCH($D95,'Team and Gates'!$A$7:$A$13,0))=""),"CHECK",SUM(N95:AE95)*INDEX('Team and Gates'!$C$7:$C$13,MATCH($D95,'Team and Gates'!$A$7:$A$13,0)))</x:f>
        <x:v>1080</x:v>
      </x:c>
      <x:c r="AG95" s="46" t="str">
        <x:v>Developer checks and positive/negative acceptance examples pass; review AI-generated code before handoff.</x:v>
      </x:c>
      <x:c r="AH95" s="46" t="str">
        <x:v>Three-week feature implementation window after FSD signoff; use Codex with developer review and continuous tests.</x:v>
      </x:c>
    </x:row>
    <x:row r="96" ht="45" customHeight="1">
      <x:c r="A96" s="2" t="str">
        <x:v>U05</x:v>
      </x:c>
      <x:c r="B96" s="2" t="str">
        <x:v>Business QA</x:v>
      </x:c>
      <x:c r="C96" s="46" t="str">
        <x:v>Continuous acceptance checks: intent/Triage and customer views</x:v>
      </x:c>
      <x:c r="D96" s="34" t="str">
        <x:v>Tester 2</x:v>
      </x:c>
      <x:c r="E96" s="46" t="str">
        <x:v>U04</x:v>
      </x:c>
      <x:c r="F96" s="50" t="n">
        <x:v>16</x:v>
      </x:c>
      <x:c r="G96" s="50" t="n">
        <x:v>5</x:v>
      </x:c>
      <x:c r="H96" s="51" t="n">
        <x:v>3</x:v>
      </x:c>
      <x:c r="I96" s="2" t="n">
        <x:f>IF(OR(F96="",G96=""),"",F96+G96-1)</x:f>
        <x:v>20</x:v>
      </x:c>
      <x:c r="J96" s="5" t="n">
        <x:f>IF(OR(F96="",F96&lt;1,F96&gt;Calendar!$B$9),"",INDEX(Calendar!$A$16:$A$141,MATCH(F96,Calendar!$D$16:$D$141,0)))</x:f>
        <x:v>46349</x:v>
      </x:c>
      <x:c r="K96" s="5" t="n">
        <x:f>IF(OR(I96="",I96&lt;1,I96&gt;Calendar!$B$9),"",INDEX(Calendar!$A$16:$A$141,MATCH(I96,Calendar!$D$16:$D$141,0)))</x:f>
        <x:v>46353</x:v>
      </x:c>
      <x:c r="L96" s="53" t="n">
        <x:v>0</x:v>
      </x:c>
      <x:c r="M96" s="2" t="str">
        <x:f>IF(OR(F96="",G96="",H96=""),"Missing input",IF(OR(F96&lt;1,G96&lt;1,I96&gt;Calendar!$B$9),"Outside calendar",IF(F96&lt;MAX(INDEX($I$8:$I$157,MATCH("U04",$A$8:$A$157,0))+1),"Dependency conflict","Scheduled")))</x:f>
        <x:v>Scheduled</x:v>
      </x:c>
      <x:c r="N96" s="45" t="n">
        <x:f>IF(OR($J96="",$K96=""),"",IF(SUMIFS(Calendar!$C$16:$C$141,Calendar!$A$16:$A$141,"&gt;="&amp;MAX(N$7,$J96),Calendar!$A$16:$A$141,"&lt;="&amp;MIN(N$7+4,$K96))=0,0,IF($H96="","EXT",SUMIFS(Calendar!$C$16:$C$141,Calendar!$A$16:$A$141,"&gt;="&amp;MAX(N$7,$J96),Calendar!$A$16:$A$141,"&lt;="&amp;MIN(N$7+4,$K96))*$H96/$G96)))</x:f>
        <x:v>0</x:v>
      </x:c>
      <x:c r="O96" s="45" t="n">
        <x:f>IF(OR($J96="",$K96=""),"",IF(SUMIFS(Calendar!$C$16:$C$141,Calendar!$A$16:$A$141,"&gt;="&amp;MAX(O$7,$J96),Calendar!$A$16:$A$141,"&lt;="&amp;MIN(O$7+4,$K96))=0,0,IF($H96="","EXT",SUMIFS(Calendar!$C$16:$C$141,Calendar!$A$16:$A$141,"&gt;="&amp;MAX(O$7,$J96),Calendar!$A$16:$A$141,"&lt;="&amp;MIN(O$7+4,$K96))*$H96/$G96)))</x:f>
        <x:v>0</x:v>
      </x:c>
      <x:c r="P96" s="45" t="n">
        <x:f>IF(OR($J96="",$K96=""),"",IF(SUMIFS(Calendar!$C$16:$C$141,Calendar!$A$16:$A$141,"&gt;="&amp;MAX(P$7,$J96),Calendar!$A$16:$A$141,"&lt;="&amp;MIN(P$7+4,$K96))=0,0,IF($H96="","EXT",SUMIFS(Calendar!$C$16:$C$141,Calendar!$A$16:$A$141,"&gt;="&amp;MAX(P$7,$J96),Calendar!$A$16:$A$141,"&lt;="&amp;MIN(P$7+4,$K96))*$H96/$G96)))</x:f>
        <x:v>0</x:v>
      </x:c>
      <x:c r="Q96" s="45" t="n">
        <x:f>IF(OR($J96="",$K96=""),"",IF(SUMIFS(Calendar!$C$16:$C$141,Calendar!$A$16:$A$141,"&gt;="&amp;MAX(Q$7,$J96),Calendar!$A$16:$A$141,"&lt;="&amp;MIN(Q$7+4,$K96))=0,0,IF($H96="","EXT",SUMIFS(Calendar!$C$16:$C$141,Calendar!$A$16:$A$141,"&gt;="&amp;MAX(Q$7,$J96),Calendar!$A$16:$A$141,"&lt;="&amp;MIN(Q$7+4,$K96))*$H96/$G96)))</x:f>
        <x:v>3</x:v>
      </x:c>
      <x:c r="R96" s="45" t="n">
        <x:f>IF(OR($J96="",$K96=""),"",IF(SUMIFS(Calendar!$C$16:$C$141,Calendar!$A$16:$A$141,"&gt;="&amp;MAX(R$7,$J96),Calendar!$A$16:$A$141,"&lt;="&amp;MIN(R$7+4,$K96))=0,0,IF($H96="","EXT",SUMIFS(Calendar!$C$16:$C$141,Calendar!$A$16:$A$141,"&gt;="&amp;MAX(R$7,$J96),Calendar!$A$16:$A$141,"&lt;="&amp;MIN(R$7+4,$K96))*$H96/$G96)))</x:f>
        <x:v>0</x:v>
      </x:c>
      <x:c r="S96" s="45" t="n">
        <x:f>IF(OR($J96="",$K96=""),"",IF(SUMIFS(Calendar!$C$16:$C$141,Calendar!$A$16:$A$141,"&gt;="&amp;MAX(S$7,$J96),Calendar!$A$16:$A$141,"&lt;="&amp;MIN(S$7+4,$K96))=0,0,IF($H96="","EXT",SUMIFS(Calendar!$C$16:$C$141,Calendar!$A$16:$A$141,"&gt;="&amp;MAX(S$7,$J96),Calendar!$A$16:$A$141,"&lt;="&amp;MIN(S$7+4,$K96))*$H96/$G96)))</x:f>
        <x:v>0</x:v>
      </x:c>
      <x:c r="T96" s="45" t="n">
        <x:f>IF(OR($J96="",$K96=""),"",IF(SUMIFS(Calendar!$C$16:$C$141,Calendar!$A$16:$A$141,"&gt;="&amp;MAX(T$7,$J96),Calendar!$A$16:$A$141,"&lt;="&amp;MIN(T$7+4,$K96))=0,0,IF($H96="","EXT",SUMIFS(Calendar!$C$16:$C$141,Calendar!$A$16:$A$141,"&gt;="&amp;MAX(T$7,$J96),Calendar!$A$16:$A$141,"&lt;="&amp;MIN(T$7+4,$K96))*$H96/$G96)))</x:f>
        <x:v>0</x:v>
      </x:c>
      <x:c r="U96" s="45" t="n">
        <x:f>IF(OR($J96="",$K96=""),"",IF(SUMIFS(Calendar!$C$16:$C$141,Calendar!$A$16:$A$141,"&gt;="&amp;MAX(U$7,$J96),Calendar!$A$16:$A$141,"&lt;="&amp;MIN(U$7+4,$K96))=0,0,IF($H96="","EXT",SUMIFS(Calendar!$C$16:$C$141,Calendar!$A$16:$A$141,"&gt;="&amp;MAX(U$7,$J96),Calendar!$A$16:$A$141,"&lt;="&amp;MIN(U$7+4,$K96))*$H96/$G96)))</x:f>
        <x:v>0</x:v>
      </x:c>
      <x:c r="V96" s="45" t="n">
        <x:f>IF(OR($J96="",$K96=""),"",IF(SUMIFS(Calendar!$C$16:$C$141,Calendar!$A$16:$A$141,"&gt;="&amp;MAX(V$7,$J96),Calendar!$A$16:$A$141,"&lt;="&amp;MIN(V$7+4,$K96))=0,0,IF($H96="","EXT",SUMIFS(Calendar!$C$16:$C$141,Calendar!$A$16:$A$141,"&gt;="&amp;MAX(V$7,$J96),Calendar!$A$16:$A$141,"&lt;="&amp;MIN(V$7+4,$K96))*$H96/$G96)))</x:f>
        <x:v>0</x:v>
      </x:c>
      <x:c r="W96" s="45" t="n">
        <x:f>IF(OR($J96="",$K96=""),"",IF(SUMIFS(Calendar!$C$16:$C$141,Calendar!$A$16:$A$141,"&gt;="&amp;MAX(W$7,$J96),Calendar!$A$16:$A$141,"&lt;="&amp;MIN(W$7+4,$K96))=0,0,IF($H96="","EXT",SUMIFS(Calendar!$C$16:$C$141,Calendar!$A$16:$A$141,"&gt;="&amp;MAX(W$7,$J96),Calendar!$A$16:$A$141,"&lt;="&amp;MIN(W$7+4,$K96))*$H96/$G96)))</x:f>
        <x:v>0</x:v>
      </x:c>
      <x:c r="X96" s="45" t="n">
        <x:f>IF(OR($J96="",$K96=""),"",IF(SUMIFS(Calendar!$C$16:$C$141,Calendar!$A$16:$A$141,"&gt;="&amp;MAX(X$7,$J96),Calendar!$A$16:$A$141,"&lt;="&amp;MIN(X$7+4,$K96))=0,0,IF($H96="","EXT",SUMIFS(Calendar!$C$16:$C$141,Calendar!$A$16:$A$141,"&gt;="&amp;MAX(X$7,$J96),Calendar!$A$16:$A$141,"&lt;="&amp;MIN(X$7+4,$K96))*$H96/$G96)))</x:f>
        <x:v>0</x:v>
      </x:c>
      <x:c r="Y96" s="45" t="n">
        <x:f>IF(OR($J96="",$K96=""),"",IF(SUMIFS(Calendar!$C$16:$C$141,Calendar!$A$16:$A$141,"&gt;="&amp;MAX(Y$7,$J96),Calendar!$A$16:$A$141,"&lt;="&amp;MIN(Y$7+4,$K96))=0,0,IF($H96="","EXT",SUMIFS(Calendar!$C$16:$C$141,Calendar!$A$16:$A$141,"&gt;="&amp;MAX(Y$7,$J96),Calendar!$A$16:$A$141,"&lt;="&amp;MIN(Y$7+4,$K96))*$H96/$G96)))</x:f>
        <x:v>0</x:v>
      </x:c>
      <x:c r="Z96" s="45" t="n">
        <x:f>IF(OR($J96="",$K96=""),"",IF(SUMIFS(Calendar!$C$16:$C$141,Calendar!$A$16:$A$141,"&gt;="&amp;MAX(Z$7,$J96),Calendar!$A$16:$A$141,"&lt;="&amp;MIN(Z$7+4,$K96))=0,0,IF($H96="","EXT",SUMIFS(Calendar!$C$16:$C$141,Calendar!$A$16:$A$141,"&gt;="&amp;MAX(Z$7,$J96),Calendar!$A$16:$A$141,"&lt;="&amp;MIN(Z$7+4,$K96))*$H96/$G96)))</x:f>
        <x:v>0</x:v>
      </x:c>
      <x:c r="AA96" s="45" t="n">
        <x:f>IF(OR($J96="",$K96=""),"",IF(SUMIFS(Calendar!$C$16:$C$141,Calendar!$A$16:$A$141,"&gt;="&amp;MAX(AA$7,$J96),Calendar!$A$16:$A$141,"&lt;="&amp;MIN(AA$7+4,$K96))=0,0,IF($H96="","EXT",SUMIFS(Calendar!$C$16:$C$141,Calendar!$A$16:$A$141,"&gt;="&amp;MAX(AA$7,$J96),Calendar!$A$16:$A$141,"&lt;="&amp;MIN(AA$7+4,$K96))*$H96/$G96)))</x:f>
        <x:v>0</x:v>
      </x:c>
      <x:c r="AB96" s="45" t="n">
        <x:f>IF(OR($J96="",$K96=""),"",IF(SUMIFS(Calendar!$C$16:$C$141,Calendar!$A$16:$A$141,"&gt;="&amp;MAX(AB$7,$J96),Calendar!$A$16:$A$141,"&lt;="&amp;MIN(AB$7+4,$K96))=0,0,IF($H96="","EXT",SUMIFS(Calendar!$C$16:$C$141,Calendar!$A$16:$A$141,"&gt;="&amp;MAX(AB$7,$J96),Calendar!$A$16:$A$141,"&lt;="&amp;MIN(AB$7+4,$K96))*$H96/$G96)))</x:f>
        <x:v>0</x:v>
      </x:c>
      <x:c r="AC96" s="45" t="n">
        <x:f>IF(OR($J96="",$K96=""),"",IF(SUMIFS(Calendar!$C$16:$C$141,Calendar!$A$16:$A$141,"&gt;="&amp;MAX(AC$7,$J96),Calendar!$A$16:$A$141,"&lt;="&amp;MIN(AC$7+4,$K96))=0,0,IF($H96="","EXT",SUMIFS(Calendar!$C$16:$C$141,Calendar!$A$16:$A$141,"&gt;="&amp;MAX(AC$7,$J96),Calendar!$A$16:$A$141,"&lt;="&amp;MIN(AC$7+4,$K96))*$H96/$G96)))</x:f>
        <x:v>0</x:v>
      </x:c>
      <x:c r="AD96" s="45" t="n">
        <x:f>IF(OR($J96="",$K96=""),"",IF(SUMIFS(Calendar!$C$16:$C$141,Calendar!$A$16:$A$141,"&gt;="&amp;MAX(AD$7,$J96),Calendar!$A$16:$A$141,"&lt;="&amp;MIN(AD$7+4,$K96))=0,0,IF($H96="","EXT",SUMIFS(Calendar!$C$16:$C$141,Calendar!$A$16:$A$141,"&gt;="&amp;MAX(AD$7,$J96),Calendar!$A$16:$A$141,"&lt;="&amp;MIN(AD$7+4,$K96))*$H96/$G96)))</x:f>
        <x:v>0</x:v>
      </x:c>
      <x:c r="AE96" s="45" t="n">
        <x:f>IF(OR($J96="",$K96=""),"",IF(SUMIFS(Calendar!$C$16:$C$141,Calendar!$A$16:$A$141,"&gt;="&amp;MAX(AE$7,$J96),Calendar!$A$16:$A$141,"&lt;="&amp;MIN(AE$7+4,$K96))=0,0,IF($H96="","EXT",SUMIFS(Calendar!$C$16:$C$141,Calendar!$A$16:$A$141,"&gt;="&amp;MAX(AE$7,$J96),Calendar!$A$16:$A$141,"&lt;="&amp;MIN(AE$7+4,$K96))*$H96/$G96)))</x:f>
        <x:v>0</x:v>
      </x:c>
      <x:c r="AF96" s="8" t="n">
        <x:f>IF(OR(M96&lt;&gt;"Scheduled",INDEX('Team and Gates'!$C$7:$C$13,MATCH($D96,'Team and Gates'!$A$7:$A$13,0))=""),"CHECK",SUM(N96:AE96)*INDEX('Team and Gates'!$C$7:$C$13,MATCH($D96,'Team and Gates'!$A$7:$A$13,0)))</x:f>
        <x:v>1080</x:v>
      </x:c>
      <x:c r="AG96" s="46" t="str">
        <x:v>Developer checks and positive/negative acceptance examples pass; review AI-generated code before handoff.</x:v>
      </x:c>
      <x:c r="AH96" s="46" t="str">
        <x:v>Three-week feature implementation window after FSD signoff; use Codex with developer review and continuous tests.</x:v>
      </x:c>
    </x:row>
    <x:row r="97" ht="45" customHeight="1">
      <x:c r="A97" s="39" t="str">
        <x:v>U06</x:v>
      </x:c>
      <x:c r="B97" s="39" t="str">
        <x:v>Business QA</x:v>
      </x:c>
      <x:c r="C97" s="47" t="str">
        <x:v>Continuous acceptance checks: draft facts and Playbook behavior</x:v>
      </x:c>
      <x:c r="D97" s="34" t="str">
        <x:v>Tester 2</x:v>
      </x:c>
      <x:c r="E97" s="47" t="str">
        <x:v>U05</x:v>
      </x:c>
      <x:c r="F97" s="50" t="n">
        <x:v>21</x:v>
      </x:c>
      <x:c r="G97" s="50" t="n">
        <x:v>2</x:v>
      </x:c>
      <x:c r="H97" s="51" t="n">
        <x:v>1.2000000000000002</x:v>
      </x:c>
      <x:c r="I97" s="39" t="n">
        <x:f>IF(OR(F97="",G97=""),"",F97+G97-1)</x:f>
        <x:v>22</x:v>
      </x:c>
      <x:c r="J97" s="41" t="n">
        <x:f>IF(OR(F97="",F97&lt;1,F97&gt;Calendar!$B$9),"",INDEX(Calendar!$A$16:$A$141,MATCH(F97,Calendar!$D$16:$D$141,0)))</x:f>
        <x:v>46356</x:v>
      </x:c>
      <x:c r="K97" s="41" t="n">
        <x:f>IF(OR(I97="",I97&lt;1,I97&gt;Calendar!$B$9),"",INDEX(Calendar!$A$16:$A$141,MATCH(I97,Calendar!$D$16:$D$141,0)))</x:f>
        <x:v>46357</x:v>
      </x:c>
      <x:c r="L97" s="53" t="n">
        <x:v>0</x:v>
      </x:c>
      <x:c r="M97" s="39" t="str">
        <x:f>IF(OR(F97="",G97="",H97=""),"Missing input",IF(OR(F97&lt;1,G97&lt;1,I97&gt;Calendar!$B$9),"Outside calendar",IF(F97&lt;MAX(INDEX($I$8:$I$157,MATCH("U05",$A$8:$A$157,0))+1),"Dependency conflict","Scheduled")))</x:f>
        <x:v>Scheduled</x:v>
      </x:c>
      <x:c r="N97" s="45" t="n">
        <x:f>IF(OR($J97="",$K97=""),"",IF(SUMIFS(Calendar!$C$16:$C$141,Calendar!$A$16:$A$141,"&gt;="&amp;MAX(N$7,$J97),Calendar!$A$16:$A$141,"&lt;="&amp;MIN(N$7+4,$K97))=0,0,IF($H97="","EXT",SUMIFS(Calendar!$C$16:$C$141,Calendar!$A$16:$A$141,"&gt;="&amp;MAX(N$7,$J97),Calendar!$A$16:$A$141,"&lt;="&amp;MIN(N$7+4,$K97))*$H97/$G97)))</x:f>
        <x:v>0</x:v>
      </x:c>
      <x:c r="O97" s="45" t="n">
        <x:f>IF(OR($J97="",$K97=""),"",IF(SUMIFS(Calendar!$C$16:$C$141,Calendar!$A$16:$A$141,"&gt;="&amp;MAX(O$7,$J97),Calendar!$A$16:$A$141,"&lt;="&amp;MIN(O$7+4,$K97))=0,0,IF($H97="","EXT",SUMIFS(Calendar!$C$16:$C$141,Calendar!$A$16:$A$141,"&gt;="&amp;MAX(O$7,$J97),Calendar!$A$16:$A$141,"&lt;="&amp;MIN(O$7+4,$K97))*$H97/$G97)))</x:f>
        <x:v>0</x:v>
      </x:c>
      <x:c r="P97" s="45" t="n">
        <x:f>IF(OR($J97="",$K97=""),"",IF(SUMIFS(Calendar!$C$16:$C$141,Calendar!$A$16:$A$141,"&gt;="&amp;MAX(P$7,$J97),Calendar!$A$16:$A$141,"&lt;="&amp;MIN(P$7+4,$K97))=0,0,IF($H97="","EXT",SUMIFS(Calendar!$C$16:$C$141,Calendar!$A$16:$A$141,"&gt;="&amp;MAX(P$7,$J97),Calendar!$A$16:$A$141,"&lt;="&amp;MIN(P$7+4,$K97))*$H97/$G97)))</x:f>
        <x:v>0</x:v>
      </x:c>
      <x:c r="Q97" s="45" t="n">
        <x:f>IF(OR($J97="",$K97=""),"",IF(SUMIFS(Calendar!$C$16:$C$141,Calendar!$A$16:$A$141,"&gt;="&amp;MAX(Q$7,$J97),Calendar!$A$16:$A$141,"&lt;="&amp;MIN(Q$7+4,$K97))=0,0,IF($H97="","EXT",SUMIFS(Calendar!$C$16:$C$141,Calendar!$A$16:$A$141,"&gt;="&amp;MAX(Q$7,$J97),Calendar!$A$16:$A$141,"&lt;="&amp;MIN(Q$7+4,$K97))*$H97/$G97)))</x:f>
        <x:v>0</x:v>
      </x:c>
      <x:c r="R97" s="45" t="n">
        <x:f>IF(OR($J97="",$K97=""),"",IF(SUMIFS(Calendar!$C$16:$C$141,Calendar!$A$16:$A$141,"&gt;="&amp;MAX(R$7,$J97),Calendar!$A$16:$A$141,"&lt;="&amp;MIN(R$7+4,$K97))=0,0,IF($H97="","EXT",SUMIFS(Calendar!$C$16:$C$141,Calendar!$A$16:$A$141,"&gt;="&amp;MAX(R$7,$J97),Calendar!$A$16:$A$141,"&lt;="&amp;MIN(R$7+4,$K97))*$H97/$G97)))</x:f>
        <x:v>1.2000000000000002</x:v>
      </x:c>
      <x:c r="S97" s="45" t="n">
        <x:f>IF(OR($J97="",$K97=""),"",IF(SUMIFS(Calendar!$C$16:$C$141,Calendar!$A$16:$A$141,"&gt;="&amp;MAX(S$7,$J97),Calendar!$A$16:$A$141,"&lt;="&amp;MIN(S$7+4,$K97))=0,0,IF($H97="","EXT",SUMIFS(Calendar!$C$16:$C$141,Calendar!$A$16:$A$141,"&gt;="&amp;MAX(S$7,$J97),Calendar!$A$16:$A$141,"&lt;="&amp;MIN(S$7+4,$K97))*$H97/$G97)))</x:f>
        <x:v>0</x:v>
      </x:c>
      <x:c r="T97" s="45" t="n">
        <x:f>IF(OR($J97="",$K97=""),"",IF(SUMIFS(Calendar!$C$16:$C$141,Calendar!$A$16:$A$141,"&gt;="&amp;MAX(T$7,$J97),Calendar!$A$16:$A$141,"&lt;="&amp;MIN(T$7+4,$K97))=0,0,IF($H97="","EXT",SUMIFS(Calendar!$C$16:$C$141,Calendar!$A$16:$A$141,"&gt;="&amp;MAX(T$7,$J97),Calendar!$A$16:$A$141,"&lt;="&amp;MIN(T$7+4,$K97))*$H97/$G97)))</x:f>
        <x:v>0</x:v>
      </x:c>
      <x:c r="U97" s="45" t="n">
        <x:f>IF(OR($J97="",$K97=""),"",IF(SUMIFS(Calendar!$C$16:$C$141,Calendar!$A$16:$A$141,"&gt;="&amp;MAX(U$7,$J97),Calendar!$A$16:$A$141,"&lt;="&amp;MIN(U$7+4,$K97))=0,0,IF($H97="","EXT",SUMIFS(Calendar!$C$16:$C$141,Calendar!$A$16:$A$141,"&gt;="&amp;MAX(U$7,$J97),Calendar!$A$16:$A$141,"&lt;="&amp;MIN(U$7+4,$K97))*$H97/$G97)))</x:f>
        <x:v>0</x:v>
      </x:c>
      <x:c r="V97" s="45" t="n">
        <x:f>IF(OR($J97="",$K97=""),"",IF(SUMIFS(Calendar!$C$16:$C$141,Calendar!$A$16:$A$141,"&gt;="&amp;MAX(V$7,$J97),Calendar!$A$16:$A$141,"&lt;="&amp;MIN(V$7+4,$K97))=0,0,IF($H97="","EXT",SUMIFS(Calendar!$C$16:$C$141,Calendar!$A$16:$A$141,"&gt;="&amp;MAX(V$7,$J97),Calendar!$A$16:$A$141,"&lt;="&amp;MIN(V$7+4,$K97))*$H97/$G97)))</x:f>
        <x:v>0</x:v>
      </x:c>
      <x:c r="W97" s="45" t="n">
        <x:f>IF(OR($J97="",$K97=""),"",IF(SUMIFS(Calendar!$C$16:$C$141,Calendar!$A$16:$A$141,"&gt;="&amp;MAX(W$7,$J97),Calendar!$A$16:$A$141,"&lt;="&amp;MIN(W$7+4,$K97))=0,0,IF($H97="","EXT",SUMIFS(Calendar!$C$16:$C$141,Calendar!$A$16:$A$141,"&gt;="&amp;MAX(W$7,$J97),Calendar!$A$16:$A$141,"&lt;="&amp;MIN(W$7+4,$K97))*$H97/$G97)))</x:f>
        <x:v>0</x:v>
      </x:c>
      <x:c r="X97" s="45" t="n">
        <x:f>IF(OR($J97="",$K97=""),"",IF(SUMIFS(Calendar!$C$16:$C$141,Calendar!$A$16:$A$141,"&gt;="&amp;MAX(X$7,$J97),Calendar!$A$16:$A$141,"&lt;="&amp;MIN(X$7+4,$K97))=0,0,IF($H97="","EXT",SUMIFS(Calendar!$C$16:$C$141,Calendar!$A$16:$A$141,"&gt;="&amp;MAX(X$7,$J97),Calendar!$A$16:$A$141,"&lt;="&amp;MIN(X$7+4,$K97))*$H97/$G97)))</x:f>
        <x:v>0</x:v>
      </x:c>
      <x:c r="Y97" s="45" t="n">
        <x:f>IF(OR($J97="",$K97=""),"",IF(SUMIFS(Calendar!$C$16:$C$141,Calendar!$A$16:$A$141,"&gt;="&amp;MAX(Y$7,$J97),Calendar!$A$16:$A$141,"&lt;="&amp;MIN(Y$7+4,$K97))=0,0,IF($H97="","EXT",SUMIFS(Calendar!$C$16:$C$141,Calendar!$A$16:$A$141,"&gt;="&amp;MAX(Y$7,$J97),Calendar!$A$16:$A$141,"&lt;="&amp;MIN(Y$7+4,$K97))*$H97/$G97)))</x:f>
        <x:v>0</x:v>
      </x:c>
      <x:c r="Z97" s="45" t="n">
        <x:f>IF(OR($J97="",$K97=""),"",IF(SUMIFS(Calendar!$C$16:$C$141,Calendar!$A$16:$A$141,"&gt;="&amp;MAX(Z$7,$J97),Calendar!$A$16:$A$141,"&lt;="&amp;MIN(Z$7+4,$K97))=0,0,IF($H97="","EXT",SUMIFS(Calendar!$C$16:$C$141,Calendar!$A$16:$A$141,"&gt;="&amp;MAX(Z$7,$J97),Calendar!$A$16:$A$141,"&lt;="&amp;MIN(Z$7+4,$K97))*$H97/$G97)))</x:f>
        <x:v>0</x:v>
      </x:c>
      <x:c r="AA97" s="45" t="n">
        <x:f>IF(OR($J97="",$K97=""),"",IF(SUMIFS(Calendar!$C$16:$C$141,Calendar!$A$16:$A$141,"&gt;="&amp;MAX(AA$7,$J97),Calendar!$A$16:$A$141,"&lt;="&amp;MIN(AA$7+4,$K97))=0,0,IF($H97="","EXT",SUMIFS(Calendar!$C$16:$C$141,Calendar!$A$16:$A$141,"&gt;="&amp;MAX(AA$7,$J97),Calendar!$A$16:$A$141,"&lt;="&amp;MIN(AA$7+4,$K97))*$H97/$G97)))</x:f>
        <x:v>0</x:v>
      </x:c>
      <x:c r="AB97" s="45" t="n">
        <x:f>IF(OR($J97="",$K97=""),"",IF(SUMIFS(Calendar!$C$16:$C$141,Calendar!$A$16:$A$141,"&gt;="&amp;MAX(AB$7,$J97),Calendar!$A$16:$A$141,"&lt;="&amp;MIN(AB$7+4,$K97))=0,0,IF($H97="","EXT",SUMIFS(Calendar!$C$16:$C$141,Calendar!$A$16:$A$141,"&gt;="&amp;MAX(AB$7,$J97),Calendar!$A$16:$A$141,"&lt;="&amp;MIN(AB$7+4,$K97))*$H97/$G97)))</x:f>
        <x:v>0</x:v>
      </x:c>
      <x:c r="AC97" s="45" t="n">
        <x:f>IF(OR($J97="",$K97=""),"",IF(SUMIFS(Calendar!$C$16:$C$141,Calendar!$A$16:$A$141,"&gt;="&amp;MAX(AC$7,$J97),Calendar!$A$16:$A$141,"&lt;="&amp;MIN(AC$7+4,$K97))=0,0,IF($H97="","EXT",SUMIFS(Calendar!$C$16:$C$141,Calendar!$A$16:$A$141,"&gt;="&amp;MAX(AC$7,$J97),Calendar!$A$16:$A$141,"&lt;="&amp;MIN(AC$7+4,$K97))*$H97/$G97)))</x:f>
        <x:v>0</x:v>
      </x:c>
      <x:c r="AD97" s="45" t="n">
        <x:f>IF(OR($J97="",$K97=""),"",IF(SUMIFS(Calendar!$C$16:$C$141,Calendar!$A$16:$A$141,"&gt;="&amp;MAX(AD$7,$J97),Calendar!$A$16:$A$141,"&lt;="&amp;MIN(AD$7+4,$K97))=0,0,IF($H97="","EXT",SUMIFS(Calendar!$C$16:$C$141,Calendar!$A$16:$A$141,"&gt;="&amp;MAX(AD$7,$J97),Calendar!$A$16:$A$141,"&lt;="&amp;MIN(AD$7+4,$K97))*$H97/$G97)))</x:f>
        <x:v>0</x:v>
      </x:c>
      <x:c r="AE97" s="45" t="n">
        <x:f>IF(OR($J97="",$K97=""),"",IF(SUMIFS(Calendar!$C$16:$C$141,Calendar!$A$16:$A$141,"&gt;="&amp;MAX(AE$7,$J97),Calendar!$A$16:$A$141,"&lt;="&amp;MIN(AE$7+4,$K97))=0,0,IF($H97="","EXT",SUMIFS(Calendar!$C$16:$C$141,Calendar!$A$16:$A$141,"&gt;="&amp;MAX(AE$7,$J97),Calendar!$A$16:$A$141,"&lt;="&amp;MIN(AE$7+4,$K97))*$H97/$G97)))</x:f>
        <x:v>0</x:v>
      </x:c>
      <x:c r="AF97" s="8" t="n">
        <x:f>IF(OR(M97&lt;&gt;"Scheduled",INDEX('Team and Gates'!$C$7:$C$13,MATCH($D97,'Team and Gates'!$A$7:$A$13,0))=""),"CHECK",SUM(N97:AE97)*INDEX('Team and Gates'!$C$7:$C$13,MATCH($D97,'Team and Gates'!$A$7:$A$13,0)))</x:f>
        <x:v>432.00000000000006</x:v>
      </x:c>
      <x:c r="AG97" s="46" t="str">
        <x:v>Developer checks and positive/negative acceptance examples pass; review AI-generated code before handoff.</x:v>
      </x:c>
      <x:c r="AH97" s="46" t="str">
        <x:v>Three-week feature implementation window after FSD signoff; use Codex with developer review and continuous tests.</x:v>
      </x:c>
    </x:row>
    <x:row r="98" ht="45" customHeight="1">
      <x:c r="A98" s="2" t="str">
        <x:v>U07</x:v>
      </x:c>
      <x:c r="B98" s="2" t="str">
        <x:v>Business QA</x:v>
      </x:c>
      <x:c r="C98" s="46" t="str">
        <x:v>Pre-SIT business walkthrough and expected-outcome checks</x:v>
      </x:c>
      <x:c r="D98" s="34" t="str">
        <x:v>Tester 2</x:v>
      </x:c>
      <x:c r="E98" s="46" t="str">
        <x:v>U06</x:v>
      </x:c>
      <x:c r="F98" s="50" t="n">
        <x:v>23</x:v>
      </x:c>
      <x:c r="G98" s="50" t="n">
        <x:v>3</x:v>
      </x:c>
      <x:c r="H98" s="51" t="n">
        <x:v>1.7999999999999998</x:v>
      </x:c>
      <x:c r="I98" s="2" t="n">
        <x:f>IF(OR(F98="",G98=""),"",F98+G98-1)</x:f>
        <x:v>25</x:v>
      </x:c>
      <x:c r="J98" s="5" t="n">
        <x:f>IF(OR(F98="",F98&lt;1,F98&gt;Calendar!$B$9),"",INDEX(Calendar!$A$16:$A$141,MATCH(F98,Calendar!$D$16:$D$141,0)))</x:f>
        <x:v>46358</x:v>
      </x:c>
      <x:c r="K98" s="5" t="n">
        <x:f>IF(OR(I98="",I98&lt;1,I98&gt;Calendar!$B$9),"",INDEX(Calendar!$A$16:$A$141,MATCH(I98,Calendar!$D$16:$D$141,0)))</x:f>
        <x:v>46360</x:v>
      </x:c>
      <x:c r="L98" s="53" t="n">
        <x:v>0</x:v>
      </x:c>
      <x:c r="M98" s="2" t="str">
        <x:f>IF(OR(F98="",G98="",H98=""),"Missing input",IF(OR(F98&lt;1,G98&lt;1,I98&gt;Calendar!$B$9),"Outside calendar",IF(F98&lt;MAX(INDEX($I$8:$I$157,MATCH("U06",$A$8:$A$157,0))+1),"Dependency conflict","Scheduled")))</x:f>
        <x:v>Scheduled</x:v>
      </x:c>
      <x:c r="N98" s="45" t="n">
        <x:f>IF(OR($J98="",$K98=""),"",IF(SUMIFS(Calendar!$C$16:$C$141,Calendar!$A$16:$A$141,"&gt;="&amp;MAX(N$7,$J98),Calendar!$A$16:$A$141,"&lt;="&amp;MIN(N$7+4,$K98))=0,0,IF($H98="","EXT",SUMIFS(Calendar!$C$16:$C$141,Calendar!$A$16:$A$141,"&gt;="&amp;MAX(N$7,$J98),Calendar!$A$16:$A$141,"&lt;="&amp;MIN(N$7+4,$K98))*$H98/$G98)))</x:f>
        <x:v>0</x:v>
      </x:c>
      <x:c r="O98" s="45" t="n">
        <x:f>IF(OR($J98="",$K98=""),"",IF(SUMIFS(Calendar!$C$16:$C$141,Calendar!$A$16:$A$141,"&gt;="&amp;MAX(O$7,$J98),Calendar!$A$16:$A$141,"&lt;="&amp;MIN(O$7+4,$K98))=0,0,IF($H98="","EXT",SUMIFS(Calendar!$C$16:$C$141,Calendar!$A$16:$A$141,"&gt;="&amp;MAX(O$7,$J98),Calendar!$A$16:$A$141,"&lt;="&amp;MIN(O$7+4,$K98))*$H98/$G98)))</x:f>
        <x:v>0</x:v>
      </x:c>
      <x:c r="P98" s="45" t="n">
        <x:f>IF(OR($J98="",$K98=""),"",IF(SUMIFS(Calendar!$C$16:$C$141,Calendar!$A$16:$A$141,"&gt;="&amp;MAX(P$7,$J98),Calendar!$A$16:$A$141,"&lt;="&amp;MIN(P$7+4,$K98))=0,0,IF($H98="","EXT",SUMIFS(Calendar!$C$16:$C$141,Calendar!$A$16:$A$141,"&gt;="&amp;MAX(P$7,$J98),Calendar!$A$16:$A$141,"&lt;="&amp;MIN(P$7+4,$K98))*$H98/$G98)))</x:f>
        <x:v>0</x:v>
      </x:c>
      <x:c r="Q98" s="45" t="n">
        <x:f>IF(OR($J98="",$K98=""),"",IF(SUMIFS(Calendar!$C$16:$C$141,Calendar!$A$16:$A$141,"&gt;="&amp;MAX(Q$7,$J98),Calendar!$A$16:$A$141,"&lt;="&amp;MIN(Q$7+4,$K98))=0,0,IF($H98="","EXT",SUMIFS(Calendar!$C$16:$C$141,Calendar!$A$16:$A$141,"&gt;="&amp;MAX(Q$7,$J98),Calendar!$A$16:$A$141,"&lt;="&amp;MIN(Q$7+4,$K98))*$H98/$G98)))</x:f>
        <x:v>0</x:v>
      </x:c>
      <x:c r="R98" s="45" t="n">
        <x:f>IF(OR($J98="",$K98=""),"",IF(SUMIFS(Calendar!$C$16:$C$141,Calendar!$A$16:$A$141,"&gt;="&amp;MAX(R$7,$J98),Calendar!$A$16:$A$141,"&lt;="&amp;MIN(R$7+4,$K98))=0,0,IF($H98="","EXT",SUMIFS(Calendar!$C$16:$C$141,Calendar!$A$16:$A$141,"&gt;="&amp;MAX(R$7,$J98),Calendar!$A$16:$A$141,"&lt;="&amp;MIN(R$7+4,$K98))*$H98/$G98)))</x:f>
        <x:v>1.7999999999999998</x:v>
      </x:c>
      <x:c r="S98" s="45" t="n">
        <x:f>IF(OR($J98="",$K98=""),"",IF(SUMIFS(Calendar!$C$16:$C$141,Calendar!$A$16:$A$141,"&gt;="&amp;MAX(S$7,$J98),Calendar!$A$16:$A$141,"&lt;="&amp;MIN(S$7+4,$K98))=0,0,IF($H98="","EXT",SUMIFS(Calendar!$C$16:$C$141,Calendar!$A$16:$A$141,"&gt;="&amp;MAX(S$7,$J98),Calendar!$A$16:$A$141,"&lt;="&amp;MIN(S$7+4,$K98))*$H98/$G98)))</x:f>
        <x:v>0</x:v>
      </x:c>
      <x:c r="T98" s="45" t="n">
        <x:f>IF(OR($J98="",$K98=""),"",IF(SUMIFS(Calendar!$C$16:$C$141,Calendar!$A$16:$A$141,"&gt;="&amp;MAX(T$7,$J98),Calendar!$A$16:$A$141,"&lt;="&amp;MIN(T$7+4,$K98))=0,0,IF($H98="","EXT",SUMIFS(Calendar!$C$16:$C$141,Calendar!$A$16:$A$141,"&gt;="&amp;MAX(T$7,$J98),Calendar!$A$16:$A$141,"&lt;="&amp;MIN(T$7+4,$K98))*$H98/$G98)))</x:f>
        <x:v>0</x:v>
      </x:c>
      <x:c r="U98" s="45" t="n">
        <x:f>IF(OR($J98="",$K98=""),"",IF(SUMIFS(Calendar!$C$16:$C$141,Calendar!$A$16:$A$141,"&gt;="&amp;MAX(U$7,$J98),Calendar!$A$16:$A$141,"&lt;="&amp;MIN(U$7+4,$K98))=0,0,IF($H98="","EXT",SUMIFS(Calendar!$C$16:$C$141,Calendar!$A$16:$A$141,"&gt;="&amp;MAX(U$7,$J98),Calendar!$A$16:$A$141,"&lt;="&amp;MIN(U$7+4,$K98))*$H98/$G98)))</x:f>
        <x:v>0</x:v>
      </x:c>
      <x:c r="V98" s="45" t="n">
        <x:f>IF(OR($J98="",$K98=""),"",IF(SUMIFS(Calendar!$C$16:$C$141,Calendar!$A$16:$A$141,"&gt;="&amp;MAX(V$7,$J98),Calendar!$A$16:$A$141,"&lt;="&amp;MIN(V$7+4,$K98))=0,0,IF($H98="","EXT",SUMIFS(Calendar!$C$16:$C$141,Calendar!$A$16:$A$141,"&gt;="&amp;MAX(V$7,$J98),Calendar!$A$16:$A$141,"&lt;="&amp;MIN(V$7+4,$K98))*$H98/$G98)))</x:f>
        <x:v>0</x:v>
      </x:c>
      <x:c r="W98" s="45" t="n">
        <x:f>IF(OR($J98="",$K98=""),"",IF(SUMIFS(Calendar!$C$16:$C$141,Calendar!$A$16:$A$141,"&gt;="&amp;MAX(W$7,$J98),Calendar!$A$16:$A$141,"&lt;="&amp;MIN(W$7+4,$K98))=0,0,IF($H98="","EXT",SUMIFS(Calendar!$C$16:$C$141,Calendar!$A$16:$A$141,"&gt;="&amp;MAX(W$7,$J98),Calendar!$A$16:$A$141,"&lt;="&amp;MIN(W$7+4,$K98))*$H98/$G98)))</x:f>
        <x:v>0</x:v>
      </x:c>
      <x:c r="X98" s="45" t="n">
        <x:f>IF(OR($J98="",$K98=""),"",IF(SUMIFS(Calendar!$C$16:$C$141,Calendar!$A$16:$A$141,"&gt;="&amp;MAX(X$7,$J98),Calendar!$A$16:$A$141,"&lt;="&amp;MIN(X$7+4,$K98))=0,0,IF($H98="","EXT",SUMIFS(Calendar!$C$16:$C$141,Calendar!$A$16:$A$141,"&gt;="&amp;MAX(X$7,$J98),Calendar!$A$16:$A$141,"&lt;="&amp;MIN(X$7+4,$K98))*$H98/$G98)))</x:f>
        <x:v>0</x:v>
      </x:c>
      <x:c r="Y98" s="45" t="n">
        <x:f>IF(OR($J98="",$K98=""),"",IF(SUMIFS(Calendar!$C$16:$C$141,Calendar!$A$16:$A$141,"&gt;="&amp;MAX(Y$7,$J98),Calendar!$A$16:$A$141,"&lt;="&amp;MIN(Y$7+4,$K98))=0,0,IF($H98="","EXT",SUMIFS(Calendar!$C$16:$C$141,Calendar!$A$16:$A$141,"&gt;="&amp;MAX(Y$7,$J98),Calendar!$A$16:$A$141,"&lt;="&amp;MIN(Y$7+4,$K98))*$H98/$G98)))</x:f>
        <x:v>0</x:v>
      </x:c>
      <x:c r="Z98" s="45" t="n">
        <x:f>IF(OR($J98="",$K98=""),"",IF(SUMIFS(Calendar!$C$16:$C$141,Calendar!$A$16:$A$141,"&gt;="&amp;MAX(Z$7,$J98),Calendar!$A$16:$A$141,"&lt;="&amp;MIN(Z$7+4,$K98))=0,0,IF($H98="","EXT",SUMIFS(Calendar!$C$16:$C$141,Calendar!$A$16:$A$141,"&gt;="&amp;MAX(Z$7,$J98),Calendar!$A$16:$A$141,"&lt;="&amp;MIN(Z$7+4,$K98))*$H98/$G98)))</x:f>
        <x:v>0</x:v>
      </x:c>
      <x:c r="AA98" s="45" t="n">
        <x:f>IF(OR($J98="",$K98=""),"",IF(SUMIFS(Calendar!$C$16:$C$141,Calendar!$A$16:$A$141,"&gt;="&amp;MAX(AA$7,$J98),Calendar!$A$16:$A$141,"&lt;="&amp;MIN(AA$7+4,$K98))=0,0,IF($H98="","EXT",SUMIFS(Calendar!$C$16:$C$141,Calendar!$A$16:$A$141,"&gt;="&amp;MAX(AA$7,$J98),Calendar!$A$16:$A$141,"&lt;="&amp;MIN(AA$7+4,$K98))*$H98/$G98)))</x:f>
        <x:v>0</x:v>
      </x:c>
      <x:c r="AB98" s="45" t="n">
        <x:f>IF(OR($J98="",$K98=""),"",IF(SUMIFS(Calendar!$C$16:$C$141,Calendar!$A$16:$A$141,"&gt;="&amp;MAX(AB$7,$J98),Calendar!$A$16:$A$141,"&lt;="&amp;MIN(AB$7+4,$K98))=0,0,IF($H98="","EXT",SUMIFS(Calendar!$C$16:$C$141,Calendar!$A$16:$A$141,"&gt;="&amp;MAX(AB$7,$J98),Calendar!$A$16:$A$141,"&lt;="&amp;MIN(AB$7+4,$K98))*$H98/$G98)))</x:f>
        <x:v>0</x:v>
      </x:c>
      <x:c r="AC98" s="45" t="n">
        <x:f>IF(OR($J98="",$K98=""),"",IF(SUMIFS(Calendar!$C$16:$C$141,Calendar!$A$16:$A$141,"&gt;="&amp;MAX(AC$7,$J98),Calendar!$A$16:$A$141,"&lt;="&amp;MIN(AC$7+4,$K98))=0,0,IF($H98="","EXT",SUMIFS(Calendar!$C$16:$C$141,Calendar!$A$16:$A$141,"&gt;="&amp;MAX(AC$7,$J98),Calendar!$A$16:$A$141,"&lt;="&amp;MIN(AC$7+4,$K98))*$H98/$G98)))</x:f>
        <x:v>0</x:v>
      </x:c>
      <x:c r="AD98" s="45" t="n">
        <x:f>IF(OR($J98="",$K98=""),"",IF(SUMIFS(Calendar!$C$16:$C$141,Calendar!$A$16:$A$141,"&gt;="&amp;MAX(AD$7,$J98),Calendar!$A$16:$A$141,"&lt;="&amp;MIN(AD$7+4,$K98))=0,0,IF($H98="","EXT",SUMIFS(Calendar!$C$16:$C$141,Calendar!$A$16:$A$141,"&gt;="&amp;MAX(AD$7,$J98),Calendar!$A$16:$A$141,"&lt;="&amp;MIN(AD$7+4,$K98))*$H98/$G98)))</x:f>
        <x:v>0</x:v>
      </x:c>
      <x:c r="AE98" s="45" t="n">
        <x:f>IF(OR($J98="",$K98=""),"",IF(SUMIFS(Calendar!$C$16:$C$141,Calendar!$A$16:$A$141,"&gt;="&amp;MAX(AE$7,$J98),Calendar!$A$16:$A$141,"&lt;="&amp;MIN(AE$7+4,$K98))=0,0,IF($H98="","EXT",SUMIFS(Calendar!$C$16:$C$141,Calendar!$A$16:$A$141,"&gt;="&amp;MAX(AE$7,$J98),Calendar!$A$16:$A$141,"&lt;="&amp;MIN(AE$7+4,$K98))*$H98/$G98)))</x:f>
        <x:v>0</x:v>
      </x:c>
      <x:c r="AF98" s="8" t="n">
        <x:f>IF(OR(M98&lt;&gt;"Scheduled",INDEX('Team and Gates'!$C$7:$C$13,MATCH($D98,'Team and Gates'!$A$7:$A$13,0))=""),"CHECK",SUM(N98:AE98)*INDEX('Team and Gates'!$C$7:$C$13,MATCH($D98,'Team and Gates'!$A$7:$A$13,0)))</x:f>
        <x:v>647.9999999999999</x:v>
      </x:c>
      <x:c r="AG98" s="46" t="str">
        <x:v>Developer checks and positive/negative acceptance examples pass; review AI-generated code before handoff.</x:v>
      </x:c>
      <x:c r="AH98" s="46" t="str">
        <x:v>Three-week feature implementation window after FSD signoff; use Codex with developer review and continuous tests.</x:v>
      </x:c>
    </x:row>
    <x:row r="99" ht="45" customHeight="1">
      <x:c r="A99" s="39" t="str">
        <x:v>U08</x:v>
      </x:c>
      <x:c r="B99" s="39" t="str">
        <x:v>Business QA</x:v>
      </x:c>
      <x:c r="C99" s="47" t="str">
        <x:v>SIT START: complete default-case journeys and intent evaluation</x:v>
      </x:c>
      <x:c r="D99" s="34" t="str">
        <x:v>Tester 2</x:v>
      </x:c>
      <x:c r="E99" s="47" t="str">
        <x:v>U07, A07, B07, F07, S07, BA07, E03, A03, B03</x:v>
      </x:c>
      <x:c r="F99" s="50" t="n">
        <x:v>26</x:v>
      </x:c>
      <x:c r="G99" s="50" t="n">
        <x:v>5</x:v>
      </x:c>
      <x:c r="H99" s="51" t="n">
        <x:v>4</x:v>
      </x:c>
      <x:c r="I99" s="39" t="n">
        <x:f>IF(OR(F99="",G99=""),"",F99+G99-1)</x:f>
        <x:v>30</x:v>
      </x:c>
      <x:c r="J99" s="41" t="n">
        <x:f>IF(OR(F99="",F99&lt;1,F99&gt;Calendar!$B$9),"",INDEX(Calendar!$A$16:$A$141,MATCH(F99,Calendar!$D$16:$D$141,0)))</x:f>
        <x:v>46363</x:v>
      </x:c>
      <x:c r="K99" s="41" t="n">
        <x:f>IF(OR(I99="",I99&lt;1,I99&gt;Calendar!$B$9),"",INDEX(Calendar!$A$16:$A$141,MATCH(I99,Calendar!$D$16:$D$141,0)))</x:f>
        <x:v>46367</x:v>
      </x:c>
      <x:c r="L99" s="53" t="n">
        <x:v>0</x:v>
      </x:c>
      <x:c r="M99" s="39" t="str">
        <x:f>IF(OR(F99="",G99="",H99=""),"Missing input",IF(OR(F99&lt;1,G99&lt;1,I99&gt;Calendar!$B$9),"Outside calendar",IF(F99&lt;MAX(INDEX($I$8:$I$157,MATCH("U07",$A$8:$A$157,0))+1,INDEX($I$8:$I$157,MATCH("A07",$A$8:$A$157,0))+1,INDEX($I$8:$I$157,MATCH("B07",$A$8:$A$157,0))+1,INDEX($I$8:$I$157,MATCH("F07",$A$8:$A$157,0))+1,INDEX($I$8:$I$157,MATCH("S07",$A$8:$A$157,0))+1,INDEX($I$8:$I$157,MATCH("BA07",$A$8:$A$157,0))+1,INDEX($I$8:$I$157,MATCH("E03",$A$8:$A$157,0))+1,INDEX($I$8:$I$157,MATCH("A03",$A$8:$A$157,0))+1,INDEX($I$8:$I$157,MATCH("B03",$A$8:$A$157,0))+1),"Dependency conflict","Scheduled")))</x:f>
        <x:v>Scheduled</x:v>
      </x:c>
      <x:c r="N99" s="45" t="n">
        <x:f>IF(OR($J99="",$K99=""),"",IF(SUMIFS(Calendar!$C$16:$C$141,Calendar!$A$16:$A$141,"&gt;="&amp;MAX(N$7,$J99),Calendar!$A$16:$A$141,"&lt;="&amp;MIN(N$7+4,$K99))=0,0,IF($H99="","EXT",SUMIFS(Calendar!$C$16:$C$141,Calendar!$A$16:$A$141,"&gt;="&amp;MAX(N$7,$J99),Calendar!$A$16:$A$141,"&lt;="&amp;MIN(N$7+4,$K99))*$H99/$G99)))</x:f>
        <x:v>0</x:v>
      </x:c>
      <x:c r="O99" s="45" t="n">
        <x:f>IF(OR($J99="",$K99=""),"",IF(SUMIFS(Calendar!$C$16:$C$141,Calendar!$A$16:$A$141,"&gt;="&amp;MAX(O$7,$J99),Calendar!$A$16:$A$141,"&lt;="&amp;MIN(O$7+4,$K99))=0,0,IF($H99="","EXT",SUMIFS(Calendar!$C$16:$C$141,Calendar!$A$16:$A$141,"&gt;="&amp;MAX(O$7,$J99),Calendar!$A$16:$A$141,"&lt;="&amp;MIN(O$7+4,$K99))*$H99/$G99)))</x:f>
        <x:v>0</x:v>
      </x:c>
      <x:c r="P99" s="45" t="n">
        <x:f>IF(OR($J99="",$K99=""),"",IF(SUMIFS(Calendar!$C$16:$C$141,Calendar!$A$16:$A$141,"&gt;="&amp;MAX(P$7,$J99),Calendar!$A$16:$A$141,"&lt;="&amp;MIN(P$7+4,$K99))=0,0,IF($H99="","EXT",SUMIFS(Calendar!$C$16:$C$141,Calendar!$A$16:$A$141,"&gt;="&amp;MAX(P$7,$J99),Calendar!$A$16:$A$141,"&lt;="&amp;MIN(P$7+4,$K99))*$H99/$G99)))</x:f>
        <x:v>0</x:v>
      </x:c>
      <x:c r="Q99" s="45" t="n">
        <x:f>IF(OR($J99="",$K99=""),"",IF(SUMIFS(Calendar!$C$16:$C$141,Calendar!$A$16:$A$141,"&gt;="&amp;MAX(Q$7,$J99),Calendar!$A$16:$A$141,"&lt;="&amp;MIN(Q$7+4,$K99))=0,0,IF($H99="","EXT",SUMIFS(Calendar!$C$16:$C$141,Calendar!$A$16:$A$141,"&gt;="&amp;MAX(Q$7,$J99),Calendar!$A$16:$A$141,"&lt;="&amp;MIN(Q$7+4,$K99))*$H99/$G99)))</x:f>
        <x:v>0</x:v>
      </x:c>
      <x:c r="R99" s="45" t="n">
        <x:f>IF(OR($J99="",$K99=""),"",IF(SUMIFS(Calendar!$C$16:$C$141,Calendar!$A$16:$A$141,"&gt;="&amp;MAX(R$7,$J99),Calendar!$A$16:$A$141,"&lt;="&amp;MIN(R$7+4,$K99))=0,0,IF($H99="","EXT",SUMIFS(Calendar!$C$16:$C$141,Calendar!$A$16:$A$141,"&gt;="&amp;MAX(R$7,$J99),Calendar!$A$16:$A$141,"&lt;="&amp;MIN(R$7+4,$K99))*$H99/$G99)))</x:f>
        <x:v>0</x:v>
      </x:c>
      <x:c r="S99" s="45" t="n">
        <x:f>IF(OR($J99="",$K99=""),"",IF(SUMIFS(Calendar!$C$16:$C$141,Calendar!$A$16:$A$141,"&gt;="&amp;MAX(S$7,$J99),Calendar!$A$16:$A$141,"&lt;="&amp;MIN(S$7+4,$K99))=0,0,IF($H99="","EXT",SUMIFS(Calendar!$C$16:$C$141,Calendar!$A$16:$A$141,"&gt;="&amp;MAX(S$7,$J99),Calendar!$A$16:$A$141,"&lt;="&amp;MIN(S$7+4,$K99))*$H99/$G99)))</x:f>
        <x:v>4</x:v>
      </x:c>
      <x:c r="T99" s="45" t="n">
        <x:f>IF(OR($J99="",$K99=""),"",IF(SUMIFS(Calendar!$C$16:$C$141,Calendar!$A$16:$A$141,"&gt;="&amp;MAX(T$7,$J99),Calendar!$A$16:$A$141,"&lt;="&amp;MIN(T$7+4,$K99))=0,0,IF($H99="","EXT",SUMIFS(Calendar!$C$16:$C$141,Calendar!$A$16:$A$141,"&gt;="&amp;MAX(T$7,$J99),Calendar!$A$16:$A$141,"&lt;="&amp;MIN(T$7+4,$K99))*$H99/$G99)))</x:f>
        <x:v>0</x:v>
      </x:c>
      <x:c r="U99" s="45" t="n">
        <x:f>IF(OR($J99="",$K99=""),"",IF(SUMIFS(Calendar!$C$16:$C$141,Calendar!$A$16:$A$141,"&gt;="&amp;MAX(U$7,$J99),Calendar!$A$16:$A$141,"&lt;="&amp;MIN(U$7+4,$K99))=0,0,IF($H99="","EXT",SUMIFS(Calendar!$C$16:$C$141,Calendar!$A$16:$A$141,"&gt;="&amp;MAX(U$7,$J99),Calendar!$A$16:$A$141,"&lt;="&amp;MIN(U$7+4,$K99))*$H99/$G99)))</x:f>
        <x:v>0</x:v>
      </x:c>
      <x:c r="V99" s="45" t="n">
        <x:f>IF(OR($J99="",$K99=""),"",IF(SUMIFS(Calendar!$C$16:$C$141,Calendar!$A$16:$A$141,"&gt;="&amp;MAX(V$7,$J99),Calendar!$A$16:$A$141,"&lt;="&amp;MIN(V$7+4,$K99))=0,0,IF($H99="","EXT",SUMIFS(Calendar!$C$16:$C$141,Calendar!$A$16:$A$141,"&gt;="&amp;MAX(V$7,$J99),Calendar!$A$16:$A$141,"&lt;="&amp;MIN(V$7+4,$K99))*$H99/$G99)))</x:f>
        <x:v>0</x:v>
      </x:c>
      <x:c r="W99" s="45" t="n">
        <x:f>IF(OR($J99="",$K99=""),"",IF(SUMIFS(Calendar!$C$16:$C$141,Calendar!$A$16:$A$141,"&gt;="&amp;MAX(W$7,$J99),Calendar!$A$16:$A$141,"&lt;="&amp;MIN(W$7+4,$K99))=0,0,IF($H99="","EXT",SUMIFS(Calendar!$C$16:$C$141,Calendar!$A$16:$A$141,"&gt;="&amp;MAX(W$7,$J99),Calendar!$A$16:$A$141,"&lt;="&amp;MIN(W$7+4,$K99))*$H99/$G99)))</x:f>
        <x:v>0</x:v>
      </x:c>
      <x:c r="X99" s="45" t="n">
        <x:f>IF(OR($J99="",$K99=""),"",IF(SUMIFS(Calendar!$C$16:$C$141,Calendar!$A$16:$A$141,"&gt;="&amp;MAX(X$7,$J99),Calendar!$A$16:$A$141,"&lt;="&amp;MIN(X$7+4,$K99))=0,0,IF($H99="","EXT",SUMIFS(Calendar!$C$16:$C$141,Calendar!$A$16:$A$141,"&gt;="&amp;MAX(X$7,$J99),Calendar!$A$16:$A$141,"&lt;="&amp;MIN(X$7+4,$K99))*$H99/$G99)))</x:f>
        <x:v>0</x:v>
      </x:c>
      <x:c r="Y99" s="45" t="n">
        <x:f>IF(OR($J99="",$K99=""),"",IF(SUMIFS(Calendar!$C$16:$C$141,Calendar!$A$16:$A$141,"&gt;="&amp;MAX(Y$7,$J99),Calendar!$A$16:$A$141,"&lt;="&amp;MIN(Y$7+4,$K99))=0,0,IF($H99="","EXT",SUMIFS(Calendar!$C$16:$C$141,Calendar!$A$16:$A$141,"&gt;="&amp;MAX(Y$7,$J99),Calendar!$A$16:$A$141,"&lt;="&amp;MIN(Y$7+4,$K99))*$H99/$G99)))</x:f>
        <x:v>0</x:v>
      </x:c>
      <x:c r="Z99" s="45" t="n">
        <x:f>IF(OR($J99="",$K99=""),"",IF(SUMIFS(Calendar!$C$16:$C$141,Calendar!$A$16:$A$141,"&gt;="&amp;MAX(Z$7,$J99),Calendar!$A$16:$A$141,"&lt;="&amp;MIN(Z$7+4,$K99))=0,0,IF($H99="","EXT",SUMIFS(Calendar!$C$16:$C$141,Calendar!$A$16:$A$141,"&gt;="&amp;MAX(Z$7,$J99),Calendar!$A$16:$A$141,"&lt;="&amp;MIN(Z$7+4,$K99))*$H99/$G99)))</x:f>
        <x:v>0</x:v>
      </x:c>
      <x:c r="AA99" s="45" t="n">
        <x:f>IF(OR($J99="",$K99=""),"",IF(SUMIFS(Calendar!$C$16:$C$141,Calendar!$A$16:$A$141,"&gt;="&amp;MAX(AA$7,$J99),Calendar!$A$16:$A$141,"&lt;="&amp;MIN(AA$7+4,$K99))=0,0,IF($H99="","EXT",SUMIFS(Calendar!$C$16:$C$141,Calendar!$A$16:$A$141,"&gt;="&amp;MAX(AA$7,$J99),Calendar!$A$16:$A$141,"&lt;="&amp;MIN(AA$7+4,$K99))*$H99/$G99)))</x:f>
        <x:v>0</x:v>
      </x:c>
      <x:c r="AB99" s="45" t="n">
        <x:f>IF(OR($J99="",$K99=""),"",IF(SUMIFS(Calendar!$C$16:$C$141,Calendar!$A$16:$A$141,"&gt;="&amp;MAX(AB$7,$J99),Calendar!$A$16:$A$141,"&lt;="&amp;MIN(AB$7+4,$K99))=0,0,IF($H99="","EXT",SUMIFS(Calendar!$C$16:$C$141,Calendar!$A$16:$A$141,"&gt;="&amp;MAX(AB$7,$J99),Calendar!$A$16:$A$141,"&lt;="&amp;MIN(AB$7+4,$K99))*$H99/$G99)))</x:f>
        <x:v>0</x:v>
      </x:c>
      <x:c r="AC99" s="45" t="n">
        <x:f>IF(OR($J99="",$K99=""),"",IF(SUMIFS(Calendar!$C$16:$C$141,Calendar!$A$16:$A$141,"&gt;="&amp;MAX(AC$7,$J99),Calendar!$A$16:$A$141,"&lt;="&amp;MIN(AC$7+4,$K99))=0,0,IF($H99="","EXT",SUMIFS(Calendar!$C$16:$C$141,Calendar!$A$16:$A$141,"&gt;="&amp;MAX(AC$7,$J99),Calendar!$A$16:$A$141,"&lt;="&amp;MIN(AC$7+4,$K99))*$H99/$G99)))</x:f>
        <x:v>0</x:v>
      </x:c>
      <x:c r="AD99" s="45" t="n">
        <x:f>IF(OR($J99="",$K99=""),"",IF(SUMIFS(Calendar!$C$16:$C$141,Calendar!$A$16:$A$141,"&gt;="&amp;MAX(AD$7,$J99),Calendar!$A$16:$A$141,"&lt;="&amp;MIN(AD$7+4,$K99))=0,0,IF($H99="","EXT",SUMIFS(Calendar!$C$16:$C$141,Calendar!$A$16:$A$141,"&gt;="&amp;MAX(AD$7,$J99),Calendar!$A$16:$A$141,"&lt;="&amp;MIN(AD$7+4,$K99))*$H99/$G99)))</x:f>
        <x:v>0</x:v>
      </x:c>
      <x:c r="AE99" s="45" t="n">
        <x:f>IF(OR($J99="",$K99=""),"",IF(SUMIFS(Calendar!$C$16:$C$141,Calendar!$A$16:$A$141,"&gt;="&amp;MAX(AE$7,$J99),Calendar!$A$16:$A$141,"&lt;="&amp;MIN(AE$7+4,$K99))=0,0,IF($H99="","EXT",SUMIFS(Calendar!$C$16:$C$141,Calendar!$A$16:$A$141,"&gt;="&amp;MAX(AE$7,$J99),Calendar!$A$16:$A$141,"&lt;="&amp;MIN(AE$7+4,$K99))*$H99/$G99)))</x:f>
        <x:v>0</x:v>
      </x:c>
      <x:c r="AF99" s="8" t="n">
        <x:f>IF(OR(M99&lt;&gt;"Scheduled",INDEX('Team and Gates'!$C$7:$C$13,MATCH($D99,'Team and Gates'!$A$7:$A$13,0))=""),"CHECK",SUM(N99:AE99)*INDEX('Team and Gates'!$C$7:$C$13,MATCH($D99,'Team and Gates'!$A$7:$A$13,0)))</x:f>
        <x:v>1440</x:v>
      </x:c>
      <x:c r="AG99" s="46" t="str">
        <x:v>Reproducible SIT evidence, defect disposition and affected-path retesting are recorded.</x:v>
      </x:c>
      <x:c r="AH99" s="46" t="str">
        <x:v>Protect extended SIT, tuning and post-holiday UAT time. If quality gates slip, reduce scope or replan; do not assume more AI coding fixes quality.</x:v>
      </x:c>
    </x:row>
    <x:row r="100" ht="45" customHeight="1">
      <x:c r="A100" s="2" t="str">
        <x:v>U09</x:v>
      </x:c>
      <x:c r="B100" s="2" t="str">
        <x:v>Business QA</x:v>
      </x:c>
      <x:c r="C100" s="46" t="str">
        <x:v>Independent intent / Case-match scenario accuracy testing</x:v>
      </x:c>
      <x:c r="D100" s="34" t="str">
        <x:v>Tester 2</x:v>
      </x:c>
      <x:c r="E100" s="46" t="str">
        <x:v>U08, S08</x:v>
      </x:c>
      <x:c r="F100" s="50" t="n">
        <x:v>31</x:v>
      </x:c>
      <x:c r="G100" s="50" t="n">
        <x:v>5</x:v>
      </x:c>
      <x:c r="H100" s="51" t="n">
        <x:v>4</x:v>
      </x:c>
      <x:c r="I100" s="2" t="n">
        <x:f>IF(OR(F100="",G100=""),"",F100+G100-1)</x:f>
        <x:v>35</x:v>
      </x:c>
      <x:c r="J100" s="5" t="n">
        <x:f>IF(OR(F100="",F100&lt;1,F100&gt;Calendar!$B$9),"",INDEX(Calendar!$A$16:$A$141,MATCH(F100,Calendar!$D$16:$D$141,0)))</x:f>
        <x:v>46370</x:v>
      </x:c>
      <x:c r="K100" s="5" t="n">
        <x:f>IF(OR(I100="",I100&lt;1,I100&gt;Calendar!$B$9),"",INDEX(Calendar!$A$16:$A$141,MATCH(I100,Calendar!$D$16:$D$141,0)))</x:f>
        <x:v>46374</x:v>
      </x:c>
      <x:c r="L100" s="53" t="n">
        <x:v>0</x:v>
      </x:c>
      <x:c r="M100" s="2" t="str">
        <x:f>IF(OR(F100="",G100="",H100=""),"Missing input",IF(OR(F100&lt;1,G100&lt;1,I100&gt;Calendar!$B$9),"Outside calendar",IF(F100&lt;MAX(INDEX($I$8:$I$157,MATCH("U08",$A$8:$A$157,0))+1,INDEX($I$8:$I$157,MATCH("S08",$A$8:$A$157,0))+1),"Dependency conflict","Scheduled")))</x:f>
        <x:v>Scheduled</x:v>
      </x:c>
      <x:c r="N100" s="45" t="n">
        <x:f>IF(OR($J100="",$K100=""),"",IF(SUMIFS(Calendar!$C$16:$C$141,Calendar!$A$16:$A$141,"&gt;="&amp;MAX(N$7,$J100),Calendar!$A$16:$A$141,"&lt;="&amp;MIN(N$7+4,$K100))=0,0,IF($H100="","EXT",SUMIFS(Calendar!$C$16:$C$141,Calendar!$A$16:$A$141,"&gt;="&amp;MAX(N$7,$J100),Calendar!$A$16:$A$141,"&lt;="&amp;MIN(N$7+4,$K100))*$H100/$G100)))</x:f>
        <x:v>0</x:v>
      </x:c>
      <x:c r="O100" s="45" t="n">
        <x:f>IF(OR($J100="",$K100=""),"",IF(SUMIFS(Calendar!$C$16:$C$141,Calendar!$A$16:$A$141,"&gt;="&amp;MAX(O$7,$J100),Calendar!$A$16:$A$141,"&lt;="&amp;MIN(O$7+4,$K100))=0,0,IF($H100="","EXT",SUMIFS(Calendar!$C$16:$C$141,Calendar!$A$16:$A$141,"&gt;="&amp;MAX(O$7,$J100),Calendar!$A$16:$A$141,"&lt;="&amp;MIN(O$7+4,$K100))*$H100/$G100)))</x:f>
        <x:v>0</x:v>
      </x:c>
      <x:c r="P100" s="45" t="n">
        <x:f>IF(OR($J100="",$K100=""),"",IF(SUMIFS(Calendar!$C$16:$C$141,Calendar!$A$16:$A$141,"&gt;="&amp;MAX(P$7,$J100),Calendar!$A$16:$A$141,"&lt;="&amp;MIN(P$7+4,$K100))=0,0,IF($H100="","EXT",SUMIFS(Calendar!$C$16:$C$141,Calendar!$A$16:$A$141,"&gt;="&amp;MAX(P$7,$J100),Calendar!$A$16:$A$141,"&lt;="&amp;MIN(P$7+4,$K100))*$H100/$G100)))</x:f>
        <x:v>0</x:v>
      </x:c>
      <x:c r="Q100" s="45" t="n">
        <x:f>IF(OR($J100="",$K100=""),"",IF(SUMIFS(Calendar!$C$16:$C$141,Calendar!$A$16:$A$141,"&gt;="&amp;MAX(Q$7,$J100),Calendar!$A$16:$A$141,"&lt;="&amp;MIN(Q$7+4,$K100))=0,0,IF($H100="","EXT",SUMIFS(Calendar!$C$16:$C$141,Calendar!$A$16:$A$141,"&gt;="&amp;MAX(Q$7,$J100),Calendar!$A$16:$A$141,"&lt;="&amp;MIN(Q$7+4,$K100))*$H100/$G100)))</x:f>
        <x:v>0</x:v>
      </x:c>
      <x:c r="R100" s="45" t="n">
        <x:f>IF(OR($J100="",$K100=""),"",IF(SUMIFS(Calendar!$C$16:$C$141,Calendar!$A$16:$A$141,"&gt;="&amp;MAX(R$7,$J100),Calendar!$A$16:$A$141,"&lt;="&amp;MIN(R$7+4,$K100))=0,0,IF($H100="","EXT",SUMIFS(Calendar!$C$16:$C$141,Calendar!$A$16:$A$141,"&gt;="&amp;MAX(R$7,$J100),Calendar!$A$16:$A$141,"&lt;="&amp;MIN(R$7+4,$K100))*$H100/$G100)))</x:f>
        <x:v>0</x:v>
      </x:c>
      <x:c r="S100" s="45" t="n">
        <x:f>IF(OR($J100="",$K100=""),"",IF(SUMIFS(Calendar!$C$16:$C$141,Calendar!$A$16:$A$141,"&gt;="&amp;MAX(S$7,$J100),Calendar!$A$16:$A$141,"&lt;="&amp;MIN(S$7+4,$K100))=0,0,IF($H100="","EXT",SUMIFS(Calendar!$C$16:$C$141,Calendar!$A$16:$A$141,"&gt;="&amp;MAX(S$7,$J100),Calendar!$A$16:$A$141,"&lt;="&amp;MIN(S$7+4,$K100))*$H100/$G100)))</x:f>
        <x:v>0</x:v>
      </x:c>
      <x:c r="T100" s="45" t="n">
        <x:f>IF(OR($J100="",$K100=""),"",IF(SUMIFS(Calendar!$C$16:$C$141,Calendar!$A$16:$A$141,"&gt;="&amp;MAX(T$7,$J100),Calendar!$A$16:$A$141,"&lt;="&amp;MIN(T$7+4,$K100))=0,0,IF($H100="","EXT",SUMIFS(Calendar!$C$16:$C$141,Calendar!$A$16:$A$141,"&gt;="&amp;MAX(T$7,$J100),Calendar!$A$16:$A$141,"&lt;="&amp;MIN(T$7+4,$K100))*$H100/$G100)))</x:f>
        <x:v>4</x:v>
      </x:c>
      <x:c r="U100" s="45" t="n">
        <x:f>IF(OR($J100="",$K100=""),"",IF(SUMIFS(Calendar!$C$16:$C$141,Calendar!$A$16:$A$141,"&gt;="&amp;MAX(U$7,$J100),Calendar!$A$16:$A$141,"&lt;="&amp;MIN(U$7+4,$K100))=0,0,IF($H100="","EXT",SUMIFS(Calendar!$C$16:$C$141,Calendar!$A$16:$A$141,"&gt;="&amp;MAX(U$7,$J100),Calendar!$A$16:$A$141,"&lt;="&amp;MIN(U$7+4,$K100))*$H100/$G100)))</x:f>
        <x:v>0</x:v>
      </x:c>
      <x:c r="V100" s="45" t="n">
        <x:f>IF(OR($J100="",$K100=""),"",IF(SUMIFS(Calendar!$C$16:$C$141,Calendar!$A$16:$A$141,"&gt;="&amp;MAX(V$7,$J100),Calendar!$A$16:$A$141,"&lt;="&amp;MIN(V$7+4,$K100))=0,0,IF($H100="","EXT",SUMIFS(Calendar!$C$16:$C$141,Calendar!$A$16:$A$141,"&gt;="&amp;MAX(V$7,$J100),Calendar!$A$16:$A$141,"&lt;="&amp;MIN(V$7+4,$K100))*$H100/$G100)))</x:f>
        <x:v>0</x:v>
      </x:c>
      <x:c r="W100" s="45" t="n">
        <x:f>IF(OR($J100="",$K100=""),"",IF(SUMIFS(Calendar!$C$16:$C$141,Calendar!$A$16:$A$141,"&gt;="&amp;MAX(W$7,$J100),Calendar!$A$16:$A$141,"&lt;="&amp;MIN(W$7+4,$K100))=0,0,IF($H100="","EXT",SUMIFS(Calendar!$C$16:$C$141,Calendar!$A$16:$A$141,"&gt;="&amp;MAX(W$7,$J100),Calendar!$A$16:$A$141,"&lt;="&amp;MIN(W$7+4,$K100))*$H100/$G100)))</x:f>
        <x:v>0</x:v>
      </x:c>
      <x:c r="X100" s="45" t="n">
        <x:f>IF(OR($J100="",$K100=""),"",IF(SUMIFS(Calendar!$C$16:$C$141,Calendar!$A$16:$A$141,"&gt;="&amp;MAX(X$7,$J100),Calendar!$A$16:$A$141,"&lt;="&amp;MIN(X$7+4,$K100))=0,0,IF($H100="","EXT",SUMIFS(Calendar!$C$16:$C$141,Calendar!$A$16:$A$141,"&gt;="&amp;MAX(X$7,$J100),Calendar!$A$16:$A$141,"&lt;="&amp;MIN(X$7+4,$K100))*$H100/$G100)))</x:f>
        <x:v>0</x:v>
      </x:c>
      <x:c r="Y100" s="45" t="n">
        <x:f>IF(OR($J100="",$K100=""),"",IF(SUMIFS(Calendar!$C$16:$C$141,Calendar!$A$16:$A$141,"&gt;="&amp;MAX(Y$7,$J100),Calendar!$A$16:$A$141,"&lt;="&amp;MIN(Y$7+4,$K100))=0,0,IF($H100="","EXT",SUMIFS(Calendar!$C$16:$C$141,Calendar!$A$16:$A$141,"&gt;="&amp;MAX(Y$7,$J100),Calendar!$A$16:$A$141,"&lt;="&amp;MIN(Y$7+4,$K100))*$H100/$G100)))</x:f>
        <x:v>0</x:v>
      </x:c>
      <x:c r="Z100" s="45" t="n">
        <x:f>IF(OR($J100="",$K100=""),"",IF(SUMIFS(Calendar!$C$16:$C$141,Calendar!$A$16:$A$141,"&gt;="&amp;MAX(Z$7,$J100),Calendar!$A$16:$A$141,"&lt;="&amp;MIN(Z$7+4,$K100))=0,0,IF($H100="","EXT",SUMIFS(Calendar!$C$16:$C$141,Calendar!$A$16:$A$141,"&gt;="&amp;MAX(Z$7,$J100),Calendar!$A$16:$A$141,"&lt;="&amp;MIN(Z$7+4,$K100))*$H100/$G100)))</x:f>
        <x:v>0</x:v>
      </x:c>
      <x:c r="AA100" s="45" t="n">
        <x:f>IF(OR($J100="",$K100=""),"",IF(SUMIFS(Calendar!$C$16:$C$141,Calendar!$A$16:$A$141,"&gt;="&amp;MAX(AA$7,$J100),Calendar!$A$16:$A$141,"&lt;="&amp;MIN(AA$7+4,$K100))=0,0,IF($H100="","EXT",SUMIFS(Calendar!$C$16:$C$141,Calendar!$A$16:$A$141,"&gt;="&amp;MAX(AA$7,$J100),Calendar!$A$16:$A$141,"&lt;="&amp;MIN(AA$7+4,$K100))*$H100/$G100)))</x:f>
        <x:v>0</x:v>
      </x:c>
      <x:c r="AB100" s="45" t="n">
        <x:f>IF(OR($J100="",$K100=""),"",IF(SUMIFS(Calendar!$C$16:$C$141,Calendar!$A$16:$A$141,"&gt;="&amp;MAX(AB$7,$J100),Calendar!$A$16:$A$141,"&lt;="&amp;MIN(AB$7+4,$K100))=0,0,IF($H100="","EXT",SUMIFS(Calendar!$C$16:$C$141,Calendar!$A$16:$A$141,"&gt;="&amp;MAX(AB$7,$J100),Calendar!$A$16:$A$141,"&lt;="&amp;MIN(AB$7+4,$K100))*$H100/$G100)))</x:f>
        <x:v>0</x:v>
      </x:c>
      <x:c r="AC100" s="45" t="n">
        <x:f>IF(OR($J100="",$K100=""),"",IF(SUMIFS(Calendar!$C$16:$C$141,Calendar!$A$16:$A$141,"&gt;="&amp;MAX(AC$7,$J100),Calendar!$A$16:$A$141,"&lt;="&amp;MIN(AC$7+4,$K100))=0,0,IF($H100="","EXT",SUMIFS(Calendar!$C$16:$C$141,Calendar!$A$16:$A$141,"&gt;="&amp;MAX(AC$7,$J100),Calendar!$A$16:$A$141,"&lt;="&amp;MIN(AC$7+4,$K100))*$H100/$G100)))</x:f>
        <x:v>0</x:v>
      </x:c>
      <x:c r="AD100" s="45" t="n">
        <x:f>IF(OR($J100="",$K100=""),"",IF(SUMIFS(Calendar!$C$16:$C$141,Calendar!$A$16:$A$141,"&gt;="&amp;MAX(AD$7,$J100),Calendar!$A$16:$A$141,"&lt;="&amp;MIN(AD$7+4,$K100))=0,0,IF($H100="","EXT",SUMIFS(Calendar!$C$16:$C$141,Calendar!$A$16:$A$141,"&gt;="&amp;MAX(AD$7,$J100),Calendar!$A$16:$A$141,"&lt;="&amp;MIN(AD$7+4,$K100))*$H100/$G100)))</x:f>
        <x:v>0</x:v>
      </x:c>
      <x:c r="AE100" s="45" t="n">
        <x:f>IF(OR($J100="",$K100=""),"",IF(SUMIFS(Calendar!$C$16:$C$141,Calendar!$A$16:$A$141,"&gt;="&amp;MAX(AE$7,$J100),Calendar!$A$16:$A$141,"&lt;="&amp;MIN(AE$7+4,$K100))=0,0,IF($H100="","EXT",SUMIFS(Calendar!$C$16:$C$141,Calendar!$A$16:$A$141,"&gt;="&amp;MAX(AE$7,$J100),Calendar!$A$16:$A$141,"&lt;="&amp;MIN(AE$7+4,$K100))*$H100/$G100)))</x:f>
        <x:v>0</x:v>
      </x:c>
      <x:c r="AF100" s="8" t="n">
        <x:f>IF(OR(M100&lt;&gt;"Scheduled",INDEX('Team and Gates'!$C$7:$C$13,MATCH($D100,'Team and Gates'!$A$7:$A$13,0))=""),"CHECK",SUM(N100:AE100)*INDEX('Team and Gates'!$C$7:$C$13,MATCH($D100,'Team and Gates'!$A$7:$A$13,0)))</x:f>
        <x:v>1440</x:v>
      </x:c>
      <x:c r="AG100" s="46" t="str">
        <x:v>Tester 2 independently executes BA-approved positive, negative, ambiguous and default-Case scenarios; report slice metrics, sample counts, failure classes and candidate versions.</x:v>
      </x:c>
      <x:c r="AH100" s="46" t="str">
        <x:v>Protect extended SIT, tuning and post-holiday UAT time. If quality gates slip, reduce scope or replan; do not assume more AI coding fixes quality. QA validation findings feed DS tuning; once shared, these cases become regression data. Final unseen holdout remains isolated until U13.</x:v>
      </x:c>
    </x:row>
    <x:row r="101" ht="45" customHeight="1">
      <x:c r="A101" s="39" t="str">
        <x:v>U10</x:v>
      </x:c>
      <x:c r="B101" s="39" t="str">
        <x:v>Business QA</x:v>
      </x:c>
      <x:c r="C101" s="47" t="str">
        <x:v>Independent draft-mail scenario quality and factuality testing</x:v>
      </x:c>
      <x:c r="D101" s="34" t="str">
        <x:v>Tester 2</x:v>
      </x:c>
      <x:c r="E101" s="47" t="str">
        <x:v>U09, S09</x:v>
      </x:c>
      <x:c r="F101" s="50" t="n">
        <x:v>36</x:v>
      </x:c>
      <x:c r="G101" s="50" t="n">
        <x:v>5</x:v>
      </x:c>
      <x:c r="H101" s="51" t="n">
        <x:v>4</x:v>
      </x:c>
      <x:c r="I101" s="39" t="n">
        <x:f>IF(OR(F101="",G101=""),"",F101+G101-1)</x:f>
        <x:v>40</x:v>
      </x:c>
      <x:c r="J101" s="41" t="n">
        <x:f>IF(OR(F101="",F101&lt;1,F101&gt;Calendar!$B$9),"",INDEX(Calendar!$A$16:$A$141,MATCH(F101,Calendar!$D$16:$D$141,0)))</x:f>
        <x:v>46377</x:v>
      </x:c>
      <x:c r="K101" s="41" t="n">
        <x:f>IF(OR(I101="",I101&lt;1,I101&gt;Calendar!$B$9),"",INDEX(Calendar!$A$16:$A$141,MATCH(I101,Calendar!$D$16:$D$141,0)))</x:f>
        <x:v>46381</x:v>
      </x:c>
      <x:c r="L101" s="53" t="n">
        <x:v>0</x:v>
      </x:c>
      <x:c r="M101" s="39" t="str">
        <x:f>IF(OR(F101="",G101="",H101=""),"Missing input",IF(OR(F101&lt;1,G101&lt;1,I101&gt;Calendar!$B$9),"Outside calendar",IF(F101&lt;MAX(INDEX($I$8:$I$157,MATCH("U09",$A$8:$A$157,0))+1,INDEX($I$8:$I$157,MATCH("S09",$A$8:$A$157,0))+1),"Dependency conflict","Scheduled")))</x:f>
        <x:v>Scheduled</x:v>
      </x:c>
      <x:c r="N101" s="45" t="n">
        <x:f>IF(OR($J101="",$K101=""),"",IF(SUMIFS(Calendar!$C$16:$C$141,Calendar!$A$16:$A$141,"&gt;="&amp;MAX(N$7,$J101),Calendar!$A$16:$A$141,"&lt;="&amp;MIN(N$7+4,$K101))=0,0,IF($H101="","EXT",SUMIFS(Calendar!$C$16:$C$141,Calendar!$A$16:$A$141,"&gt;="&amp;MAX(N$7,$J101),Calendar!$A$16:$A$141,"&lt;="&amp;MIN(N$7+4,$K101))*$H101/$G101)))</x:f>
        <x:v>0</x:v>
      </x:c>
      <x:c r="O101" s="45" t="n">
        <x:f>IF(OR($J101="",$K101=""),"",IF(SUMIFS(Calendar!$C$16:$C$141,Calendar!$A$16:$A$141,"&gt;="&amp;MAX(O$7,$J101),Calendar!$A$16:$A$141,"&lt;="&amp;MIN(O$7+4,$K101))=0,0,IF($H101="","EXT",SUMIFS(Calendar!$C$16:$C$141,Calendar!$A$16:$A$141,"&gt;="&amp;MAX(O$7,$J101),Calendar!$A$16:$A$141,"&lt;="&amp;MIN(O$7+4,$K101))*$H101/$G101)))</x:f>
        <x:v>0</x:v>
      </x:c>
      <x:c r="P101" s="45" t="n">
        <x:f>IF(OR($J101="",$K101=""),"",IF(SUMIFS(Calendar!$C$16:$C$141,Calendar!$A$16:$A$141,"&gt;="&amp;MAX(P$7,$J101),Calendar!$A$16:$A$141,"&lt;="&amp;MIN(P$7+4,$K101))=0,0,IF($H101="","EXT",SUMIFS(Calendar!$C$16:$C$141,Calendar!$A$16:$A$141,"&gt;="&amp;MAX(P$7,$J101),Calendar!$A$16:$A$141,"&lt;="&amp;MIN(P$7+4,$K101))*$H101/$G101)))</x:f>
        <x:v>0</x:v>
      </x:c>
      <x:c r="Q101" s="45" t="n">
        <x:f>IF(OR($J101="",$K101=""),"",IF(SUMIFS(Calendar!$C$16:$C$141,Calendar!$A$16:$A$141,"&gt;="&amp;MAX(Q$7,$J101),Calendar!$A$16:$A$141,"&lt;="&amp;MIN(Q$7+4,$K101))=0,0,IF($H101="","EXT",SUMIFS(Calendar!$C$16:$C$141,Calendar!$A$16:$A$141,"&gt;="&amp;MAX(Q$7,$J101),Calendar!$A$16:$A$141,"&lt;="&amp;MIN(Q$7+4,$K101))*$H101/$G101)))</x:f>
        <x:v>0</x:v>
      </x:c>
      <x:c r="R101" s="45" t="n">
        <x:f>IF(OR($J101="",$K101=""),"",IF(SUMIFS(Calendar!$C$16:$C$141,Calendar!$A$16:$A$141,"&gt;="&amp;MAX(R$7,$J101),Calendar!$A$16:$A$141,"&lt;="&amp;MIN(R$7+4,$K101))=0,0,IF($H101="","EXT",SUMIFS(Calendar!$C$16:$C$141,Calendar!$A$16:$A$141,"&gt;="&amp;MAX(R$7,$J101),Calendar!$A$16:$A$141,"&lt;="&amp;MIN(R$7+4,$K101))*$H101/$G101)))</x:f>
        <x:v>0</x:v>
      </x:c>
      <x:c r="S101" s="45" t="n">
        <x:f>IF(OR($J101="",$K101=""),"",IF(SUMIFS(Calendar!$C$16:$C$141,Calendar!$A$16:$A$141,"&gt;="&amp;MAX(S$7,$J101),Calendar!$A$16:$A$141,"&lt;="&amp;MIN(S$7+4,$K101))=0,0,IF($H101="","EXT",SUMIFS(Calendar!$C$16:$C$141,Calendar!$A$16:$A$141,"&gt;="&amp;MAX(S$7,$J101),Calendar!$A$16:$A$141,"&lt;="&amp;MIN(S$7+4,$K101))*$H101/$G101)))</x:f>
        <x:v>0</x:v>
      </x:c>
      <x:c r="T101" s="45" t="n">
        <x:f>IF(OR($J101="",$K101=""),"",IF(SUMIFS(Calendar!$C$16:$C$141,Calendar!$A$16:$A$141,"&gt;="&amp;MAX(T$7,$J101),Calendar!$A$16:$A$141,"&lt;="&amp;MIN(T$7+4,$K101))=0,0,IF($H101="","EXT",SUMIFS(Calendar!$C$16:$C$141,Calendar!$A$16:$A$141,"&gt;="&amp;MAX(T$7,$J101),Calendar!$A$16:$A$141,"&lt;="&amp;MIN(T$7+4,$K101))*$H101/$G101)))</x:f>
        <x:v>0</x:v>
      </x:c>
      <x:c r="U101" s="45" t="n">
        <x:f>IF(OR($J101="",$K101=""),"",IF(SUMIFS(Calendar!$C$16:$C$141,Calendar!$A$16:$A$141,"&gt;="&amp;MAX(U$7,$J101),Calendar!$A$16:$A$141,"&lt;="&amp;MIN(U$7+4,$K101))=0,0,IF($H101="","EXT",SUMIFS(Calendar!$C$16:$C$141,Calendar!$A$16:$A$141,"&gt;="&amp;MAX(U$7,$J101),Calendar!$A$16:$A$141,"&lt;="&amp;MIN(U$7+4,$K101))*$H101/$G101)))</x:f>
        <x:v>4</x:v>
      </x:c>
      <x:c r="V101" s="45" t="n">
        <x:f>IF(OR($J101="",$K101=""),"",IF(SUMIFS(Calendar!$C$16:$C$141,Calendar!$A$16:$A$141,"&gt;="&amp;MAX(V$7,$J101),Calendar!$A$16:$A$141,"&lt;="&amp;MIN(V$7+4,$K101))=0,0,IF($H101="","EXT",SUMIFS(Calendar!$C$16:$C$141,Calendar!$A$16:$A$141,"&gt;="&amp;MAX(V$7,$J101),Calendar!$A$16:$A$141,"&lt;="&amp;MIN(V$7+4,$K101))*$H101/$G101)))</x:f>
        <x:v>0</x:v>
      </x:c>
      <x:c r="W101" s="45" t="n">
        <x:f>IF(OR($J101="",$K101=""),"",IF(SUMIFS(Calendar!$C$16:$C$141,Calendar!$A$16:$A$141,"&gt;="&amp;MAX(W$7,$J101),Calendar!$A$16:$A$141,"&lt;="&amp;MIN(W$7+4,$K101))=0,0,IF($H101="","EXT",SUMIFS(Calendar!$C$16:$C$141,Calendar!$A$16:$A$141,"&gt;="&amp;MAX(W$7,$J101),Calendar!$A$16:$A$141,"&lt;="&amp;MIN(W$7+4,$K101))*$H101/$G101)))</x:f>
        <x:v>0</x:v>
      </x:c>
      <x:c r="X101" s="45" t="n">
        <x:f>IF(OR($J101="",$K101=""),"",IF(SUMIFS(Calendar!$C$16:$C$141,Calendar!$A$16:$A$141,"&gt;="&amp;MAX(X$7,$J101),Calendar!$A$16:$A$141,"&lt;="&amp;MIN(X$7+4,$K101))=0,0,IF($H101="","EXT",SUMIFS(Calendar!$C$16:$C$141,Calendar!$A$16:$A$141,"&gt;="&amp;MAX(X$7,$J101),Calendar!$A$16:$A$141,"&lt;="&amp;MIN(X$7+4,$K101))*$H101/$G101)))</x:f>
        <x:v>0</x:v>
      </x:c>
      <x:c r="Y101" s="45" t="n">
        <x:f>IF(OR($J101="",$K101=""),"",IF(SUMIFS(Calendar!$C$16:$C$141,Calendar!$A$16:$A$141,"&gt;="&amp;MAX(Y$7,$J101),Calendar!$A$16:$A$141,"&lt;="&amp;MIN(Y$7+4,$K101))=0,0,IF($H101="","EXT",SUMIFS(Calendar!$C$16:$C$141,Calendar!$A$16:$A$141,"&gt;="&amp;MAX(Y$7,$J101),Calendar!$A$16:$A$141,"&lt;="&amp;MIN(Y$7+4,$K101))*$H101/$G101)))</x:f>
        <x:v>0</x:v>
      </x:c>
      <x:c r="Z101" s="45" t="n">
        <x:f>IF(OR($J101="",$K101=""),"",IF(SUMIFS(Calendar!$C$16:$C$141,Calendar!$A$16:$A$141,"&gt;="&amp;MAX(Z$7,$J101),Calendar!$A$16:$A$141,"&lt;="&amp;MIN(Z$7+4,$K101))=0,0,IF($H101="","EXT",SUMIFS(Calendar!$C$16:$C$141,Calendar!$A$16:$A$141,"&gt;="&amp;MAX(Z$7,$J101),Calendar!$A$16:$A$141,"&lt;="&amp;MIN(Z$7+4,$K101))*$H101/$G101)))</x:f>
        <x:v>0</x:v>
      </x:c>
      <x:c r="AA101" s="45" t="n">
        <x:f>IF(OR($J101="",$K101=""),"",IF(SUMIFS(Calendar!$C$16:$C$141,Calendar!$A$16:$A$141,"&gt;="&amp;MAX(AA$7,$J101),Calendar!$A$16:$A$141,"&lt;="&amp;MIN(AA$7+4,$K101))=0,0,IF($H101="","EXT",SUMIFS(Calendar!$C$16:$C$141,Calendar!$A$16:$A$141,"&gt;="&amp;MAX(AA$7,$J101),Calendar!$A$16:$A$141,"&lt;="&amp;MIN(AA$7+4,$K101))*$H101/$G101)))</x:f>
        <x:v>0</x:v>
      </x:c>
      <x:c r="AB101" s="45" t="n">
        <x:f>IF(OR($J101="",$K101=""),"",IF(SUMIFS(Calendar!$C$16:$C$141,Calendar!$A$16:$A$141,"&gt;="&amp;MAX(AB$7,$J101),Calendar!$A$16:$A$141,"&lt;="&amp;MIN(AB$7+4,$K101))=0,0,IF($H101="","EXT",SUMIFS(Calendar!$C$16:$C$141,Calendar!$A$16:$A$141,"&gt;="&amp;MAX(AB$7,$J101),Calendar!$A$16:$A$141,"&lt;="&amp;MIN(AB$7+4,$K101))*$H101/$G101)))</x:f>
        <x:v>0</x:v>
      </x:c>
      <x:c r="AC101" s="45" t="n">
        <x:f>IF(OR($J101="",$K101=""),"",IF(SUMIFS(Calendar!$C$16:$C$141,Calendar!$A$16:$A$141,"&gt;="&amp;MAX(AC$7,$J101),Calendar!$A$16:$A$141,"&lt;="&amp;MIN(AC$7+4,$K101))=0,0,IF($H101="","EXT",SUMIFS(Calendar!$C$16:$C$141,Calendar!$A$16:$A$141,"&gt;="&amp;MAX(AC$7,$J101),Calendar!$A$16:$A$141,"&lt;="&amp;MIN(AC$7+4,$K101))*$H101/$G101)))</x:f>
        <x:v>0</x:v>
      </x:c>
      <x:c r="AD101" s="45" t="n">
        <x:f>IF(OR($J101="",$K101=""),"",IF(SUMIFS(Calendar!$C$16:$C$141,Calendar!$A$16:$A$141,"&gt;="&amp;MAX(AD$7,$J101),Calendar!$A$16:$A$141,"&lt;="&amp;MIN(AD$7+4,$K101))=0,0,IF($H101="","EXT",SUMIFS(Calendar!$C$16:$C$141,Calendar!$A$16:$A$141,"&gt;="&amp;MAX(AD$7,$J101),Calendar!$A$16:$A$141,"&lt;="&amp;MIN(AD$7+4,$K101))*$H101/$G101)))</x:f>
        <x:v>0</x:v>
      </x:c>
      <x:c r="AE101" s="45" t="n">
        <x:f>IF(OR($J101="",$K101=""),"",IF(SUMIFS(Calendar!$C$16:$C$141,Calendar!$A$16:$A$141,"&gt;="&amp;MAX(AE$7,$J101),Calendar!$A$16:$A$141,"&lt;="&amp;MIN(AE$7+4,$K101))=0,0,IF($H101="","EXT",SUMIFS(Calendar!$C$16:$C$141,Calendar!$A$16:$A$141,"&gt;="&amp;MAX(AE$7,$J101),Calendar!$A$16:$A$141,"&lt;="&amp;MIN(AE$7+4,$K101))*$H101/$G101)))</x:f>
        <x:v>0</x:v>
      </x:c>
      <x:c r="AF101" s="8" t="n">
        <x:f>IF(OR(M101&lt;&gt;"Scheduled",INDEX('Team and Gates'!$C$7:$C$13,MATCH($D101,'Team and Gates'!$A$7:$A$13,0))=""),"CHECK",SUM(N101:AE101)*INDEX('Team and Gates'!$C$7:$C$13,MATCH($D101,'Team and Gates'!$A$7:$A$13,0)))</x:f>
        <x:v>1440</x:v>
      </x:c>
      <x:c r="AG101" s="46" t="str">
        <x:v>Tester 2 independently executes BA-approved positive, negative, ambiguous and default-Case scenarios; report slice metrics, sample counts, failure classes and candidate versions.</x:v>
      </x:c>
      <x:c r="AH101" s="46" t="str">
        <x:v>Protect extended SIT, tuning and post-holiday UAT time. If quality gates slip, reduce scope or replan; do not assume more AI coding fixes quality. QA validation findings feed DS tuning; once shared, these cases become regression data. Final unseen holdout remains isolated until U13.</x:v>
      </x:c>
    </x:row>
    <x:row r="102" ht="45" customHeight="1">
      <x:c r="A102" s="2" t="str">
        <x:v>U11</x:v>
      </x:c>
      <x:c r="B102" s="2" t="str">
        <x:v>Business QA</x:v>
      </x:c>
      <x:c r="C102" s="46" t="str">
        <x:v>Independent Playbook rule accuracy and positive/negative replay</x:v>
      </x:c>
      <x:c r="D102" s="34" t="str">
        <x:v>Tester 2</x:v>
      </x:c>
      <x:c r="E102" s="46" t="str">
        <x:v>U10, S10</x:v>
      </x:c>
      <x:c r="F102" s="50" t="n">
        <x:v>41</x:v>
      </x:c>
      <x:c r="G102" s="50" t="n">
        <x:v>5</x:v>
      </x:c>
      <x:c r="H102" s="51" t="n">
        <x:v>4</x:v>
      </x:c>
      <x:c r="I102" s="2" t="n">
        <x:f>IF(OR(F102="",G102=""),"",F102+G102-1)</x:f>
        <x:v>45</x:v>
      </x:c>
      <x:c r="J102" s="5" t="n">
        <x:f>IF(OR(F102="",F102&lt;1,F102&gt;Calendar!$B$9),"",INDEX(Calendar!$A$16:$A$141,MATCH(F102,Calendar!$D$16:$D$141,0)))</x:f>
        <x:v>46384</x:v>
      </x:c>
      <x:c r="K102" s="5" t="n">
        <x:f>IF(OR(I102="",I102&lt;1,I102&gt;Calendar!$B$9),"",INDEX(Calendar!$A$16:$A$141,MATCH(I102,Calendar!$D$16:$D$141,0)))</x:f>
        <x:v>46388</x:v>
      </x:c>
      <x:c r="L102" s="53" t="n">
        <x:v>0</x:v>
      </x:c>
      <x:c r="M102" s="2" t="str">
        <x:f>IF(OR(F102="",G102="",H102=""),"Missing input",IF(OR(F102&lt;1,G102&lt;1,I102&gt;Calendar!$B$9),"Outside calendar",IF(F102&lt;MAX(INDEX($I$8:$I$157,MATCH("U10",$A$8:$A$157,0))+1,INDEX($I$8:$I$157,MATCH("S10",$A$8:$A$157,0))+1),"Dependency conflict","Scheduled")))</x:f>
        <x:v>Scheduled</x:v>
      </x:c>
      <x:c r="N102" s="45" t="n">
        <x:f>IF(OR($J102="",$K102=""),"",IF(SUMIFS(Calendar!$C$16:$C$141,Calendar!$A$16:$A$141,"&gt;="&amp;MAX(N$7,$J102),Calendar!$A$16:$A$141,"&lt;="&amp;MIN(N$7+4,$K102))=0,0,IF($H102="","EXT",SUMIFS(Calendar!$C$16:$C$141,Calendar!$A$16:$A$141,"&gt;="&amp;MAX(N$7,$J102),Calendar!$A$16:$A$141,"&lt;="&amp;MIN(N$7+4,$K102))*$H102/$G102)))</x:f>
        <x:v>0</x:v>
      </x:c>
      <x:c r="O102" s="45" t="n">
        <x:f>IF(OR($J102="",$K102=""),"",IF(SUMIFS(Calendar!$C$16:$C$141,Calendar!$A$16:$A$141,"&gt;="&amp;MAX(O$7,$J102),Calendar!$A$16:$A$141,"&lt;="&amp;MIN(O$7+4,$K102))=0,0,IF($H102="","EXT",SUMIFS(Calendar!$C$16:$C$141,Calendar!$A$16:$A$141,"&gt;="&amp;MAX(O$7,$J102),Calendar!$A$16:$A$141,"&lt;="&amp;MIN(O$7+4,$K102))*$H102/$G102)))</x:f>
        <x:v>0</x:v>
      </x:c>
      <x:c r="P102" s="45" t="n">
        <x:f>IF(OR($J102="",$K102=""),"",IF(SUMIFS(Calendar!$C$16:$C$141,Calendar!$A$16:$A$141,"&gt;="&amp;MAX(P$7,$J102),Calendar!$A$16:$A$141,"&lt;="&amp;MIN(P$7+4,$K102))=0,0,IF($H102="","EXT",SUMIFS(Calendar!$C$16:$C$141,Calendar!$A$16:$A$141,"&gt;="&amp;MAX(P$7,$J102),Calendar!$A$16:$A$141,"&lt;="&amp;MIN(P$7+4,$K102))*$H102/$G102)))</x:f>
        <x:v>0</x:v>
      </x:c>
      <x:c r="Q102" s="45" t="n">
        <x:f>IF(OR($J102="",$K102=""),"",IF(SUMIFS(Calendar!$C$16:$C$141,Calendar!$A$16:$A$141,"&gt;="&amp;MAX(Q$7,$J102),Calendar!$A$16:$A$141,"&lt;="&amp;MIN(Q$7+4,$K102))=0,0,IF($H102="","EXT",SUMIFS(Calendar!$C$16:$C$141,Calendar!$A$16:$A$141,"&gt;="&amp;MAX(Q$7,$J102),Calendar!$A$16:$A$141,"&lt;="&amp;MIN(Q$7+4,$K102))*$H102/$G102)))</x:f>
        <x:v>0</x:v>
      </x:c>
      <x:c r="R102" s="45" t="n">
        <x:f>IF(OR($J102="",$K102=""),"",IF(SUMIFS(Calendar!$C$16:$C$141,Calendar!$A$16:$A$141,"&gt;="&amp;MAX(R$7,$J102),Calendar!$A$16:$A$141,"&lt;="&amp;MIN(R$7+4,$K102))=0,0,IF($H102="","EXT",SUMIFS(Calendar!$C$16:$C$141,Calendar!$A$16:$A$141,"&gt;="&amp;MAX(R$7,$J102),Calendar!$A$16:$A$141,"&lt;="&amp;MIN(R$7+4,$K102))*$H102/$G102)))</x:f>
        <x:v>0</x:v>
      </x:c>
      <x:c r="S102" s="45" t="n">
        <x:f>IF(OR($J102="",$K102=""),"",IF(SUMIFS(Calendar!$C$16:$C$141,Calendar!$A$16:$A$141,"&gt;="&amp;MAX(S$7,$J102),Calendar!$A$16:$A$141,"&lt;="&amp;MIN(S$7+4,$K102))=0,0,IF($H102="","EXT",SUMIFS(Calendar!$C$16:$C$141,Calendar!$A$16:$A$141,"&gt;="&amp;MAX(S$7,$J102),Calendar!$A$16:$A$141,"&lt;="&amp;MIN(S$7+4,$K102))*$H102/$G102)))</x:f>
        <x:v>0</x:v>
      </x:c>
      <x:c r="T102" s="45" t="n">
        <x:f>IF(OR($J102="",$K102=""),"",IF(SUMIFS(Calendar!$C$16:$C$141,Calendar!$A$16:$A$141,"&gt;="&amp;MAX(T$7,$J102),Calendar!$A$16:$A$141,"&lt;="&amp;MIN(T$7+4,$K102))=0,0,IF($H102="","EXT",SUMIFS(Calendar!$C$16:$C$141,Calendar!$A$16:$A$141,"&gt;="&amp;MAX(T$7,$J102),Calendar!$A$16:$A$141,"&lt;="&amp;MIN(T$7+4,$K102))*$H102/$G102)))</x:f>
        <x:v>0</x:v>
      </x:c>
      <x:c r="U102" s="45" t="n">
        <x:f>IF(OR($J102="",$K102=""),"",IF(SUMIFS(Calendar!$C$16:$C$141,Calendar!$A$16:$A$141,"&gt;="&amp;MAX(U$7,$J102),Calendar!$A$16:$A$141,"&lt;="&amp;MIN(U$7+4,$K102))=0,0,IF($H102="","EXT",SUMIFS(Calendar!$C$16:$C$141,Calendar!$A$16:$A$141,"&gt;="&amp;MAX(U$7,$J102),Calendar!$A$16:$A$141,"&lt;="&amp;MIN(U$7+4,$K102))*$H102/$G102)))</x:f>
        <x:v>0</x:v>
      </x:c>
      <x:c r="V102" s="45" t="n">
        <x:f>IF(OR($J102="",$K102=""),"",IF(SUMIFS(Calendar!$C$16:$C$141,Calendar!$A$16:$A$141,"&gt;="&amp;MAX(V$7,$J102),Calendar!$A$16:$A$141,"&lt;="&amp;MIN(V$7+4,$K102))=0,0,IF($H102="","EXT",SUMIFS(Calendar!$C$16:$C$141,Calendar!$A$16:$A$141,"&gt;="&amp;MAX(V$7,$J102),Calendar!$A$16:$A$141,"&lt;="&amp;MIN(V$7+4,$K102))*$H102/$G102)))</x:f>
        <x:v>4</x:v>
      </x:c>
      <x:c r="W102" s="45" t="n">
        <x:f>IF(OR($J102="",$K102=""),"",IF(SUMIFS(Calendar!$C$16:$C$141,Calendar!$A$16:$A$141,"&gt;="&amp;MAX(W$7,$J102),Calendar!$A$16:$A$141,"&lt;="&amp;MIN(W$7+4,$K102))=0,0,IF($H102="","EXT",SUMIFS(Calendar!$C$16:$C$141,Calendar!$A$16:$A$141,"&gt;="&amp;MAX(W$7,$J102),Calendar!$A$16:$A$141,"&lt;="&amp;MIN(W$7+4,$K102))*$H102/$G102)))</x:f>
        <x:v>0</x:v>
      </x:c>
      <x:c r="X102" s="45" t="n">
        <x:f>IF(OR($J102="",$K102=""),"",IF(SUMIFS(Calendar!$C$16:$C$141,Calendar!$A$16:$A$141,"&gt;="&amp;MAX(X$7,$J102),Calendar!$A$16:$A$141,"&lt;="&amp;MIN(X$7+4,$K102))=0,0,IF($H102="","EXT",SUMIFS(Calendar!$C$16:$C$141,Calendar!$A$16:$A$141,"&gt;="&amp;MAX(X$7,$J102),Calendar!$A$16:$A$141,"&lt;="&amp;MIN(X$7+4,$K102))*$H102/$G102)))</x:f>
        <x:v>0</x:v>
      </x:c>
      <x:c r="Y102" s="45" t="n">
        <x:f>IF(OR($J102="",$K102=""),"",IF(SUMIFS(Calendar!$C$16:$C$141,Calendar!$A$16:$A$141,"&gt;="&amp;MAX(Y$7,$J102),Calendar!$A$16:$A$141,"&lt;="&amp;MIN(Y$7+4,$K102))=0,0,IF($H102="","EXT",SUMIFS(Calendar!$C$16:$C$141,Calendar!$A$16:$A$141,"&gt;="&amp;MAX(Y$7,$J102),Calendar!$A$16:$A$141,"&lt;="&amp;MIN(Y$7+4,$K102))*$H102/$G102)))</x:f>
        <x:v>0</x:v>
      </x:c>
      <x:c r="Z102" s="45" t="n">
        <x:f>IF(OR($J102="",$K102=""),"",IF(SUMIFS(Calendar!$C$16:$C$141,Calendar!$A$16:$A$141,"&gt;="&amp;MAX(Z$7,$J102),Calendar!$A$16:$A$141,"&lt;="&amp;MIN(Z$7+4,$K102))=0,0,IF($H102="","EXT",SUMIFS(Calendar!$C$16:$C$141,Calendar!$A$16:$A$141,"&gt;="&amp;MAX(Z$7,$J102),Calendar!$A$16:$A$141,"&lt;="&amp;MIN(Z$7+4,$K102))*$H102/$G102)))</x:f>
        <x:v>0</x:v>
      </x:c>
      <x:c r="AA102" s="45" t="n">
        <x:f>IF(OR($J102="",$K102=""),"",IF(SUMIFS(Calendar!$C$16:$C$141,Calendar!$A$16:$A$141,"&gt;="&amp;MAX(AA$7,$J102),Calendar!$A$16:$A$141,"&lt;="&amp;MIN(AA$7+4,$K102))=0,0,IF($H102="","EXT",SUMIFS(Calendar!$C$16:$C$141,Calendar!$A$16:$A$141,"&gt;="&amp;MAX(AA$7,$J102),Calendar!$A$16:$A$141,"&lt;="&amp;MIN(AA$7+4,$K102))*$H102/$G102)))</x:f>
        <x:v>0</x:v>
      </x:c>
      <x:c r="AB102" s="45" t="n">
        <x:f>IF(OR($J102="",$K102=""),"",IF(SUMIFS(Calendar!$C$16:$C$141,Calendar!$A$16:$A$141,"&gt;="&amp;MAX(AB$7,$J102),Calendar!$A$16:$A$141,"&lt;="&amp;MIN(AB$7+4,$K102))=0,0,IF($H102="","EXT",SUMIFS(Calendar!$C$16:$C$141,Calendar!$A$16:$A$141,"&gt;="&amp;MAX(AB$7,$J102),Calendar!$A$16:$A$141,"&lt;="&amp;MIN(AB$7+4,$K102))*$H102/$G102)))</x:f>
        <x:v>0</x:v>
      </x:c>
      <x:c r="AC102" s="45" t="n">
        <x:f>IF(OR($J102="",$K102=""),"",IF(SUMIFS(Calendar!$C$16:$C$141,Calendar!$A$16:$A$141,"&gt;="&amp;MAX(AC$7,$J102),Calendar!$A$16:$A$141,"&lt;="&amp;MIN(AC$7+4,$K102))=0,0,IF($H102="","EXT",SUMIFS(Calendar!$C$16:$C$141,Calendar!$A$16:$A$141,"&gt;="&amp;MAX(AC$7,$J102),Calendar!$A$16:$A$141,"&lt;="&amp;MIN(AC$7+4,$K102))*$H102/$G102)))</x:f>
        <x:v>0</x:v>
      </x:c>
      <x:c r="AD102" s="45" t="n">
        <x:f>IF(OR($J102="",$K102=""),"",IF(SUMIFS(Calendar!$C$16:$C$141,Calendar!$A$16:$A$141,"&gt;="&amp;MAX(AD$7,$J102),Calendar!$A$16:$A$141,"&lt;="&amp;MIN(AD$7+4,$K102))=0,0,IF($H102="","EXT",SUMIFS(Calendar!$C$16:$C$141,Calendar!$A$16:$A$141,"&gt;="&amp;MAX(AD$7,$J102),Calendar!$A$16:$A$141,"&lt;="&amp;MIN(AD$7+4,$K102))*$H102/$G102)))</x:f>
        <x:v>0</x:v>
      </x:c>
      <x:c r="AE102" s="45" t="n">
        <x:f>IF(OR($J102="",$K102=""),"",IF(SUMIFS(Calendar!$C$16:$C$141,Calendar!$A$16:$A$141,"&gt;="&amp;MAX(AE$7,$J102),Calendar!$A$16:$A$141,"&lt;="&amp;MIN(AE$7+4,$K102))=0,0,IF($H102="","EXT",SUMIFS(Calendar!$C$16:$C$141,Calendar!$A$16:$A$141,"&gt;="&amp;MAX(AE$7,$J102),Calendar!$A$16:$A$141,"&lt;="&amp;MIN(AE$7+4,$K102))*$H102/$G102)))</x:f>
        <x:v>0</x:v>
      </x:c>
      <x:c r="AF102" s="8" t="n">
        <x:f>IF(OR(M102&lt;&gt;"Scheduled",INDEX('Team and Gates'!$C$7:$C$13,MATCH($D102,'Team and Gates'!$A$7:$A$13,0))=""),"CHECK",SUM(N102:AE102)*INDEX('Team and Gates'!$C$7:$C$13,MATCH($D102,'Team and Gates'!$A$7:$A$13,0)))</x:f>
        <x:v>1440</x:v>
      </x:c>
      <x:c r="AG102" s="46" t="str">
        <x:v>Tester 2 independently executes BA-approved positive, negative, ambiguous and default-Case scenarios; report slice metrics, sample counts, failure classes and candidate versions.</x:v>
      </x:c>
      <x:c r="AH102" s="46" t="str">
        <x:v>Protect extended SIT, tuning and post-holiday UAT time. If quality gates slip, reduce scope or replan; do not assume more AI coding fixes quality. QA validation findings feed DS tuning; once shared, these cases become regression data. Final unseen holdout remains isolated until U13.</x:v>
      </x:c>
    </x:row>
    <x:row r="103" ht="45" customHeight="1">
      <x:c r="A103" s="39" t="str">
        <x:v>U-FB10</x:v>
      </x:c>
      <x:c r="B103" s="39" t="str">
        <x:v>Business QA</x:v>
      </x:c>
      <x:c r="C103" s="47" t="str">
        <x:v>Revised-candidate business/AI scenario retests</x:v>
      </x:c>
      <x:c r="D103" s="34" t="str">
        <x:v>Tester 2</x:v>
      </x:c>
      <x:c r="E103" s="47" t="str">
        <x:v>U11</x:v>
      </x:c>
      <x:c r="F103" s="50" t="n">
        <x:v>46</x:v>
      </x:c>
      <x:c r="G103" s="50" t="n">
        <x:v>5</x:v>
      </x:c>
      <x:c r="H103" s="51" t="n">
        <x:v>4</x:v>
      </x:c>
      <x:c r="I103" s="39" t="n">
        <x:f>IF(OR(F103="",G103=""),"",F103+G103-1)</x:f>
        <x:v>50</x:v>
      </x:c>
      <x:c r="J103" s="41" t="n">
        <x:f>IF(OR(F103="",F103&lt;1,F103&gt;Calendar!$B$9),"",INDEX(Calendar!$A$16:$A$141,MATCH(F103,Calendar!$D$16:$D$141,0)))</x:f>
        <x:v>46391</x:v>
      </x:c>
      <x:c r="K103" s="41" t="n">
        <x:f>IF(OR(I103="",I103&lt;1,I103&gt;Calendar!$B$9),"",INDEX(Calendar!$A$16:$A$141,MATCH(I103,Calendar!$D$16:$D$141,0)))</x:f>
        <x:v>46395</x:v>
      </x:c>
      <x:c r="L103" s="53" t="n">
        <x:v>0</x:v>
      </x:c>
      <x:c r="M103" s="39" t="str">
        <x:f>IF(OR(F103="",G103="",H103=""),"Missing input",IF(OR(F103&lt;1,G103&lt;1,I103&gt;Calendar!$B$9),"Outside calendar",IF(F103&lt;MAX(INDEX($I$8:$I$157,MATCH("U11",$A$8:$A$157,0))+1),"Dependency conflict","Scheduled")))</x:f>
        <x:v>Scheduled</x:v>
      </x:c>
      <x:c r="N103" s="45" t="n">
        <x:f>IF(OR($J103="",$K103=""),"",IF(SUMIFS(Calendar!$C$16:$C$141,Calendar!$A$16:$A$141,"&gt;="&amp;MAX(N$7,$J103),Calendar!$A$16:$A$141,"&lt;="&amp;MIN(N$7+4,$K103))=0,0,IF($H103="","EXT",SUMIFS(Calendar!$C$16:$C$141,Calendar!$A$16:$A$141,"&gt;="&amp;MAX(N$7,$J103),Calendar!$A$16:$A$141,"&lt;="&amp;MIN(N$7+4,$K103))*$H103/$G103)))</x:f>
        <x:v>0</x:v>
      </x:c>
      <x:c r="O103" s="45" t="n">
        <x:f>IF(OR($J103="",$K103=""),"",IF(SUMIFS(Calendar!$C$16:$C$141,Calendar!$A$16:$A$141,"&gt;="&amp;MAX(O$7,$J103),Calendar!$A$16:$A$141,"&lt;="&amp;MIN(O$7+4,$K103))=0,0,IF($H103="","EXT",SUMIFS(Calendar!$C$16:$C$141,Calendar!$A$16:$A$141,"&gt;="&amp;MAX(O$7,$J103),Calendar!$A$16:$A$141,"&lt;="&amp;MIN(O$7+4,$K103))*$H103/$G103)))</x:f>
        <x:v>0</x:v>
      </x:c>
      <x:c r="P103" s="45" t="n">
        <x:f>IF(OR($J103="",$K103=""),"",IF(SUMIFS(Calendar!$C$16:$C$141,Calendar!$A$16:$A$141,"&gt;="&amp;MAX(P$7,$J103),Calendar!$A$16:$A$141,"&lt;="&amp;MIN(P$7+4,$K103))=0,0,IF($H103="","EXT",SUMIFS(Calendar!$C$16:$C$141,Calendar!$A$16:$A$141,"&gt;="&amp;MAX(P$7,$J103),Calendar!$A$16:$A$141,"&lt;="&amp;MIN(P$7+4,$K103))*$H103/$G103)))</x:f>
        <x:v>0</x:v>
      </x:c>
      <x:c r="Q103" s="45" t="n">
        <x:f>IF(OR($J103="",$K103=""),"",IF(SUMIFS(Calendar!$C$16:$C$141,Calendar!$A$16:$A$141,"&gt;="&amp;MAX(Q$7,$J103),Calendar!$A$16:$A$141,"&lt;="&amp;MIN(Q$7+4,$K103))=0,0,IF($H103="","EXT",SUMIFS(Calendar!$C$16:$C$141,Calendar!$A$16:$A$141,"&gt;="&amp;MAX(Q$7,$J103),Calendar!$A$16:$A$141,"&lt;="&amp;MIN(Q$7+4,$K103))*$H103/$G103)))</x:f>
        <x:v>0</x:v>
      </x:c>
      <x:c r="R103" s="45" t="n">
        <x:f>IF(OR($J103="",$K103=""),"",IF(SUMIFS(Calendar!$C$16:$C$141,Calendar!$A$16:$A$141,"&gt;="&amp;MAX(R$7,$J103),Calendar!$A$16:$A$141,"&lt;="&amp;MIN(R$7+4,$K103))=0,0,IF($H103="","EXT",SUMIFS(Calendar!$C$16:$C$141,Calendar!$A$16:$A$141,"&gt;="&amp;MAX(R$7,$J103),Calendar!$A$16:$A$141,"&lt;="&amp;MIN(R$7+4,$K103))*$H103/$G103)))</x:f>
        <x:v>0</x:v>
      </x:c>
      <x:c r="S103" s="45" t="n">
        <x:f>IF(OR($J103="",$K103=""),"",IF(SUMIFS(Calendar!$C$16:$C$141,Calendar!$A$16:$A$141,"&gt;="&amp;MAX(S$7,$J103),Calendar!$A$16:$A$141,"&lt;="&amp;MIN(S$7+4,$K103))=0,0,IF($H103="","EXT",SUMIFS(Calendar!$C$16:$C$141,Calendar!$A$16:$A$141,"&gt;="&amp;MAX(S$7,$J103),Calendar!$A$16:$A$141,"&lt;="&amp;MIN(S$7+4,$K103))*$H103/$G103)))</x:f>
        <x:v>0</x:v>
      </x:c>
      <x:c r="T103" s="45" t="n">
        <x:f>IF(OR($J103="",$K103=""),"",IF(SUMIFS(Calendar!$C$16:$C$141,Calendar!$A$16:$A$141,"&gt;="&amp;MAX(T$7,$J103),Calendar!$A$16:$A$141,"&lt;="&amp;MIN(T$7+4,$K103))=0,0,IF($H103="","EXT",SUMIFS(Calendar!$C$16:$C$141,Calendar!$A$16:$A$141,"&gt;="&amp;MAX(T$7,$J103),Calendar!$A$16:$A$141,"&lt;="&amp;MIN(T$7+4,$K103))*$H103/$G103)))</x:f>
        <x:v>0</x:v>
      </x:c>
      <x:c r="U103" s="45" t="n">
        <x:f>IF(OR($J103="",$K103=""),"",IF(SUMIFS(Calendar!$C$16:$C$141,Calendar!$A$16:$A$141,"&gt;="&amp;MAX(U$7,$J103),Calendar!$A$16:$A$141,"&lt;="&amp;MIN(U$7+4,$K103))=0,0,IF($H103="","EXT",SUMIFS(Calendar!$C$16:$C$141,Calendar!$A$16:$A$141,"&gt;="&amp;MAX(U$7,$J103),Calendar!$A$16:$A$141,"&lt;="&amp;MIN(U$7+4,$K103))*$H103/$G103)))</x:f>
        <x:v>0</x:v>
      </x:c>
      <x:c r="V103" s="45" t="n">
        <x:f>IF(OR($J103="",$K103=""),"",IF(SUMIFS(Calendar!$C$16:$C$141,Calendar!$A$16:$A$141,"&gt;="&amp;MAX(V$7,$J103),Calendar!$A$16:$A$141,"&lt;="&amp;MIN(V$7+4,$K103))=0,0,IF($H103="","EXT",SUMIFS(Calendar!$C$16:$C$141,Calendar!$A$16:$A$141,"&gt;="&amp;MAX(V$7,$J103),Calendar!$A$16:$A$141,"&lt;="&amp;MIN(V$7+4,$K103))*$H103/$G103)))</x:f>
        <x:v>0</x:v>
      </x:c>
      <x:c r="W103" s="45" t="n">
        <x:f>IF(OR($J103="",$K103=""),"",IF(SUMIFS(Calendar!$C$16:$C$141,Calendar!$A$16:$A$141,"&gt;="&amp;MAX(W$7,$J103),Calendar!$A$16:$A$141,"&lt;="&amp;MIN(W$7+4,$K103))=0,0,IF($H103="","EXT",SUMIFS(Calendar!$C$16:$C$141,Calendar!$A$16:$A$141,"&gt;="&amp;MAX(W$7,$J103),Calendar!$A$16:$A$141,"&lt;="&amp;MIN(W$7+4,$K103))*$H103/$G103)))</x:f>
        <x:v>4</x:v>
      </x:c>
      <x:c r="X103" s="45" t="n">
        <x:f>IF(OR($J103="",$K103=""),"",IF(SUMIFS(Calendar!$C$16:$C$141,Calendar!$A$16:$A$141,"&gt;="&amp;MAX(X$7,$J103),Calendar!$A$16:$A$141,"&lt;="&amp;MIN(X$7+4,$K103))=0,0,IF($H103="","EXT",SUMIFS(Calendar!$C$16:$C$141,Calendar!$A$16:$A$141,"&gt;="&amp;MAX(X$7,$J103),Calendar!$A$16:$A$141,"&lt;="&amp;MIN(X$7+4,$K103))*$H103/$G103)))</x:f>
        <x:v>0</x:v>
      </x:c>
      <x:c r="Y103" s="45" t="n">
        <x:f>IF(OR($J103="",$K103=""),"",IF(SUMIFS(Calendar!$C$16:$C$141,Calendar!$A$16:$A$141,"&gt;="&amp;MAX(Y$7,$J103),Calendar!$A$16:$A$141,"&lt;="&amp;MIN(Y$7+4,$K103))=0,0,IF($H103="","EXT",SUMIFS(Calendar!$C$16:$C$141,Calendar!$A$16:$A$141,"&gt;="&amp;MAX(Y$7,$J103),Calendar!$A$16:$A$141,"&lt;="&amp;MIN(Y$7+4,$K103))*$H103/$G103)))</x:f>
        <x:v>0</x:v>
      </x:c>
      <x:c r="Z103" s="45" t="n">
        <x:f>IF(OR($J103="",$K103=""),"",IF(SUMIFS(Calendar!$C$16:$C$141,Calendar!$A$16:$A$141,"&gt;="&amp;MAX(Z$7,$J103),Calendar!$A$16:$A$141,"&lt;="&amp;MIN(Z$7+4,$K103))=0,0,IF($H103="","EXT",SUMIFS(Calendar!$C$16:$C$141,Calendar!$A$16:$A$141,"&gt;="&amp;MAX(Z$7,$J103),Calendar!$A$16:$A$141,"&lt;="&amp;MIN(Z$7+4,$K103))*$H103/$G103)))</x:f>
        <x:v>0</x:v>
      </x:c>
      <x:c r="AA103" s="45" t="n">
        <x:f>IF(OR($J103="",$K103=""),"",IF(SUMIFS(Calendar!$C$16:$C$141,Calendar!$A$16:$A$141,"&gt;="&amp;MAX(AA$7,$J103),Calendar!$A$16:$A$141,"&lt;="&amp;MIN(AA$7+4,$K103))=0,0,IF($H103="","EXT",SUMIFS(Calendar!$C$16:$C$141,Calendar!$A$16:$A$141,"&gt;="&amp;MAX(AA$7,$J103),Calendar!$A$16:$A$141,"&lt;="&amp;MIN(AA$7+4,$K103))*$H103/$G103)))</x:f>
        <x:v>0</x:v>
      </x:c>
      <x:c r="AB103" s="45" t="n">
        <x:f>IF(OR($J103="",$K103=""),"",IF(SUMIFS(Calendar!$C$16:$C$141,Calendar!$A$16:$A$141,"&gt;="&amp;MAX(AB$7,$J103),Calendar!$A$16:$A$141,"&lt;="&amp;MIN(AB$7+4,$K103))=0,0,IF($H103="","EXT",SUMIFS(Calendar!$C$16:$C$141,Calendar!$A$16:$A$141,"&gt;="&amp;MAX(AB$7,$J103),Calendar!$A$16:$A$141,"&lt;="&amp;MIN(AB$7+4,$K103))*$H103/$G103)))</x:f>
        <x:v>0</x:v>
      </x:c>
      <x:c r="AC103" s="45" t="n">
        <x:f>IF(OR($J103="",$K103=""),"",IF(SUMIFS(Calendar!$C$16:$C$141,Calendar!$A$16:$A$141,"&gt;="&amp;MAX(AC$7,$J103),Calendar!$A$16:$A$141,"&lt;="&amp;MIN(AC$7+4,$K103))=0,0,IF($H103="","EXT",SUMIFS(Calendar!$C$16:$C$141,Calendar!$A$16:$A$141,"&gt;="&amp;MAX(AC$7,$J103),Calendar!$A$16:$A$141,"&lt;="&amp;MIN(AC$7+4,$K103))*$H103/$G103)))</x:f>
        <x:v>0</x:v>
      </x:c>
      <x:c r="AD103" s="45" t="n">
        <x:f>IF(OR($J103="",$K103=""),"",IF(SUMIFS(Calendar!$C$16:$C$141,Calendar!$A$16:$A$141,"&gt;="&amp;MAX(AD$7,$J103),Calendar!$A$16:$A$141,"&lt;="&amp;MIN(AD$7+4,$K103))=0,0,IF($H103="","EXT",SUMIFS(Calendar!$C$16:$C$141,Calendar!$A$16:$A$141,"&gt;="&amp;MAX(AD$7,$J103),Calendar!$A$16:$A$141,"&lt;="&amp;MIN(AD$7+4,$K103))*$H103/$G103)))</x:f>
        <x:v>0</x:v>
      </x:c>
      <x:c r="AE103" s="45" t="n">
        <x:f>IF(OR($J103="",$K103=""),"",IF(SUMIFS(Calendar!$C$16:$C$141,Calendar!$A$16:$A$141,"&gt;="&amp;MAX(AE$7,$J103),Calendar!$A$16:$A$141,"&lt;="&amp;MIN(AE$7+4,$K103))=0,0,IF($H103="","EXT",SUMIFS(Calendar!$C$16:$C$141,Calendar!$A$16:$A$141,"&gt;="&amp;MAX(AE$7,$J103),Calendar!$A$16:$A$141,"&lt;="&amp;MIN(AE$7+4,$K103))*$H103/$G103)))</x:f>
        <x:v>0</x:v>
      </x:c>
      <x:c r="AF103" s="8" t="n">
        <x:f>IF(OR(M103&lt;&gt;"Scheduled",INDEX('Team and Gates'!$C$7:$C$13,MATCH($D103,'Team and Gates'!$A$7:$A$13,0))=""),"CHECK",SUM(N103:AE103)*INDEX('Team and Gates'!$C$7:$C$13,MATCH($D103,'Team and Gates'!$A$7:$A$13,0)))</x:f>
        <x:v>1440</x:v>
      </x:c>
      <x:c r="AG103" s="46" t="str">
        <x:v>Record versioned technical/business results, QA feedback, DS/developer fixes and affected-path retests. Business validation remains independent of DS tuning.</x:v>
      </x:c>
      <x:c r="AH103" s="46" t="str">
        <x:v>Two additional weeks of tuning, independent QA and stabilization recovered from shorter preparation/coding.</x:v>
      </x:c>
    </x:row>
    <x:row r="104" ht="45" customHeight="1">
      <x:c r="A104" s="2" t="str">
        <x:v>U-FB11</x:v>
      </x:c>
      <x:c r="B104" s="2" t="str">
        <x:v>Business QA</x:v>
      </x:c>
      <x:c r="C104" s="46" t="str">
        <x:v>Cross-scenario, adverse and ambiguous-case regression</x:v>
      </x:c>
      <x:c r="D104" s="34" t="str">
        <x:v>Tester 2</x:v>
      </x:c>
      <x:c r="E104" s="46" t="str">
        <x:v>U-FB10</x:v>
      </x:c>
      <x:c r="F104" s="50" t="n">
        <x:v>51</x:v>
      </x:c>
      <x:c r="G104" s="50" t="n">
        <x:v>5</x:v>
      </x:c>
      <x:c r="H104" s="51" t="n">
        <x:v>4</x:v>
      </x:c>
      <x:c r="I104" s="2" t="n">
        <x:f>IF(OR(F104="",G104=""),"",F104+G104-1)</x:f>
        <x:v>55</x:v>
      </x:c>
      <x:c r="J104" s="5" t="n">
        <x:f>IF(OR(F104="",F104&lt;1,F104&gt;Calendar!$B$9),"",INDEX(Calendar!$A$16:$A$141,MATCH(F104,Calendar!$D$16:$D$141,0)))</x:f>
        <x:v>46398</x:v>
      </x:c>
      <x:c r="K104" s="5" t="n">
        <x:f>IF(OR(I104="",I104&lt;1,I104&gt;Calendar!$B$9),"",INDEX(Calendar!$A$16:$A$141,MATCH(I104,Calendar!$D$16:$D$141,0)))</x:f>
        <x:v>46402</x:v>
      </x:c>
      <x:c r="L104" s="53" t="n">
        <x:v>0</x:v>
      </x:c>
      <x:c r="M104" s="2" t="str">
        <x:f>IF(OR(F104="",G104="",H104=""),"Missing input",IF(OR(F104&lt;1,G104&lt;1,I104&gt;Calendar!$B$9),"Outside calendar",IF(F104&lt;MAX(INDEX($I$8:$I$157,MATCH("U-FB10",$A$8:$A$157,0))+1),"Dependency conflict","Scheduled")))</x:f>
        <x:v>Scheduled</x:v>
      </x:c>
      <x:c r="N104" s="45" t="n">
        <x:f>IF(OR($J104="",$K104=""),"",IF(SUMIFS(Calendar!$C$16:$C$141,Calendar!$A$16:$A$141,"&gt;="&amp;MAX(N$7,$J104),Calendar!$A$16:$A$141,"&lt;="&amp;MIN(N$7+4,$K104))=0,0,IF($H104="","EXT",SUMIFS(Calendar!$C$16:$C$141,Calendar!$A$16:$A$141,"&gt;="&amp;MAX(N$7,$J104),Calendar!$A$16:$A$141,"&lt;="&amp;MIN(N$7+4,$K104))*$H104/$G104)))</x:f>
        <x:v>0</x:v>
      </x:c>
      <x:c r="O104" s="45" t="n">
        <x:f>IF(OR($J104="",$K104=""),"",IF(SUMIFS(Calendar!$C$16:$C$141,Calendar!$A$16:$A$141,"&gt;="&amp;MAX(O$7,$J104),Calendar!$A$16:$A$141,"&lt;="&amp;MIN(O$7+4,$K104))=0,0,IF($H104="","EXT",SUMIFS(Calendar!$C$16:$C$141,Calendar!$A$16:$A$141,"&gt;="&amp;MAX(O$7,$J104),Calendar!$A$16:$A$141,"&lt;="&amp;MIN(O$7+4,$K104))*$H104/$G104)))</x:f>
        <x:v>0</x:v>
      </x:c>
      <x:c r="P104" s="45" t="n">
        <x:f>IF(OR($J104="",$K104=""),"",IF(SUMIFS(Calendar!$C$16:$C$141,Calendar!$A$16:$A$141,"&gt;="&amp;MAX(P$7,$J104),Calendar!$A$16:$A$141,"&lt;="&amp;MIN(P$7+4,$K104))=0,0,IF($H104="","EXT",SUMIFS(Calendar!$C$16:$C$141,Calendar!$A$16:$A$141,"&gt;="&amp;MAX(P$7,$J104),Calendar!$A$16:$A$141,"&lt;="&amp;MIN(P$7+4,$K104))*$H104/$G104)))</x:f>
        <x:v>0</x:v>
      </x:c>
      <x:c r="Q104" s="45" t="n">
        <x:f>IF(OR($J104="",$K104=""),"",IF(SUMIFS(Calendar!$C$16:$C$141,Calendar!$A$16:$A$141,"&gt;="&amp;MAX(Q$7,$J104),Calendar!$A$16:$A$141,"&lt;="&amp;MIN(Q$7+4,$K104))=0,0,IF($H104="","EXT",SUMIFS(Calendar!$C$16:$C$141,Calendar!$A$16:$A$141,"&gt;="&amp;MAX(Q$7,$J104),Calendar!$A$16:$A$141,"&lt;="&amp;MIN(Q$7+4,$K104))*$H104/$G104)))</x:f>
        <x:v>0</x:v>
      </x:c>
      <x:c r="R104" s="45" t="n">
        <x:f>IF(OR($J104="",$K104=""),"",IF(SUMIFS(Calendar!$C$16:$C$141,Calendar!$A$16:$A$141,"&gt;="&amp;MAX(R$7,$J104),Calendar!$A$16:$A$141,"&lt;="&amp;MIN(R$7+4,$K104))=0,0,IF($H104="","EXT",SUMIFS(Calendar!$C$16:$C$141,Calendar!$A$16:$A$141,"&gt;="&amp;MAX(R$7,$J104),Calendar!$A$16:$A$141,"&lt;="&amp;MIN(R$7+4,$K104))*$H104/$G104)))</x:f>
        <x:v>0</x:v>
      </x:c>
      <x:c r="S104" s="45" t="n">
        <x:f>IF(OR($J104="",$K104=""),"",IF(SUMIFS(Calendar!$C$16:$C$141,Calendar!$A$16:$A$141,"&gt;="&amp;MAX(S$7,$J104),Calendar!$A$16:$A$141,"&lt;="&amp;MIN(S$7+4,$K104))=0,0,IF($H104="","EXT",SUMIFS(Calendar!$C$16:$C$141,Calendar!$A$16:$A$141,"&gt;="&amp;MAX(S$7,$J104),Calendar!$A$16:$A$141,"&lt;="&amp;MIN(S$7+4,$K104))*$H104/$G104)))</x:f>
        <x:v>0</x:v>
      </x:c>
      <x:c r="T104" s="45" t="n">
        <x:f>IF(OR($J104="",$K104=""),"",IF(SUMIFS(Calendar!$C$16:$C$141,Calendar!$A$16:$A$141,"&gt;="&amp;MAX(T$7,$J104),Calendar!$A$16:$A$141,"&lt;="&amp;MIN(T$7+4,$K104))=0,0,IF($H104="","EXT",SUMIFS(Calendar!$C$16:$C$141,Calendar!$A$16:$A$141,"&gt;="&amp;MAX(T$7,$J104),Calendar!$A$16:$A$141,"&lt;="&amp;MIN(T$7+4,$K104))*$H104/$G104)))</x:f>
        <x:v>0</x:v>
      </x:c>
      <x:c r="U104" s="45" t="n">
        <x:f>IF(OR($J104="",$K104=""),"",IF(SUMIFS(Calendar!$C$16:$C$141,Calendar!$A$16:$A$141,"&gt;="&amp;MAX(U$7,$J104),Calendar!$A$16:$A$141,"&lt;="&amp;MIN(U$7+4,$K104))=0,0,IF($H104="","EXT",SUMIFS(Calendar!$C$16:$C$141,Calendar!$A$16:$A$141,"&gt;="&amp;MAX(U$7,$J104),Calendar!$A$16:$A$141,"&lt;="&amp;MIN(U$7+4,$K104))*$H104/$G104)))</x:f>
        <x:v>0</x:v>
      </x:c>
      <x:c r="V104" s="45" t="n">
        <x:f>IF(OR($J104="",$K104=""),"",IF(SUMIFS(Calendar!$C$16:$C$141,Calendar!$A$16:$A$141,"&gt;="&amp;MAX(V$7,$J104),Calendar!$A$16:$A$141,"&lt;="&amp;MIN(V$7+4,$K104))=0,0,IF($H104="","EXT",SUMIFS(Calendar!$C$16:$C$141,Calendar!$A$16:$A$141,"&gt;="&amp;MAX(V$7,$J104),Calendar!$A$16:$A$141,"&lt;="&amp;MIN(V$7+4,$K104))*$H104/$G104)))</x:f>
        <x:v>0</x:v>
      </x:c>
      <x:c r="W104" s="45" t="n">
        <x:f>IF(OR($J104="",$K104=""),"",IF(SUMIFS(Calendar!$C$16:$C$141,Calendar!$A$16:$A$141,"&gt;="&amp;MAX(W$7,$J104),Calendar!$A$16:$A$141,"&lt;="&amp;MIN(W$7+4,$K104))=0,0,IF($H104="","EXT",SUMIFS(Calendar!$C$16:$C$141,Calendar!$A$16:$A$141,"&gt;="&amp;MAX(W$7,$J104),Calendar!$A$16:$A$141,"&lt;="&amp;MIN(W$7+4,$K104))*$H104/$G104)))</x:f>
        <x:v>0</x:v>
      </x:c>
      <x:c r="X104" s="45" t="n">
        <x:f>IF(OR($J104="",$K104=""),"",IF(SUMIFS(Calendar!$C$16:$C$141,Calendar!$A$16:$A$141,"&gt;="&amp;MAX(X$7,$J104),Calendar!$A$16:$A$141,"&lt;="&amp;MIN(X$7+4,$K104))=0,0,IF($H104="","EXT",SUMIFS(Calendar!$C$16:$C$141,Calendar!$A$16:$A$141,"&gt;="&amp;MAX(X$7,$J104),Calendar!$A$16:$A$141,"&lt;="&amp;MIN(X$7+4,$K104))*$H104/$G104)))</x:f>
        <x:v>4</x:v>
      </x:c>
      <x:c r="Y104" s="45" t="n">
        <x:f>IF(OR($J104="",$K104=""),"",IF(SUMIFS(Calendar!$C$16:$C$141,Calendar!$A$16:$A$141,"&gt;="&amp;MAX(Y$7,$J104),Calendar!$A$16:$A$141,"&lt;="&amp;MIN(Y$7+4,$K104))=0,0,IF($H104="","EXT",SUMIFS(Calendar!$C$16:$C$141,Calendar!$A$16:$A$141,"&gt;="&amp;MAX(Y$7,$J104),Calendar!$A$16:$A$141,"&lt;="&amp;MIN(Y$7+4,$K104))*$H104/$G104)))</x:f>
        <x:v>0</x:v>
      </x:c>
      <x:c r="Z104" s="45" t="n">
        <x:f>IF(OR($J104="",$K104=""),"",IF(SUMIFS(Calendar!$C$16:$C$141,Calendar!$A$16:$A$141,"&gt;="&amp;MAX(Z$7,$J104),Calendar!$A$16:$A$141,"&lt;="&amp;MIN(Z$7+4,$K104))=0,0,IF($H104="","EXT",SUMIFS(Calendar!$C$16:$C$141,Calendar!$A$16:$A$141,"&gt;="&amp;MAX(Z$7,$J104),Calendar!$A$16:$A$141,"&lt;="&amp;MIN(Z$7+4,$K104))*$H104/$G104)))</x:f>
        <x:v>0</x:v>
      </x:c>
      <x:c r="AA104" s="45" t="n">
        <x:f>IF(OR($J104="",$K104=""),"",IF(SUMIFS(Calendar!$C$16:$C$141,Calendar!$A$16:$A$141,"&gt;="&amp;MAX(AA$7,$J104),Calendar!$A$16:$A$141,"&lt;="&amp;MIN(AA$7+4,$K104))=0,0,IF($H104="","EXT",SUMIFS(Calendar!$C$16:$C$141,Calendar!$A$16:$A$141,"&gt;="&amp;MAX(AA$7,$J104),Calendar!$A$16:$A$141,"&lt;="&amp;MIN(AA$7+4,$K104))*$H104/$G104)))</x:f>
        <x:v>0</x:v>
      </x:c>
      <x:c r="AB104" s="45" t="n">
        <x:f>IF(OR($J104="",$K104=""),"",IF(SUMIFS(Calendar!$C$16:$C$141,Calendar!$A$16:$A$141,"&gt;="&amp;MAX(AB$7,$J104),Calendar!$A$16:$A$141,"&lt;="&amp;MIN(AB$7+4,$K104))=0,0,IF($H104="","EXT",SUMIFS(Calendar!$C$16:$C$141,Calendar!$A$16:$A$141,"&gt;="&amp;MAX(AB$7,$J104),Calendar!$A$16:$A$141,"&lt;="&amp;MIN(AB$7+4,$K104))*$H104/$G104)))</x:f>
        <x:v>0</x:v>
      </x:c>
      <x:c r="AC104" s="45" t="n">
        <x:f>IF(OR($J104="",$K104=""),"",IF(SUMIFS(Calendar!$C$16:$C$141,Calendar!$A$16:$A$141,"&gt;="&amp;MAX(AC$7,$J104),Calendar!$A$16:$A$141,"&lt;="&amp;MIN(AC$7+4,$K104))=0,0,IF($H104="","EXT",SUMIFS(Calendar!$C$16:$C$141,Calendar!$A$16:$A$141,"&gt;="&amp;MAX(AC$7,$J104),Calendar!$A$16:$A$141,"&lt;="&amp;MIN(AC$7+4,$K104))*$H104/$G104)))</x:f>
        <x:v>0</x:v>
      </x:c>
      <x:c r="AD104" s="45" t="n">
        <x:f>IF(OR($J104="",$K104=""),"",IF(SUMIFS(Calendar!$C$16:$C$141,Calendar!$A$16:$A$141,"&gt;="&amp;MAX(AD$7,$J104),Calendar!$A$16:$A$141,"&lt;="&amp;MIN(AD$7+4,$K104))=0,0,IF($H104="","EXT",SUMIFS(Calendar!$C$16:$C$141,Calendar!$A$16:$A$141,"&gt;="&amp;MAX(AD$7,$J104),Calendar!$A$16:$A$141,"&lt;="&amp;MIN(AD$7+4,$K104))*$H104/$G104)))</x:f>
        <x:v>0</x:v>
      </x:c>
      <x:c r="AE104" s="45" t="n">
        <x:f>IF(OR($J104="",$K104=""),"",IF(SUMIFS(Calendar!$C$16:$C$141,Calendar!$A$16:$A$141,"&gt;="&amp;MAX(AE$7,$J104),Calendar!$A$16:$A$141,"&lt;="&amp;MIN(AE$7+4,$K104))=0,0,IF($H104="","EXT",SUMIFS(Calendar!$C$16:$C$141,Calendar!$A$16:$A$141,"&gt;="&amp;MAX(AE$7,$J104),Calendar!$A$16:$A$141,"&lt;="&amp;MIN(AE$7+4,$K104))*$H104/$G104)))</x:f>
        <x:v>0</x:v>
      </x:c>
      <x:c r="AF104" s="8" t="n">
        <x:f>IF(OR(M104&lt;&gt;"Scheduled",INDEX('Team and Gates'!$C$7:$C$13,MATCH($D104,'Team and Gates'!$A$7:$A$13,0))=""),"CHECK",SUM(N104:AE104)*INDEX('Team and Gates'!$C$7:$C$13,MATCH($D104,'Team and Gates'!$A$7:$A$13,0)))</x:f>
        <x:v>1440</x:v>
      </x:c>
      <x:c r="AG104" s="46" t="str">
        <x:v>Record versioned technical/business results, QA feedback, DS/developer fixes and affected-path retests. Business validation remains independent of DS tuning.</x:v>
      </x:c>
      <x:c r="AH104" s="46" t="str">
        <x:v>Two additional weeks of tuning, independent QA and stabilization recovered from shorter preparation/coding.</x:v>
      </x:c>
    </x:row>
    <x:row r="105" ht="45" customHeight="1">
      <x:c r="A105" s="39" t="str">
        <x:v>U12</x:v>
      </x:c>
      <x:c r="B105" s="39" t="str">
        <x:v>Business QA</x:v>
      </x:c>
      <x:c r="C105" s="47" t="str">
        <x:v>Business scenario regression and revised-candidate quality retests</x:v>
      </x:c>
      <x:c r="D105" s="34" t="str">
        <x:v>Tester 2</x:v>
      </x:c>
      <x:c r="E105" s="47" t="str">
        <x:v>U11, Q11, S11, A11, B11, F11, BA11, U-FB11</x:v>
      </x:c>
      <x:c r="F105" s="50" t="n">
        <x:v>56</x:v>
      </x:c>
      <x:c r="G105" s="50" t="n">
        <x:v>5</x:v>
      </x:c>
      <x:c r="H105" s="51" t="n">
        <x:v>4</x:v>
      </x:c>
      <x:c r="I105" s="39" t="n">
        <x:f>IF(OR(F105="",G105=""),"",F105+G105-1)</x:f>
        <x:v>60</x:v>
      </x:c>
      <x:c r="J105" s="41" t="n">
        <x:f>IF(OR(F105="",F105&lt;1,F105&gt;Calendar!$B$9),"",INDEX(Calendar!$A$16:$A$141,MATCH(F105,Calendar!$D$16:$D$141,0)))</x:f>
        <x:v>46405</x:v>
      </x:c>
      <x:c r="K105" s="41" t="n">
        <x:f>IF(OR(I105="",I105&lt;1,I105&gt;Calendar!$B$9),"",INDEX(Calendar!$A$16:$A$141,MATCH(I105,Calendar!$D$16:$D$141,0)))</x:f>
        <x:v>46409</x:v>
      </x:c>
      <x:c r="L105" s="53" t="n">
        <x:v>0</x:v>
      </x:c>
      <x:c r="M105" s="39" t="str">
        <x:f>IF(OR(F105="",G105="",H105=""),"Missing input",IF(OR(F105&lt;1,G105&lt;1,I105&gt;Calendar!$B$9),"Outside calendar",IF(F105&lt;MAX(INDEX($I$8:$I$157,MATCH("U11",$A$8:$A$157,0))+1,INDEX($I$8:$I$157,MATCH("Q11",$A$8:$A$157,0))+1,INDEX($I$8:$I$157,MATCH("S11",$A$8:$A$157,0))+1,INDEX($I$8:$I$157,MATCH("A11",$A$8:$A$157,0))+1,INDEX($I$8:$I$157,MATCH("B11",$A$8:$A$157,0))+1,INDEX($I$8:$I$157,MATCH("F11",$A$8:$A$157,0))+1,INDEX($I$8:$I$157,MATCH("BA11",$A$8:$A$157,0))+1,INDEX($I$8:$I$157,MATCH("U-FB11",$A$8:$A$157,0))+1),"Dependency conflict","Scheduled")))</x:f>
        <x:v>Scheduled</x:v>
      </x:c>
      <x:c r="N105" s="45" t="n">
        <x:f>IF(OR($J105="",$K105=""),"",IF(SUMIFS(Calendar!$C$16:$C$141,Calendar!$A$16:$A$141,"&gt;="&amp;MAX(N$7,$J105),Calendar!$A$16:$A$141,"&lt;="&amp;MIN(N$7+4,$K105))=0,0,IF($H105="","EXT",SUMIFS(Calendar!$C$16:$C$141,Calendar!$A$16:$A$141,"&gt;="&amp;MAX(N$7,$J105),Calendar!$A$16:$A$141,"&lt;="&amp;MIN(N$7+4,$K105))*$H105/$G105)))</x:f>
        <x:v>0</x:v>
      </x:c>
      <x:c r="O105" s="45" t="n">
        <x:f>IF(OR($J105="",$K105=""),"",IF(SUMIFS(Calendar!$C$16:$C$141,Calendar!$A$16:$A$141,"&gt;="&amp;MAX(O$7,$J105),Calendar!$A$16:$A$141,"&lt;="&amp;MIN(O$7+4,$K105))=0,0,IF($H105="","EXT",SUMIFS(Calendar!$C$16:$C$141,Calendar!$A$16:$A$141,"&gt;="&amp;MAX(O$7,$J105),Calendar!$A$16:$A$141,"&lt;="&amp;MIN(O$7+4,$K105))*$H105/$G105)))</x:f>
        <x:v>0</x:v>
      </x:c>
      <x:c r="P105" s="45" t="n">
        <x:f>IF(OR($J105="",$K105=""),"",IF(SUMIFS(Calendar!$C$16:$C$141,Calendar!$A$16:$A$141,"&gt;="&amp;MAX(P$7,$J105),Calendar!$A$16:$A$141,"&lt;="&amp;MIN(P$7+4,$K105))=0,0,IF($H105="","EXT",SUMIFS(Calendar!$C$16:$C$141,Calendar!$A$16:$A$141,"&gt;="&amp;MAX(P$7,$J105),Calendar!$A$16:$A$141,"&lt;="&amp;MIN(P$7+4,$K105))*$H105/$G105)))</x:f>
        <x:v>0</x:v>
      </x:c>
      <x:c r="Q105" s="45" t="n">
        <x:f>IF(OR($J105="",$K105=""),"",IF(SUMIFS(Calendar!$C$16:$C$141,Calendar!$A$16:$A$141,"&gt;="&amp;MAX(Q$7,$J105),Calendar!$A$16:$A$141,"&lt;="&amp;MIN(Q$7+4,$K105))=0,0,IF($H105="","EXT",SUMIFS(Calendar!$C$16:$C$141,Calendar!$A$16:$A$141,"&gt;="&amp;MAX(Q$7,$J105),Calendar!$A$16:$A$141,"&lt;="&amp;MIN(Q$7+4,$K105))*$H105/$G105)))</x:f>
        <x:v>0</x:v>
      </x:c>
      <x:c r="R105" s="45" t="n">
        <x:f>IF(OR($J105="",$K105=""),"",IF(SUMIFS(Calendar!$C$16:$C$141,Calendar!$A$16:$A$141,"&gt;="&amp;MAX(R$7,$J105),Calendar!$A$16:$A$141,"&lt;="&amp;MIN(R$7+4,$K105))=0,0,IF($H105="","EXT",SUMIFS(Calendar!$C$16:$C$141,Calendar!$A$16:$A$141,"&gt;="&amp;MAX(R$7,$J105),Calendar!$A$16:$A$141,"&lt;="&amp;MIN(R$7+4,$K105))*$H105/$G105)))</x:f>
        <x:v>0</x:v>
      </x:c>
      <x:c r="S105" s="45" t="n">
        <x:f>IF(OR($J105="",$K105=""),"",IF(SUMIFS(Calendar!$C$16:$C$141,Calendar!$A$16:$A$141,"&gt;="&amp;MAX(S$7,$J105),Calendar!$A$16:$A$141,"&lt;="&amp;MIN(S$7+4,$K105))=0,0,IF($H105="","EXT",SUMIFS(Calendar!$C$16:$C$141,Calendar!$A$16:$A$141,"&gt;="&amp;MAX(S$7,$J105),Calendar!$A$16:$A$141,"&lt;="&amp;MIN(S$7+4,$K105))*$H105/$G105)))</x:f>
        <x:v>0</x:v>
      </x:c>
      <x:c r="T105" s="45" t="n">
        <x:f>IF(OR($J105="",$K105=""),"",IF(SUMIFS(Calendar!$C$16:$C$141,Calendar!$A$16:$A$141,"&gt;="&amp;MAX(T$7,$J105),Calendar!$A$16:$A$141,"&lt;="&amp;MIN(T$7+4,$K105))=0,0,IF($H105="","EXT",SUMIFS(Calendar!$C$16:$C$141,Calendar!$A$16:$A$141,"&gt;="&amp;MAX(T$7,$J105),Calendar!$A$16:$A$141,"&lt;="&amp;MIN(T$7+4,$K105))*$H105/$G105)))</x:f>
        <x:v>0</x:v>
      </x:c>
      <x:c r="U105" s="45" t="n">
        <x:f>IF(OR($J105="",$K105=""),"",IF(SUMIFS(Calendar!$C$16:$C$141,Calendar!$A$16:$A$141,"&gt;="&amp;MAX(U$7,$J105),Calendar!$A$16:$A$141,"&lt;="&amp;MIN(U$7+4,$K105))=0,0,IF($H105="","EXT",SUMIFS(Calendar!$C$16:$C$141,Calendar!$A$16:$A$141,"&gt;="&amp;MAX(U$7,$J105),Calendar!$A$16:$A$141,"&lt;="&amp;MIN(U$7+4,$K105))*$H105/$G105)))</x:f>
        <x:v>0</x:v>
      </x:c>
      <x:c r="V105" s="45" t="n">
        <x:f>IF(OR($J105="",$K105=""),"",IF(SUMIFS(Calendar!$C$16:$C$141,Calendar!$A$16:$A$141,"&gt;="&amp;MAX(V$7,$J105),Calendar!$A$16:$A$141,"&lt;="&amp;MIN(V$7+4,$K105))=0,0,IF($H105="","EXT",SUMIFS(Calendar!$C$16:$C$141,Calendar!$A$16:$A$141,"&gt;="&amp;MAX(V$7,$J105),Calendar!$A$16:$A$141,"&lt;="&amp;MIN(V$7+4,$K105))*$H105/$G105)))</x:f>
        <x:v>0</x:v>
      </x:c>
      <x:c r="W105" s="45" t="n">
        <x:f>IF(OR($J105="",$K105=""),"",IF(SUMIFS(Calendar!$C$16:$C$141,Calendar!$A$16:$A$141,"&gt;="&amp;MAX(W$7,$J105),Calendar!$A$16:$A$141,"&lt;="&amp;MIN(W$7+4,$K105))=0,0,IF($H105="","EXT",SUMIFS(Calendar!$C$16:$C$141,Calendar!$A$16:$A$141,"&gt;="&amp;MAX(W$7,$J105),Calendar!$A$16:$A$141,"&lt;="&amp;MIN(W$7+4,$K105))*$H105/$G105)))</x:f>
        <x:v>0</x:v>
      </x:c>
      <x:c r="X105" s="45" t="n">
        <x:f>IF(OR($J105="",$K105=""),"",IF(SUMIFS(Calendar!$C$16:$C$141,Calendar!$A$16:$A$141,"&gt;="&amp;MAX(X$7,$J105),Calendar!$A$16:$A$141,"&lt;="&amp;MIN(X$7+4,$K105))=0,0,IF($H105="","EXT",SUMIFS(Calendar!$C$16:$C$141,Calendar!$A$16:$A$141,"&gt;="&amp;MAX(X$7,$J105),Calendar!$A$16:$A$141,"&lt;="&amp;MIN(X$7+4,$K105))*$H105/$G105)))</x:f>
        <x:v>0</x:v>
      </x:c>
      <x:c r="Y105" s="45" t="n">
        <x:f>IF(OR($J105="",$K105=""),"",IF(SUMIFS(Calendar!$C$16:$C$141,Calendar!$A$16:$A$141,"&gt;="&amp;MAX(Y$7,$J105),Calendar!$A$16:$A$141,"&lt;="&amp;MIN(Y$7+4,$K105))=0,0,IF($H105="","EXT",SUMIFS(Calendar!$C$16:$C$141,Calendar!$A$16:$A$141,"&gt;="&amp;MAX(Y$7,$J105),Calendar!$A$16:$A$141,"&lt;="&amp;MIN(Y$7+4,$K105))*$H105/$G105)))</x:f>
        <x:v>4</x:v>
      </x:c>
      <x:c r="Z105" s="45" t="n">
        <x:f>IF(OR($J105="",$K105=""),"",IF(SUMIFS(Calendar!$C$16:$C$141,Calendar!$A$16:$A$141,"&gt;="&amp;MAX(Z$7,$J105),Calendar!$A$16:$A$141,"&lt;="&amp;MIN(Z$7+4,$K105))=0,0,IF($H105="","EXT",SUMIFS(Calendar!$C$16:$C$141,Calendar!$A$16:$A$141,"&gt;="&amp;MAX(Z$7,$J105),Calendar!$A$16:$A$141,"&lt;="&amp;MIN(Z$7+4,$K105))*$H105/$G105)))</x:f>
        <x:v>0</x:v>
      </x:c>
      <x:c r="AA105" s="45" t="n">
        <x:f>IF(OR($J105="",$K105=""),"",IF(SUMIFS(Calendar!$C$16:$C$141,Calendar!$A$16:$A$141,"&gt;="&amp;MAX(AA$7,$J105),Calendar!$A$16:$A$141,"&lt;="&amp;MIN(AA$7+4,$K105))=0,0,IF($H105="","EXT",SUMIFS(Calendar!$C$16:$C$141,Calendar!$A$16:$A$141,"&gt;="&amp;MAX(AA$7,$J105),Calendar!$A$16:$A$141,"&lt;="&amp;MIN(AA$7+4,$K105))*$H105/$G105)))</x:f>
        <x:v>0</x:v>
      </x:c>
      <x:c r="AB105" s="45" t="n">
        <x:f>IF(OR($J105="",$K105=""),"",IF(SUMIFS(Calendar!$C$16:$C$141,Calendar!$A$16:$A$141,"&gt;="&amp;MAX(AB$7,$J105),Calendar!$A$16:$A$141,"&lt;="&amp;MIN(AB$7+4,$K105))=0,0,IF($H105="","EXT",SUMIFS(Calendar!$C$16:$C$141,Calendar!$A$16:$A$141,"&gt;="&amp;MAX(AB$7,$J105),Calendar!$A$16:$A$141,"&lt;="&amp;MIN(AB$7+4,$K105))*$H105/$G105)))</x:f>
        <x:v>0</x:v>
      </x:c>
      <x:c r="AC105" s="45" t="n">
        <x:f>IF(OR($J105="",$K105=""),"",IF(SUMIFS(Calendar!$C$16:$C$141,Calendar!$A$16:$A$141,"&gt;="&amp;MAX(AC$7,$J105),Calendar!$A$16:$A$141,"&lt;="&amp;MIN(AC$7+4,$K105))=0,0,IF($H105="","EXT",SUMIFS(Calendar!$C$16:$C$141,Calendar!$A$16:$A$141,"&gt;="&amp;MAX(AC$7,$J105),Calendar!$A$16:$A$141,"&lt;="&amp;MIN(AC$7+4,$K105))*$H105/$G105)))</x:f>
        <x:v>0</x:v>
      </x:c>
      <x:c r="AD105" s="45" t="n">
        <x:f>IF(OR($J105="",$K105=""),"",IF(SUMIFS(Calendar!$C$16:$C$141,Calendar!$A$16:$A$141,"&gt;="&amp;MAX(AD$7,$J105),Calendar!$A$16:$A$141,"&lt;="&amp;MIN(AD$7+4,$K105))=0,0,IF($H105="","EXT",SUMIFS(Calendar!$C$16:$C$141,Calendar!$A$16:$A$141,"&gt;="&amp;MAX(AD$7,$J105),Calendar!$A$16:$A$141,"&lt;="&amp;MIN(AD$7+4,$K105))*$H105/$G105)))</x:f>
        <x:v>0</x:v>
      </x:c>
      <x:c r="AE105" s="45" t="n">
        <x:f>IF(OR($J105="",$K105=""),"",IF(SUMIFS(Calendar!$C$16:$C$141,Calendar!$A$16:$A$141,"&gt;="&amp;MAX(AE$7,$J105),Calendar!$A$16:$A$141,"&lt;="&amp;MIN(AE$7+4,$K105))=0,0,IF($H105="","EXT",SUMIFS(Calendar!$C$16:$C$141,Calendar!$A$16:$A$141,"&gt;="&amp;MAX(AE$7,$J105),Calendar!$A$16:$A$141,"&lt;="&amp;MIN(AE$7+4,$K105))*$H105/$G105)))</x:f>
        <x:v>0</x:v>
      </x:c>
      <x:c r="AF105" s="8" t="n">
        <x:f>IF(OR(M105&lt;&gt;"Scheduled",INDEX('Team and Gates'!$C$7:$C$13,MATCH($D105,'Team and Gates'!$A$7:$A$13,0))=""),"CHECK",SUM(N105:AE105)*INDEX('Team and Gates'!$C$7:$C$13,MATCH($D105,'Team and Gates'!$A$7:$A$13,0)))</x:f>
        <x:v>1440</x:v>
      </x:c>
      <x:c r="AG105" s="46" t="str">
        <x:v>Tester 2 independently executes BA-approved positive, negative, ambiguous and default-Case scenarios; report slice metrics, sample counts, failure classes and candidate versions.</x:v>
      </x:c>
      <x:c r="AH105" s="46" t="str">
        <x:v>Protect extended SIT, tuning and post-holiday UAT time. If quality gates slip, reduce scope or replan; do not assume more AI coding fixes quality. QA validation findings feed DS tuning; once shared, these cases become regression data. Final unseen holdout remains isolated until U13.</x:v>
      </x:c>
    </x:row>
    <x:row r="106" ht="45" customHeight="1">
      <x:c r="A106" s="2" t="str">
        <x:v>U13</x:v>
      </x:c>
      <x:c r="B106" s="2" t="str">
        <x:v>Business QA</x:v>
      </x:c>
      <x:c r="C106" s="46" t="str">
        <x:v>Final unseen holdout: intent, drafts and Playbooks; SIT evidence</x:v>
      </x:c>
      <x:c r="D106" s="34" t="str">
        <x:v>Tester 2</x:v>
      </x:c>
      <x:c r="E106" s="46" t="str">
        <x:v>U12, S12</x:v>
      </x:c>
      <x:c r="F106" s="50" t="n">
        <x:v>61</x:v>
      </x:c>
      <x:c r="G106" s="50" t="n">
        <x:v>5</x:v>
      </x:c>
      <x:c r="H106" s="51" t="n">
        <x:v>4</x:v>
      </x:c>
      <x:c r="I106" s="2" t="n">
        <x:f>IF(OR(F106="",G106=""),"",F106+G106-1)</x:f>
        <x:v>65</x:v>
      </x:c>
      <x:c r="J106" s="5" t="n">
        <x:f>IF(OR(F106="",F106&lt;1,F106&gt;Calendar!$B$9),"",INDEX(Calendar!$A$16:$A$141,MATCH(F106,Calendar!$D$16:$D$141,0)))</x:f>
        <x:v>46412</x:v>
      </x:c>
      <x:c r="K106" s="5" t="n">
        <x:f>IF(OR(I106="",I106&lt;1,I106&gt;Calendar!$B$9),"",INDEX(Calendar!$A$16:$A$141,MATCH(I106,Calendar!$D$16:$D$141,0)))</x:f>
        <x:v>46416</x:v>
      </x:c>
      <x:c r="L106" s="53" t="n">
        <x:v>0</x:v>
      </x:c>
      <x:c r="M106" s="2" t="str">
        <x:f>IF(OR(F106="",G106="",H106=""),"Missing input",IF(OR(F106&lt;1,G106&lt;1,I106&gt;Calendar!$B$9),"Outside calendar",IF(F106&lt;MAX(INDEX($I$8:$I$157,MATCH("U12",$A$8:$A$157,0))+1,INDEX($I$8:$I$157,MATCH("S12",$A$8:$A$157,0))+1),"Dependency conflict","Scheduled")))</x:f>
        <x:v>Scheduled</x:v>
      </x:c>
      <x:c r="N106" s="45" t="n">
        <x:f>IF(OR($J106="",$K106=""),"",IF(SUMIFS(Calendar!$C$16:$C$141,Calendar!$A$16:$A$141,"&gt;="&amp;MAX(N$7,$J106),Calendar!$A$16:$A$141,"&lt;="&amp;MIN(N$7+4,$K106))=0,0,IF($H106="","EXT",SUMIFS(Calendar!$C$16:$C$141,Calendar!$A$16:$A$141,"&gt;="&amp;MAX(N$7,$J106),Calendar!$A$16:$A$141,"&lt;="&amp;MIN(N$7+4,$K106))*$H106/$G106)))</x:f>
        <x:v>0</x:v>
      </x:c>
      <x:c r="O106" s="45" t="n">
        <x:f>IF(OR($J106="",$K106=""),"",IF(SUMIFS(Calendar!$C$16:$C$141,Calendar!$A$16:$A$141,"&gt;="&amp;MAX(O$7,$J106),Calendar!$A$16:$A$141,"&lt;="&amp;MIN(O$7+4,$K106))=0,0,IF($H106="","EXT",SUMIFS(Calendar!$C$16:$C$141,Calendar!$A$16:$A$141,"&gt;="&amp;MAX(O$7,$J106),Calendar!$A$16:$A$141,"&lt;="&amp;MIN(O$7+4,$K106))*$H106/$G106)))</x:f>
        <x:v>0</x:v>
      </x:c>
      <x:c r="P106" s="45" t="n">
        <x:f>IF(OR($J106="",$K106=""),"",IF(SUMIFS(Calendar!$C$16:$C$141,Calendar!$A$16:$A$141,"&gt;="&amp;MAX(P$7,$J106),Calendar!$A$16:$A$141,"&lt;="&amp;MIN(P$7+4,$K106))=0,0,IF($H106="","EXT",SUMIFS(Calendar!$C$16:$C$141,Calendar!$A$16:$A$141,"&gt;="&amp;MAX(P$7,$J106),Calendar!$A$16:$A$141,"&lt;="&amp;MIN(P$7+4,$K106))*$H106/$G106)))</x:f>
        <x:v>0</x:v>
      </x:c>
      <x:c r="Q106" s="45" t="n">
        <x:f>IF(OR($J106="",$K106=""),"",IF(SUMIFS(Calendar!$C$16:$C$141,Calendar!$A$16:$A$141,"&gt;="&amp;MAX(Q$7,$J106),Calendar!$A$16:$A$141,"&lt;="&amp;MIN(Q$7+4,$K106))=0,0,IF($H106="","EXT",SUMIFS(Calendar!$C$16:$C$141,Calendar!$A$16:$A$141,"&gt;="&amp;MAX(Q$7,$J106),Calendar!$A$16:$A$141,"&lt;="&amp;MIN(Q$7+4,$K106))*$H106/$G106)))</x:f>
        <x:v>0</x:v>
      </x:c>
      <x:c r="R106" s="45" t="n">
        <x:f>IF(OR($J106="",$K106=""),"",IF(SUMIFS(Calendar!$C$16:$C$141,Calendar!$A$16:$A$141,"&gt;="&amp;MAX(R$7,$J106),Calendar!$A$16:$A$141,"&lt;="&amp;MIN(R$7+4,$K106))=0,0,IF($H106="","EXT",SUMIFS(Calendar!$C$16:$C$141,Calendar!$A$16:$A$141,"&gt;="&amp;MAX(R$7,$J106),Calendar!$A$16:$A$141,"&lt;="&amp;MIN(R$7+4,$K106))*$H106/$G106)))</x:f>
        <x:v>0</x:v>
      </x:c>
      <x:c r="S106" s="45" t="n">
        <x:f>IF(OR($J106="",$K106=""),"",IF(SUMIFS(Calendar!$C$16:$C$141,Calendar!$A$16:$A$141,"&gt;="&amp;MAX(S$7,$J106),Calendar!$A$16:$A$141,"&lt;="&amp;MIN(S$7+4,$K106))=0,0,IF($H106="","EXT",SUMIFS(Calendar!$C$16:$C$141,Calendar!$A$16:$A$141,"&gt;="&amp;MAX(S$7,$J106),Calendar!$A$16:$A$141,"&lt;="&amp;MIN(S$7+4,$K106))*$H106/$G106)))</x:f>
        <x:v>0</x:v>
      </x:c>
      <x:c r="T106" s="45" t="n">
        <x:f>IF(OR($J106="",$K106=""),"",IF(SUMIFS(Calendar!$C$16:$C$141,Calendar!$A$16:$A$141,"&gt;="&amp;MAX(T$7,$J106),Calendar!$A$16:$A$141,"&lt;="&amp;MIN(T$7+4,$K106))=0,0,IF($H106="","EXT",SUMIFS(Calendar!$C$16:$C$141,Calendar!$A$16:$A$141,"&gt;="&amp;MAX(T$7,$J106),Calendar!$A$16:$A$141,"&lt;="&amp;MIN(T$7+4,$K106))*$H106/$G106)))</x:f>
        <x:v>0</x:v>
      </x:c>
      <x:c r="U106" s="45" t="n">
        <x:f>IF(OR($J106="",$K106=""),"",IF(SUMIFS(Calendar!$C$16:$C$141,Calendar!$A$16:$A$141,"&gt;="&amp;MAX(U$7,$J106),Calendar!$A$16:$A$141,"&lt;="&amp;MIN(U$7+4,$K106))=0,0,IF($H106="","EXT",SUMIFS(Calendar!$C$16:$C$141,Calendar!$A$16:$A$141,"&gt;="&amp;MAX(U$7,$J106),Calendar!$A$16:$A$141,"&lt;="&amp;MIN(U$7+4,$K106))*$H106/$G106)))</x:f>
        <x:v>0</x:v>
      </x:c>
      <x:c r="V106" s="45" t="n">
        <x:f>IF(OR($J106="",$K106=""),"",IF(SUMIFS(Calendar!$C$16:$C$141,Calendar!$A$16:$A$141,"&gt;="&amp;MAX(V$7,$J106),Calendar!$A$16:$A$141,"&lt;="&amp;MIN(V$7+4,$K106))=0,0,IF($H106="","EXT",SUMIFS(Calendar!$C$16:$C$141,Calendar!$A$16:$A$141,"&gt;="&amp;MAX(V$7,$J106),Calendar!$A$16:$A$141,"&lt;="&amp;MIN(V$7+4,$K106))*$H106/$G106)))</x:f>
        <x:v>0</x:v>
      </x:c>
      <x:c r="W106" s="45" t="n">
        <x:f>IF(OR($J106="",$K106=""),"",IF(SUMIFS(Calendar!$C$16:$C$141,Calendar!$A$16:$A$141,"&gt;="&amp;MAX(W$7,$J106),Calendar!$A$16:$A$141,"&lt;="&amp;MIN(W$7+4,$K106))=0,0,IF($H106="","EXT",SUMIFS(Calendar!$C$16:$C$141,Calendar!$A$16:$A$141,"&gt;="&amp;MAX(W$7,$J106),Calendar!$A$16:$A$141,"&lt;="&amp;MIN(W$7+4,$K106))*$H106/$G106)))</x:f>
        <x:v>0</x:v>
      </x:c>
      <x:c r="X106" s="45" t="n">
        <x:f>IF(OR($J106="",$K106=""),"",IF(SUMIFS(Calendar!$C$16:$C$141,Calendar!$A$16:$A$141,"&gt;="&amp;MAX(X$7,$J106),Calendar!$A$16:$A$141,"&lt;="&amp;MIN(X$7+4,$K106))=0,0,IF($H106="","EXT",SUMIFS(Calendar!$C$16:$C$141,Calendar!$A$16:$A$141,"&gt;="&amp;MAX(X$7,$J106),Calendar!$A$16:$A$141,"&lt;="&amp;MIN(X$7+4,$K106))*$H106/$G106)))</x:f>
        <x:v>0</x:v>
      </x:c>
      <x:c r="Y106" s="45" t="n">
        <x:f>IF(OR($J106="",$K106=""),"",IF(SUMIFS(Calendar!$C$16:$C$141,Calendar!$A$16:$A$141,"&gt;="&amp;MAX(Y$7,$J106),Calendar!$A$16:$A$141,"&lt;="&amp;MIN(Y$7+4,$K106))=0,0,IF($H106="","EXT",SUMIFS(Calendar!$C$16:$C$141,Calendar!$A$16:$A$141,"&gt;="&amp;MAX(Y$7,$J106),Calendar!$A$16:$A$141,"&lt;="&amp;MIN(Y$7+4,$K106))*$H106/$G106)))</x:f>
        <x:v>0</x:v>
      </x:c>
      <x:c r="Z106" s="45" t="n">
        <x:f>IF(OR($J106="",$K106=""),"",IF(SUMIFS(Calendar!$C$16:$C$141,Calendar!$A$16:$A$141,"&gt;="&amp;MAX(Z$7,$J106),Calendar!$A$16:$A$141,"&lt;="&amp;MIN(Z$7+4,$K106))=0,0,IF($H106="","EXT",SUMIFS(Calendar!$C$16:$C$141,Calendar!$A$16:$A$141,"&gt;="&amp;MAX(Z$7,$J106),Calendar!$A$16:$A$141,"&lt;="&amp;MIN(Z$7+4,$K106))*$H106/$G106)))</x:f>
        <x:v>4</x:v>
      </x:c>
      <x:c r="AA106" s="45" t="n">
        <x:f>IF(OR($J106="",$K106=""),"",IF(SUMIFS(Calendar!$C$16:$C$141,Calendar!$A$16:$A$141,"&gt;="&amp;MAX(AA$7,$J106),Calendar!$A$16:$A$141,"&lt;="&amp;MIN(AA$7+4,$K106))=0,0,IF($H106="","EXT",SUMIFS(Calendar!$C$16:$C$141,Calendar!$A$16:$A$141,"&gt;="&amp;MAX(AA$7,$J106),Calendar!$A$16:$A$141,"&lt;="&amp;MIN(AA$7+4,$K106))*$H106/$G106)))</x:f>
        <x:v>0</x:v>
      </x:c>
      <x:c r="AB106" s="45" t="n">
        <x:f>IF(OR($J106="",$K106=""),"",IF(SUMIFS(Calendar!$C$16:$C$141,Calendar!$A$16:$A$141,"&gt;="&amp;MAX(AB$7,$J106),Calendar!$A$16:$A$141,"&lt;="&amp;MIN(AB$7+4,$K106))=0,0,IF($H106="","EXT",SUMIFS(Calendar!$C$16:$C$141,Calendar!$A$16:$A$141,"&gt;="&amp;MAX(AB$7,$J106),Calendar!$A$16:$A$141,"&lt;="&amp;MIN(AB$7+4,$K106))*$H106/$G106)))</x:f>
        <x:v>0</x:v>
      </x:c>
      <x:c r="AC106" s="45" t="n">
        <x:f>IF(OR($J106="",$K106=""),"",IF(SUMIFS(Calendar!$C$16:$C$141,Calendar!$A$16:$A$141,"&gt;="&amp;MAX(AC$7,$J106),Calendar!$A$16:$A$141,"&lt;="&amp;MIN(AC$7+4,$K106))=0,0,IF($H106="","EXT",SUMIFS(Calendar!$C$16:$C$141,Calendar!$A$16:$A$141,"&gt;="&amp;MAX(AC$7,$J106),Calendar!$A$16:$A$141,"&lt;="&amp;MIN(AC$7+4,$K106))*$H106/$G106)))</x:f>
        <x:v>0</x:v>
      </x:c>
      <x:c r="AD106" s="45" t="n">
        <x:f>IF(OR($J106="",$K106=""),"",IF(SUMIFS(Calendar!$C$16:$C$141,Calendar!$A$16:$A$141,"&gt;="&amp;MAX(AD$7,$J106),Calendar!$A$16:$A$141,"&lt;="&amp;MIN(AD$7+4,$K106))=0,0,IF($H106="","EXT",SUMIFS(Calendar!$C$16:$C$141,Calendar!$A$16:$A$141,"&gt;="&amp;MAX(AD$7,$J106),Calendar!$A$16:$A$141,"&lt;="&amp;MIN(AD$7+4,$K106))*$H106/$G106)))</x:f>
        <x:v>0</x:v>
      </x:c>
      <x:c r="AE106" s="45" t="n">
        <x:f>IF(OR($J106="",$K106=""),"",IF(SUMIFS(Calendar!$C$16:$C$141,Calendar!$A$16:$A$141,"&gt;="&amp;MAX(AE$7,$J106),Calendar!$A$16:$A$141,"&lt;="&amp;MIN(AE$7+4,$K106))=0,0,IF($H106="","EXT",SUMIFS(Calendar!$C$16:$C$141,Calendar!$A$16:$A$141,"&gt;="&amp;MAX(AE$7,$J106),Calendar!$A$16:$A$141,"&lt;="&amp;MIN(AE$7+4,$K106))*$H106/$G106)))</x:f>
        <x:v>0</x:v>
      </x:c>
      <x:c r="AF106" s="8" t="n">
        <x:f>IF(OR(M106&lt;&gt;"Scheduled",INDEX('Team and Gates'!$C$7:$C$13,MATCH($D106,'Team and Gates'!$A$7:$A$13,0))=""),"CHECK",SUM(N106:AE106)*INDEX('Team and Gates'!$C$7:$C$13,MATCH($D106,'Team and Gates'!$A$7:$A$13,0)))</x:f>
        <x:v>1440</x:v>
      </x:c>
      <x:c r="AG106" s="46" t="str">
        <x:v>Tester 2 evaluates the Jan 22 frozen candidate on unseen held-out scenarios across intent/Case match, drafts and Playbooks; report FSD thresholds, samples and versions before Jan 29 SIT signoff.</x:v>
      </x:c>
      <x:c r="AH106" s="46" t="str">
        <x:v>Protect extended SIT, tuning and post-holiday UAT time. If quality gates slip, reduce scope or replan; do not assume more AI coding fixes quality. Do not tune against final holdout answers. Any fix requires affected regression and fresh independent evaluation data before approval.</x:v>
      </x:c>
    </x:row>
    <x:row r="107" ht="45" customHeight="1">
      <x:c r="A107" s="39" t="str">
        <x:v>U14</x:v>
      </x:c>
      <x:c r="B107" s="39" t="str">
        <x:v>Business QA</x:v>
      </x:c>
      <x:c r="C107" s="47" t="str">
        <x:v>UAT data/script rehearsal and basic business smoke tests</x:v>
      </x:c>
      <x:c r="D107" s="34" t="str">
        <x:v>Tester 2</x:v>
      </x:c>
      <x:c r="E107" s="47" t="str">
        <x:v>U13</x:v>
      </x:c>
      <x:c r="F107" s="50" t="n">
        <x:v>66</x:v>
      </x:c>
      <x:c r="G107" s="50" t="n">
        <x:v>2</x:v>
      </x:c>
      <x:c r="H107" s="51" t="n">
        <x:v>1.5</x:v>
      </x:c>
      <x:c r="I107" s="39" t="n">
        <x:f>IF(OR(F107="",G107=""),"",F107+G107-1)</x:f>
        <x:v>67</x:v>
      </x:c>
      <x:c r="J107" s="41" t="n">
        <x:f>IF(OR(F107="",F107&lt;1,F107&gt;Calendar!$B$9),"",INDEX(Calendar!$A$16:$A$141,MATCH(F107,Calendar!$D$16:$D$141,0)))</x:f>
        <x:v>46419</x:v>
      </x:c>
      <x:c r="K107" s="41" t="n">
        <x:f>IF(OR(I107="",I107&lt;1,I107&gt;Calendar!$B$9),"",INDEX(Calendar!$A$16:$A$141,MATCH(I107,Calendar!$D$16:$D$141,0)))</x:f>
        <x:v>46420</x:v>
      </x:c>
      <x:c r="L107" s="53" t="n">
        <x:v>0</x:v>
      </x:c>
      <x:c r="M107" s="39" t="str">
        <x:f>IF(OR(F107="",G107="",H107=""),"Missing input",IF(OR(F107&lt;1,G107&lt;1,I107&gt;Calendar!$B$9),"Outside calendar",IF(F107&lt;MAX(INDEX($I$8:$I$157,MATCH("U13",$A$8:$A$157,0))+1),"Dependency conflict","Scheduled")))</x:f>
        <x:v>Scheduled</x:v>
      </x:c>
      <x:c r="N107" s="45" t="n">
        <x:f>IF(OR($J107="",$K107=""),"",IF(SUMIFS(Calendar!$C$16:$C$141,Calendar!$A$16:$A$141,"&gt;="&amp;MAX(N$7,$J107),Calendar!$A$16:$A$141,"&lt;="&amp;MIN(N$7+4,$K107))=0,0,IF($H107="","EXT",SUMIFS(Calendar!$C$16:$C$141,Calendar!$A$16:$A$141,"&gt;="&amp;MAX(N$7,$J107),Calendar!$A$16:$A$141,"&lt;="&amp;MIN(N$7+4,$K107))*$H107/$G107)))</x:f>
        <x:v>0</x:v>
      </x:c>
      <x:c r="O107" s="45" t="n">
        <x:f>IF(OR($J107="",$K107=""),"",IF(SUMIFS(Calendar!$C$16:$C$141,Calendar!$A$16:$A$141,"&gt;="&amp;MAX(O$7,$J107),Calendar!$A$16:$A$141,"&lt;="&amp;MIN(O$7+4,$K107))=0,0,IF($H107="","EXT",SUMIFS(Calendar!$C$16:$C$141,Calendar!$A$16:$A$141,"&gt;="&amp;MAX(O$7,$J107),Calendar!$A$16:$A$141,"&lt;="&amp;MIN(O$7+4,$K107))*$H107/$G107)))</x:f>
        <x:v>0</x:v>
      </x:c>
      <x:c r="P107" s="45" t="n">
        <x:f>IF(OR($J107="",$K107=""),"",IF(SUMIFS(Calendar!$C$16:$C$141,Calendar!$A$16:$A$141,"&gt;="&amp;MAX(P$7,$J107),Calendar!$A$16:$A$141,"&lt;="&amp;MIN(P$7+4,$K107))=0,0,IF($H107="","EXT",SUMIFS(Calendar!$C$16:$C$141,Calendar!$A$16:$A$141,"&gt;="&amp;MAX(P$7,$J107),Calendar!$A$16:$A$141,"&lt;="&amp;MIN(P$7+4,$K107))*$H107/$G107)))</x:f>
        <x:v>0</x:v>
      </x:c>
      <x:c r="Q107" s="45" t="n">
        <x:f>IF(OR($J107="",$K107=""),"",IF(SUMIFS(Calendar!$C$16:$C$141,Calendar!$A$16:$A$141,"&gt;="&amp;MAX(Q$7,$J107),Calendar!$A$16:$A$141,"&lt;="&amp;MIN(Q$7+4,$K107))=0,0,IF($H107="","EXT",SUMIFS(Calendar!$C$16:$C$141,Calendar!$A$16:$A$141,"&gt;="&amp;MAX(Q$7,$J107),Calendar!$A$16:$A$141,"&lt;="&amp;MIN(Q$7+4,$K107))*$H107/$G107)))</x:f>
        <x:v>0</x:v>
      </x:c>
      <x:c r="R107" s="45" t="n">
        <x:f>IF(OR($J107="",$K107=""),"",IF(SUMIFS(Calendar!$C$16:$C$141,Calendar!$A$16:$A$141,"&gt;="&amp;MAX(R$7,$J107),Calendar!$A$16:$A$141,"&lt;="&amp;MIN(R$7+4,$K107))=0,0,IF($H107="","EXT",SUMIFS(Calendar!$C$16:$C$141,Calendar!$A$16:$A$141,"&gt;="&amp;MAX(R$7,$J107),Calendar!$A$16:$A$141,"&lt;="&amp;MIN(R$7+4,$K107))*$H107/$G107)))</x:f>
        <x:v>0</x:v>
      </x:c>
      <x:c r="S107" s="45" t="n">
        <x:f>IF(OR($J107="",$K107=""),"",IF(SUMIFS(Calendar!$C$16:$C$141,Calendar!$A$16:$A$141,"&gt;="&amp;MAX(S$7,$J107),Calendar!$A$16:$A$141,"&lt;="&amp;MIN(S$7+4,$K107))=0,0,IF($H107="","EXT",SUMIFS(Calendar!$C$16:$C$141,Calendar!$A$16:$A$141,"&gt;="&amp;MAX(S$7,$J107),Calendar!$A$16:$A$141,"&lt;="&amp;MIN(S$7+4,$K107))*$H107/$G107)))</x:f>
        <x:v>0</x:v>
      </x:c>
      <x:c r="T107" s="45" t="n">
        <x:f>IF(OR($J107="",$K107=""),"",IF(SUMIFS(Calendar!$C$16:$C$141,Calendar!$A$16:$A$141,"&gt;="&amp;MAX(T$7,$J107),Calendar!$A$16:$A$141,"&lt;="&amp;MIN(T$7+4,$K107))=0,0,IF($H107="","EXT",SUMIFS(Calendar!$C$16:$C$141,Calendar!$A$16:$A$141,"&gt;="&amp;MAX(T$7,$J107),Calendar!$A$16:$A$141,"&lt;="&amp;MIN(T$7+4,$K107))*$H107/$G107)))</x:f>
        <x:v>0</x:v>
      </x:c>
      <x:c r="U107" s="45" t="n">
        <x:f>IF(OR($J107="",$K107=""),"",IF(SUMIFS(Calendar!$C$16:$C$141,Calendar!$A$16:$A$141,"&gt;="&amp;MAX(U$7,$J107),Calendar!$A$16:$A$141,"&lt;="&amp;MIN(U$7+4,$K107))=0,0,IF($H107="","EXT",SUMIFS(Calendar!$C$16:$C$141,Calendar!$A$16:$A$141,"&gt;="&amp;MAX(U$7,$J107),Calendar!$A$16:$A$141,"&lt;="&amp;MIN(U$7+4,$K107))*$H107/$G107)))</x:f>
        <x:v>0</x:v>
      </x:c>
      <x:c r="V107" s="45" t="n">
        <x:f>IF(OR($J107="",$K107=""),"",IF(SUMIFS(Calendar!$C$16:$C$141,Calendar!$A$16:$A$141,"&gt;="&amp;MAX(V$7,$J107),Calendar!$A$16:$A$141,"&lt;="&amp;MIN(V$7+4,$K107))=0,0,IF($H107="","EXT",SUMIFS(Calendar!$C$16:$C$141,Calendar!$A$16:$A$141,"&gt;="&amp;MAX(V$7,$J107),Calendar!$A$16:$A$141,"&lt;="&amp;MIN(V$7+4,$K107))*$H107/$G107)))</x:f>
        <x:v>0</x:v>
      </x:c>
      <x:c r="W107" s="45" t="n">
        <x:f>IF(OR($J107="",$K107=""),"",IF(SUMIFS(Calendar!$C$16:$C$141,Calendar!$A$16:$A$141,"&gt;="&amp;MAX(W$7,$J107),Calendar!$A$16:$A$141,"&lt;="&amp;MIN(W$7+4,$K107))=0,0,IF($H107="","EXT",SUMIFS(Calendar!$C$16:$C$141,Calendar!$A$16:$A$141,"&gt;="&amp;MAX(W$7,$J107),Calendar!$A$16:$A$141,"&lt;="&amp;MIN(W$7+4,$K107))*$H107/$G107)))</x:f>
        <x:v>0</x:v>
      </x:c>
      <x:c r="X107" s="45" t="n">
        <x:f>IF(OR($J107="",$K107=""),"",IF(SUMIFS(Calendar!$C$16:$C$141,Calendar!$A$16:$A$141,"&gt;="&amp;MAX(X$7,$J107),Calendar!$A$16:$A$141,"&lt;="&amp;MIN(X$7+4,$K107))=0,0,IF($H107="","EXT",SUMIFS(Calendar!$C$16:$C$141,Calendar!$A$16:$A$141,"&gt;="&amp;MAX(X$7,$J107),Calendar!$A$16:$A$141,"&lt;="&amp;MIN(X$7+4,$K107))*$H107/$G107)))</x:f>
        <x:v>0</x:v>
      </x:c>
      <x:c r="Y107" s="45" t="n">
        <x:f>IF(OR($J107="",$K107=""),"",IF(SUMIFS(Calendar!$C$16:$C$141,Calendar!$A$16:$A$141,"&gt;="&amp;MAX(Y$7,$J107),Calendar!$A$16:$A$141,"&lt;="&amp;MIN(Y$7+4,$K107))=0,0,IF($H107="","EXT",SUMIFS(Calendar!$C$16:$C$141,Calendar!$A$16:$A$141,"&gt;="&amp;MAX(Y$7,$J107),Calendar!$A$16:$A$141,"&lt;="&amp;MIN(Y$7+4,$K107))*$H107/$G107)))</x:f>
        <x:v>0</x:v>
      </x:c>
      <x:c r="Z107" s="45" t="n">
        <x:f>IF(OR($J107="",$K107=""),"",IF(SUMIFS(Calendar!$C$16:$C$141,Calendar!$A$16:$A$141,"&gt;="&amp;MAX(Z$7,$J107),Calendar!$A$16:$A$141,"&lt;="&amp;MIN(Z$7+4,$K107))=0,0,IF($H107="","EXT",SUMIFS(Calendar!$C$16:$C$141,Calendar!$A$16:$A$141,"&gt;="&amp;MAX(Z$7,$J107),Calendar!$A$16:$A$141,"&lt;="&amp;MIN(Z$7+4,$K107))*$H107/$G107)))</x:f>
        <x:v>0</x:v>
      </x:c>
      <x:c r="AA107" s="45" t="n">
        <x:f>IF(OR($J107="",$K107=""),"",IF(SUMIFS(Calendar!$C$16:$C$141,Calendar!$A$16:$A$141,"&gt;="&amp;MAX(AA$7,$J107),Calendar!$A$16:$A$141,"&lt;="&amp;MIN(AA$7+4,$K107))=0,0,IF($H107="","EXT",SUMIFS(Calendar!$C$16:$C$141,Calendar!$A$16:$A$141,"&gt;="&amp;MAX(AA$7,$J107),Calendar!$A$16:$A$141,"&lt;="&amp;MIN(AA$7+4,$K107))*$H107/$G107)))</x:f>
        <x:v>1.5</x:v>
      </x:c>
      <x:c r="AB107" s="45" t="n">
        <x:f>IF(OR($J107="",$K107=""),"",IF(SUMIFS(Calendar!$C$16:$C$141,Calendar!$A$16:$A$141,"&gt;="&amp;MAX(AB$7,$J107),Calendar!$A$16:$A$141,"&lt;="&amp;MIN(AB$7+4,$K107))=0,0,IF($H107="","EXT",SUMIFS(Calendar!$C$16:$C$141,Calendar!$A$16:$A$141,"&gt;="&amp;MAX(AB$7,$J107),Calendar!$A$16:$A$141,"&lt;="&amp;MIN(AB$7+4,$K107))*$H107/$G107)))</x:f>
        <x:v>0</x:v>
      </x:c>
      <x:c r="AC107" s="45" t="n">
        <x:f>IF(OR($J107="",$K107=""),"",IF(SUMIFS(Calendar!$C$16:$C$141,Calendar!$A$16:$A$141,"&gt;="&amp;MAX(AC$7,$J107),Calendar!$A$16:$A$141,"&lt;="&amp;MIN(AC$7+4,$K107))=0,0,IF($H107="","EXT",SUMIFS(Calendar!$C$16:$C$141,Calendar!$A$16:$A$141,"&gt;="&amp;MAX(AC$7,$J107),Calendar!$A$16:$A$141,"&lt;="&amp;MIN(AC$7+4,$K107))*$H107/$G107)))</x:f>
        <x:v>0</x:v>
      </x:c>
      <x:c r="AD107" s="45" t="n">
        <x:f>IF(OR($J107="",$K107=""),"",IF(SUMIFS(Calendar!$C$16:$C$141,Calendar!$A$16:$A$141,"&gt;="&amp;MAX(AD$7,$J107),Calendar!$A$16:$A$141,"&lt;="&amp;MIN(AD$7+4,$K107))=0,0,IF($H107="","EXT",SUMIFS(Calendar!$C$16:$C$141,Calendar!$A$16:$A$141,"&gt;="&amp;MAX(AD$7,$J107),Calendar!$A$16:$A$141,"&lt;="&amp;MIN(AD$7+4,$K107))*$H107/$G107)))</x:f>
        <x:v>0</x:v>
      </x:c>
      <x:c r="AE107" s="45" t="n">
        <x:f>IF(OR($J107="",$K107=""),"",IF(SUMIFS(Calendar!$C$16:$C$141,Calendar!$A$16:$A$141,"&gt;="&amp;MAX(AE$7,$J107),Calendar!$A$16:$A$141,"&lt;="&amp;MIN(AE$7+4,$K107))=0,0,IF($H107="","EXT",SUMIFS(Calendar!$C$16:$C$141,Calendar!$A$16:$A$141,"&gt;="&amp;MAX(AE$7,$J107),Calendar!$A$16:$A$141,"&lt;="&amp;MIN(AE$7+4,$K107))*$H107/$G107)))</x:f>
        <x:v>0</x:v>
      </x:c>
      <x:c r="AF107" s="8" t="n">
        <x:f>IF(OR(M107&lt;&gt;"Scheduled",INDEX('Team and Gates'!$C$7:$C$13,MATCH($D107,'Team and Gates'!$A$7:$A$13,0))=""),"CHECK",SUM(N107:AE107)*INDEX('Team and Gates'!$C$7:$C$13,MATCH($D107,'Team and Gates'!$A$7:$A$13,0)))</x:f>
        <x:v>540</x:v>
      </x:c>
      <x:c r="AG107" s="46" t="str">
        <x:v>Qualified release artifacts, operational checks and named handover evidence are recorded.</x:v>
      </x:c>
      <x:c r="AH107" s="46" t="str"/>
    </x:row>
    <x:row r="108" ht="45" customHeight="1">
      <x:c r="A108" s="2" t="str">
        <x:v>U16</x:v>
      </x:c>
      <x:c r="B108" s="2" t="str">
        <x:v>Business QA</x:v>
      </x:c>
      <x:c r="C108" s="46" t="str">
        <x:v>UAT START: pilot AM execution, defect retests and signoff evidence</x:v>
      </x:c>
      <x:c r="D108" s="34" t="str">
        <x:v>Tester 2</x:v>
      </x:c>
      <x:c r="E108" s="46" t="str">
        <x:v>U14</x:v>
      </x:c>
      <x:c r="F108" s="50" t="n">
        <x:v>68</x:v>
      </x:c>
      <x:c r="G108" s="50" t="n">
        <x:v>5</x:v>
      </x:c>
      <x:c r="H108" s="51" t="n">
        <x:v>4</x:v>
      </x:c>
      <x:c r="I108" s="2" t="n">
        <x:f>IF(OR(F108="",G108=""),"",F108+G108-1)</x:f>
        <x:v>72</x:v>
      </x:c>
      <x:c r="J108" s="5" t="n">
        <x:f>IF(OR(F108="",F108&lt;1,F108&gt;Calendar!$B$9),"",INDEX(Calendar!$A$16:$A$141,MATCH(F108,Calendar!$D$16:$D$141,0)))</x:f>
        <x:v>46433</x:v>
      </x:c>
      <x:c r="K108" s="5" t="n">
        <x:f>IF(OR(I108="",I108&lt;1,I108&gt;Calendar!$B$9),"",INDEX(Calendar!$A$16:$A$141,MATCH(I108,Calendar!$D$16:$D$141,0)))</x:f>
        <x:v>46437</x:v>
      </x:c>
      <x:c r="L108" s="53" t="n">
        <x:v>0</x:v>
      </x:c>
      <x:c r="M108" s="2" t="str">
        <x:f>IF(OR(F108="",G108="",H108=""),"Missing input",IF(OR(F108&lt;1,G108&lt;1,I108&gt;Calendar!$B$9),"Outside calendar",IF(F108&lt;MAX(INDEX($I$8:$I$157,MATCH("U14",$A$8:$A$157,0))+1),"Dependency conflict","Scheduled")))</x:f>
        <x:v>Scheduled</x:v>
      </x:c>
      <x:c r="N108" s="45" t="n">
        <x:f>IF(OR($J108="",$K108=""),"",IF(SUMIFS(Calendar!$C$16:$C$141,Calendar!$A$16:$A$141,"&gt;="&amp;MAX(N$7,$J108),Calendar!$A$16:$A$141,"&lt;="&amp;MIN(N$7+4,$K108))=0,0,IF($H108="","EXT",SUMIFS(Calendar!$C$16:$C$141,Calendar!$A$16:$A$141,"&gt;="&amp;MAX(N$7,$J108),Calendar!$A$16:$A$141,"&lt;="&amp;MIN(N$7+4,$K108))*$H108/$G108)))</x:f>
        <x:v>0</x:v>
      </x:c>
      <x:c r="O108" s="45" t="n">
        <x:f>IF(OR($J108="",$K108=""),"",IF(SUMIFS(Calendar!$C$16:$C$141,Calendar!$A$16:$A$141,"&gt;="&amp;MAX(O$7,$J108),Calendar!$A$16:$A$141,"&lt;="&amp;MIN(O$7+4,$K108))=0,0,IF($H108="","EXT",SUMIFS(Calendar!$C$16:$C$141,Calendar!$A$16:$A$141,"&gt;="&amp;MAX(O$7,$J108),Calendar!$A$16:$A$141,"&lt;="&amp;MIN(O$7+4,$K108))*$H108/$G108)))</x:f>
        <x:v>0</x:v>
      </x:c>
      <x:c r="P108" s="45" t="n">
        <x:f>IF(OR($J108="",$K108=""),"",IF(SUMIFS(Calendar!$C$16:$C$141,Calendar!$A$16:$A$141,"&gt;="&amp;MAX(P$7,$J108),Calendar!$A$16:$A$141,"&lt;="&amp;MIN(P$7+4,$K108))=0,0,IF($H108="","EXT",SUMIFS(Calendar!$C$16:$C$141,Calendar!$A$16:$A$141,"&gt;="&amp;MAX(P$7,$J108),Calendar!$A$16:$A$141,"&lt;="&amp;MIN(P$7+4,$K108))*$H108/$G108)))</x:f>
        <x:v>0</x:v>
      </x:c>
      <x:c r="Q108" s="45" t="n">
        <x:f>IF(OR($J108="",$K108=""),"",IF(SUMIFS(Calendar!$C$16:$C$141,Calendar!$A$16:$A$141,"&gt;="&amp;MAX(Q$7,$J108),Calendar!$A$16:$A$141,"&lt;="&amp;MIN(Q$7+4,$K108))=0,0,IF($H108="","EXT",SUMIFS(Calendar!$C$16:$C$141,Calendar!$A$16:$A$141,"&gt;="&amp;MAX(Q$7,$J108),Calendar!$A$16:$A$141,"&lt;="&amp;MIN(Q$7+4,$K108))*$H108/$G108)))</x:f>
        <x:v>0</x:v>
      </x:c>
      <x:c r="R108" s="45" t="n">
        <x:f>IF(OR($J108="",$K108=""),"",IF(SUMIFS(Calendar!$C$16:$C$141,Calendar!$A$16:$A$141,"&gt;="&amp;MAX(R$7,$J108),Calendar!$A$16:$A$141,"&lt;="&amp;MIN(R$7+4,$K108))=0,0,IF($H108="","EXT",SUMIFS(Calendar!$C$16:$C$141,Calendar!$A$16:$A$141,"&gt;="&amp;MAX(R$7,$J108),Calendar!$A$16:$A$141,"&lt;="&amp;MIN(R$7+4,$K108))*$H108/$G108)))</x:f>
        <x:v>0</x:v>
      </x:c>
      <x:c r="S108" s="45" t="n">
        <x:f>IF(OR($J108="",$K108=""),"",IF(SUMIFS(Calendar!$C$16:$C$141,Calendar!$A$16:$A$141,"&gt;="&amp;MAX(S$7,$J108),Calendar!$A$16:$A$141,"&lt;="&amp;MIN(S$7+4,$K108))=0,0,IF($H108="","EXT",SUMIFS(Calendar!$C$16:$C$141,Calendar!$A$16:$A$141,"&gt;="&amp;MAX(S$7,$J108),Calendar!$A$16:$A$141,"&lt;="&amp;MIN(S$7+4,$K108))*$H108/$G108)))</x:f>
        <x:v>0</x:v>
      </x:c>
      <x:c r="T108" s="45" t="n">
        <x:f>IF(OR($J108="",$K108=""),"",IF(SUMIFS(Calendar!$C$16:$C$141,Calendar!$A$16:$A$141,"&gt;="&amp;MAX(T$7,$J108),Calendar!$A$16:$A$141,"&lt;="&amp;MIN(T$7+4,$K108))=0,0,IF($H108="","EXT",SUMIFS(Calendar!$C$16:$C$141,Calendar!$A$16:$A$141,"&gt;="&amp;MAX(T$7,$J108),Calendar!$A$16:$A$141,"&lt;="&amp;MIN(T$7+4,$K108))*$H108/$G108)))</x:f>
        <x:v>0</x:v>
      </x:c>
      <x:c r="U108" s="45" t="n">
        <x:f>IF(OR($J108="",$K108=""),"",IF(SUMIFS(Calendar!$C$16:$C$141,Calendar!$A$16:$A$141,"&gt;="&amp;MAX(U$7,$J108),Calendar!$A$16:$A$141,"&lt;="&amp;MIN(U$7+4,$K108))=0,0,IF($H108="","EXT",SUMIFS(Calendar!$C$16:$C$141,Calendar!$A$16:$A$141,"&gt;="&amp;MAX(U$7,$J108),Calendar!$A$16:$A$141,"&lt;="&amp;MIN(U$7+4,$K108))*$H108/$G108)))</x:f>
        <x:v>0</x:v>
      </x:c>
      <x:c r="V108" s="45" t="n">
        <x:f>IF(OR($J108="",$K108=""),"",IF(SUMIFS(Calendar!$C$16:$C$141,Calendar!$A$16:$A$141,"&gt;="&amp;MAX(V$7,$J108),Calendar!$A$16:$A$141,"&lt;="&amp;MIN(V$7+4,$K108))=0,0,IF($H108="","EXT",SUMIFS(Calendar!$C$16:$C$141,Calendar!$A$16:$A$141,"&gt;="&amp;MAX(V$7,$J108),Calendar!$A$16:$A$141,"&lt;="&amp;MIN(V$7+4,$K108))*$H108/$G108)))</x:f>
        <x:v>0</x:v>
      </x:c>
      <x:c r="W108" s="45" t="n">
        <x:f>IF(OR($J108="",$K108=""),"",IF(SUMIFS(Calendar!$C$16:$C$141,Calendar!$A$16:$A$141,"&gt;="&amp;MAX(W$7,$J108),Calendar!$A$16:$A$141,"&lt;="&amp;MIN(W$7+4,$K108))=0,0,IF($H108="","EXT",SUMIFS(Calendar!$C$16:$C$141,Calendar!$A$16:$A$141,"&gt;="&amp;MAX(W$7,$J108),Calendar!$A$16:$A$141,"&lt;="&amp;MIN(W$7+4,$K108))*$H108/$G108)))</x:f>
        <x:v>0</x:v>
      </x:c>
      <x:c r="X108" s="45" t="n">
        <x:f>IF(OR($J108="",$K108=""),"",IF(SUMIFS(Calendar!$C$16:$C$141,Calendar!$A$16:$A$141,"&gt;="&amp;MAX(X$7,$J108),Calendar!$A$16:$A$141,"&lt;="&amp;MIN(X$7+4,$K108))=0,0,IF($H108="","EXT",SUMIFS(Calendar!$C$16:$C$141,Calendar!$A$16:$A$141,"&gt;="&amp;MAX(X$7,$J108),Calendar!$A$16:$A$141,"&lt;="&amp;MIN(X$7+4,$K108))*$H108/$G108)))</x:f>
        <x:v>0</x:v>
      </x:c>
      <x:c r="Y108" s="45" t="n">
        <x:f>IF(OR($J108="",$K108=""),"",IF(SUMIFS(Calendar!$C$16:$C$141,Calendar!$A$16:$A$141,"&gt;="&amp;MAX(Y$7,$J108),Calendar!$A$16:$A$141,"&lt;="&amp;MIN(Y$7+4,$K108))=0,0,IF($H108="","EXT",SUMIFS(Calendar!$C$16:$C$141,Calendar!$A$16:$A$141,"&gt;="&amp;MAX(Y$7,$J108),Calendar!$A$16:$A$141,"&lt;="&amp;MIN(Y$7+4,$K108))*$H108/$G108)))</x:f>
        <x:v>0</x:v>
      </x:c>
      <x:c r="Z108" s="45" t="n">
        <x:f>IF(OR($J108="",$K108=""),"",IF(SUMIFS(Calendar!$C$16:$C$141,Calendar!$A$16:$A$141,"&gt;="&amp;MAX(Z$7,$J108),Calendar!$A$16:$A$141,"&lt;="&amp;MIN(Z$7+4,$K108))=0,0,IF($H108="","EXT",SUMIFS(Calendar!$C$16:$C$141,Calendar!$A$16:$A$141,"&gt;="&amp;MAX(Z$7,$J108),Calendar!$A$16:$A$141,"&lt;="&amp;MIN(Z$7+4,$K108))*$H108/$G108)))</x:f>
        <x:v>0</x:v>
      </x:c>
      <x:c r="AA108" s="45" t="n">
        <x:f>IF(OR($J108="",$K108=""),"",IF(SUMIFS(Calendar!$C$16:$C$141,Calendar!$A$16:$A$141,"&gt;="&amp;MAX(AA$7,$J108),Calendar!$A$16:$A$141,"&lt;="&amp;MIN(AA$7+4,$K108))=0,0,IF($H108="","EXT",SUMIFS(Calendar!$C$16:$C$141,Calendar!$A$16:$A$141,"&gt;="&amp;MAX(AA$7,$J108),Calendar!$A$16:$A$141,"&lt;="&amp;MIN(AA$7+4,$K108))*$H108/$G108)))</x:f>
        <x:v>0</x:v>
      </x:c>
      <x:c r="AB108" s="45" t="n">
        <x:f>IF(OR($J108="",$K108=""),"",IF(SUMIFS(Calendar!$C$16:$C$141,Calendar!$A$16:$A$141,"&gt;="&amp;MAX(AB$7,$J108),Calendar!$A$16:$A$141,"&lt;="&amp;MIN(AB$7+4,$K108))=0,0,IF($H108="","EXT",SUMIFS(Calendar!$C$16:$C$141,Calendar!$A$16:$A$141,"&gt;="&amp;MAX(AB$7,$J108),Calendar!$A$16:$A$141,"&lt;="&amp;MIN(AB$7+4,$K108))*$H108/$G108)))</x:f>
        <x:v>0</x:v>
      </x:c>
      <x:c r="AC108" s="45" t="n">
        <x:f>IF(OR($J108="",$K108=""),"",IF(SUMIFS(Calendar!$C$16:$C$141,Calendar!$A$16:$A$141,"&gt;="&amp;MAX(AC$7,$J108),Calendar!$A$16:$A$141,"&lt;="&amp;MIN(AC$7+4,$K108))=0,0,IF($H108="","EXT",SUMIFS(Calendar!$C$16:$C$141,Calendar!$A$16:$A$141,"&gt;="&amp;MAX(AC$7,$J108),Calendar!$A$16:$A$141,"&lt;="&amp;MIN(AC$7+4,$K108))*$H108/$G108)))</x:f>
        <x:v>4</x:v>
      </x:c>
      <x:c r="AD108" s="45" t="n">
        <x:f>IF(OR($J108="",$K108=""),"",IF(SUMIFS(Calendar!$C$16:$C$141,Calendar!$A$16:$A$141,"&gt;="&amp;MAX(AD$7,$J108),Calendar!$A$16:$A$141,"&lt;="&amp;MIN(AD$7+4,$K108))=0,0,IF($H108="","EXT",SUMIFS(Calendar!$C$16:$C$141,Calendar!$A$16:$A$141,"&gt;="&amp;MAX(AD$7,$J108),Calendar!$A$16:$A$141,"&lt;="&amp;MIN(AD$7+4,$K108))*$H108/$G108)))</x:f>
        <x:v>0</x:v>
      </x:c>
      <x:c r="AE108" s="45" t="n">
        <x:f>IF(OR($J108="",$K108=""),"",IF(SUMIFS(Calendar!$C$16:$C$141,Calendar!$A$16:$A$141,"&gt;="&amp;MAX(AE$7,$J108),Calendar!$A$16:$A$141,"&lt;="&amp;MIN(AE$7+4,$K108))=0,0,IF($H108="","EXT",SUMIFS(Calendar!$C$16:$C$141,Calendar!$A$16:$A$141,"&gt;="&amp;MAX(AE$7,$J108),Calendar!$A$16:$A$141,"&lt;="&amp;MIN(AE$7+4,$K108))*$H108/$G108)))</x:f>
        <x:v>0</x:v>
      </x:c>
      <x:c r="AF108" s="8" t="n">
        <x:f>IF(OR(M108&lt;&gt;"Scheduled",INDEX('Team and Gates'!$C$7:$C$13,MATCH($D108,'Team and Gates'!$A$7:$A$13,0))=""),"CHECK",SUM(N108:AE108)*INDEX('Team and Gates'!$C$7:$C$13,MATCH($D108,'Team and Gates'!$A$7:$A$13,0)))</x:f>
        <x:v>1440</x:v>
      </x:c>
      <x:c r="AG108" s="46" t="str">
        <x:v>Pilot AMs execute first-week UAT scenarios; defects and affected regression/AI retests are recorded for final acceptance on Feb 24. Retest AI scenario quality against FSD criteria for each changed candidate; AMs provide business acceptance.</x:v>
      </x:c>
      <x:c r="AH108" s="46" t="str"/>
    </x:row>
    <x:row r="109" ht="45" customHeight="1">
      <x:c r="A109" s="39" t="str">
        <x:v>U17</x:v>
      </x:c>
      <x:c r="B109" s="39" t="str">
        <x:v>Business QA</x:v>
      </x:c>
      <x:c r="C109" s="47" t="str">
        <x:v>Final AM UAT execution, defect retests and acceptance evidence</x:v>
      </x:c>
      <x:c r="D109" s="34" t="str">
        <x:v>Tester 2</x:v>
      </x:c>
      <x:c r="E109" s="47" t="str">
        <x:v>U16, Q16</x:v>
      </x:c>
      <x:c r="F109" s="50" t="n">
        <x:v>73</x:v>
      </x:c>
      <x:c r="G109" s="50" t="n">
        <x:v>3</x:v>
      </x:c>
      <x:c r="H109" s="51" t="n">
        <x:v>2.4</x:v>
      </x:c>
      <x:c r="I109" s="39" t="n">
        <x:f>IF(OR(F109="",G109=""),"",F109+G109-1)</x:f>
        <x:v>75</x:v>
      </x:c>
      <x:c r="J109" s="41" t="n">
        <x:f>IF(OR(F109="",F109&lt;1,F109&gt;Calendar!$B$9),"",INDEX(Calendar!$A$16:$A$141,MATCH(F109,Calendar!$D$16:$D$141,0)))</x:f>
        <x:v>46440</x:v>
      </x:c>
      <x:c r="K109" s="41" t="n">
        <x:f>IF(OR(I109="",I109&lt;1,I109&gt;Calendar!$B$9),"",INDEX(Calendar!$A$16:$A$141,MATCH(I109,Calendar!$D$16:$D$141,0)))</x:f>
        <x:v>46442</x:v>
      </x:c>
      <x:c r="L109" s="53" t="n">
        <x:v>0</x:v>
      </x:c>
      <x:c r="M109" s="39" t="str">
        <x:f>IF(OR(F109="",G109="",H109=""),"Missing input",IF(OR(F109&lt;1,G109&lt;1,I109&gt;Calendar!$B$9),"Outside calendar",IF(F109&lt;MAX(INDEX($I$8:$I$157,MATCH("U16",$A$8:$A$157,0))+1,INDEX($I$8:$I$157,MATCH("Q16",$A$8:$A$157,0))+1),"Dependency conflict","Scheduled")))</x:f>
        <x:v>Scheduled</x:v>
      </x:c>
      <x:c r="N109" s="45" t="n">
        <x:f>IF(OR($J109="",$K109=""),"",IF(SUMIFS(Calendar!$C$16:$C$141,Calendar!$A$16:$A$141,"&gt;="&amp;MAX(N$7,$J109),Calendar!$A$16:$A$141,"&lt;="&amp;MIN(N$7+4,$K109))=0,0,IF($H109="","EXT",SUMIFS(Calendar!$C$16:$C$141,Calendar!$A$16:$A$141,"&gt;="&amp;MAX(N$7,$J109),Calendar!$A$16:$A$141,"&lt;="&amp;MIN(N$7+4,$K109))*$H109/$G109)))</x:f>
        <x:v>0</x:v>
      </x:c>
      <x:c r="O109" s="45" t="n">
        <x:f>IF(OR($J109="",$K109=""),"",IF(SUMIFS(Calendar!$C$16:$C$141,Calendar!$A$16:$A$141,"&gt;="&amp;MAX(O$7,$J109),Calendar!$A$16:$A$141,"&lt;="&amp;MIN(O$7+4,$K109))=0,0,IF($H109="","EXT",SUMIFS(Calendar!$C$16:$C$141,Calendar!$A$16:$A$141,"&gt;="&amp;MAX(O$7,$J109),Calendar!$A$16:$A$141,"&lt;="&amp;MIN(O$7+4,$K109))*$H109/$G109)))</x:f>
        <x:v>0</x:v>
      </x:c>
      <x:c r="P109" s="45" t="n">
        <x:f>IF(OR($J109="",$K109=""),"",IF(SUMIFS(Calendar!$C$16:$C$141,Calendar!$A$16:$A$141,"&gt;="&amp;MAX(P$7,$J109),Calendar!$A$16:$A$141,"&lt;="&amp;MIN(P$7+4,$K109))=0,0,IF($H109="","EXT",SUMIFS(Calendar!$C$16:$C$141,Calendar!$A$16:$A$141,"&gt;="&amp;MAX(P$7,$J109),Calendar!$A$16:$A$141,"&lt;="&amp;MIN(P$7+4,$K109))*$H109/$G109)))</x:f>
        <x:v>0</x:v>
      </x:c>
      <x:c r="Q109" s="45" t="n">
        <x:f>IF(OR($J109="",$K109=""),"",IF(SUMIFS(Calendar!$C$16:$C$141,Calendar!$A$16:$A$141,"&gt;="&amp;MAX(Q$7,$J109),Calendar!$A$16:$A$141,"&lt;="&amp;MIN(Q$7+4,$K109))=0,0,IF($H109="","EXT",SUMIFS(Calendar!$C$16:$C$141,Calendar!$A$16:$A$141,"&gt;="&amp;MAX(Q$7,$J109),Calendar!$A$16:$A$141,"&lt;="&amp;MIN(Q$7+4,$K109))*$H109/$G109)))</x:f>
        <x:v>0</x:v>
      </x:c>
      <x:c r="R109" s="45" t="n">
        <x:f>IF(OR($J109="",$K109=""),"",IF(SUMIFS(Calendar!$C$16:$C$141,Calendar!$A$16:$A$141,"&gt;="&amp;MAX(R$7,$J109),Calendar!$A$16:$A$141,"&lt;="&amp;MIN(R$7+4,$K109))=0,0,IF($H109="","EXT",SUMIFS(Calendar!$C$16:$C$141,Calendar!$A$16:$A$141,"&gt;="&amp;MAX(R$7,$J109),Calendar!$A$16:$A$141,"&lt;="&amp;MIN(R$7+4,$K109))*$H109/$G109)))</x:f>
        <x:v>0</x:v>
      </x:c>
      <x:c r="S109" s="45" t="n">
        <x:f>IF(OR($J109="",$K109=""),"",IF(SUMIFS(Calendar!$C$16:$C$141,Calendar!$A$16:$A$141,"&gt;="&amp;MAX(S$7,$J109),Calendar!$A$16:$A$141,"&lt;="&amp;MIN(S$7+4,$K109))=0,0,IF($H109="","EXT",SUMIFS(Calendar!$C$16:$C$141,Calendar!$A$16:$A$141,"&gt;="&amp;MAX(S$7,$J109),Calendar!$A$16:$A$141,"&lt;="&amp;MIN(S$7+4,$K109))*$H109/$G109)))</x:f>
        <x:v>0</x:v>
      </x:c>
      <x:c r="T109" s="45" t="n">
        <x:f>IF(OR($J109="",$K109=""),"",IF(SUMIFS(Calendar!$C$16:$C$141,Calendar!$A$16:$A$141,"&gt;="&amp;MAX(T$7,$J109),Calendar!$A$16:$A$141,"&lt;="&amp;MIN(T$7+4,$K109))=0,0,IF($H109="","EXT",SUMIFS(Calendar!$C$16:$C$141,Calendar!$A$16:$A$141,"&gt;="&amp;MAX(T$7,$J109),Calendar!$A$16:$A$141,"&lt;="&amp;MIN(T$7+4,$K109))*$H109/$G109)))</x:f>
        <x:v>0</x:v>
      </x:c>
      <x:c r="U109" s="45" t="n">
        <x:f>IF(OR($J109="",$K109=""),"",IF(SUMIFS(Calendar!$C$16:$C$141,Calendar!$A$16:$A$141,"&gt;="&amp;MAX(U$7,$J109),Calendar!$A$16:$A$141,"&lt;="&amp;MIN(U$7+4,$K109))=0,0,IF($H109="","EXT",SUMIFS(Calendar!$C$16:$C$141,Calendar!$A$16:$A$141,"&gt;="&amp;MAX(U$7,$J109),Calendar!$A$16:$A$141,"&lt;="&amp;MIN(U$7+4,$K109))*$H109/$G109)))</x:f>
        <x:v>0</x:v>
      </x:c>
      <x:c r="V109" s="45" t="n">
        <x:f>IF(OR($J109="",$K109=""),"",IF(SUMIFS(Calendar!$C$16:$C$141,Calendar!$A$16:$A$141,"&gt;="&amp;MAX(V$7,$J109),Calendar!$A$16:$A$141,"&lt;="&amp;MIN(V$7+4,$K109))=0,0,IF($H109="","EXT",SUMIFS(Calendar!$C$16:$C$141,Calendar!$A$16:$A$141,"&gt;="&amp;MAX(V$7,$J109),Calendar!$A$16:$A$141,"&lt;="&amp;MIN(V$7+4,$K109))*$H109/$G109)))</x:f>
        <x:v>0</x:v>
      </x:c>
      <x:c r="W109" s="45" t="n">
        <x:f>IF(OR($J109="",$K109=""),"",IF(SUMIFS(Calendar!$C$16:$C$141,Calendar!$A$16:$A$141,"&gt;="&amp;MAX(W$7,$J109),Calendar!$A$16:$A$141,"&lt;="&amp;MIN(W$7+4,$K109))=0,0,IF($H109="","EXT",SUMIFS(Calendar!$C$16:$C$141,Calendar!$A$16:$A$141,"&gt;="&amp;MAX(W$7,$J109),Calendar!$A$16:$A$141,"&lt;="&amp;MIN(W$7+4,$K109))*$H109/$G109)))</x:f>
        <x:v>0</x:v>
      </x:c>
      <x:c r="X109" s="45" t="n">
        <x:f>IF(OR($J109="",$K109=""),"",IF(SUMIFS(Calendar!$C$16:$C$141,Calendar!$A$16:$A$141,"&gt;="&amp;MAX(X$7,$J109),Calendar!$A$16:$A$141,"&lt;="&amp;MIN(X$7+4,$K109))=0,0,IF($H109="","EXT",SUMIFS(Calendar!$C$16:$C$141,Calendar!$A$16:$A$141,"&gt;="&amp;MAX(X$7,$J109),Calendar!$A$16:$A$141,"&lt;="&amp;MIN(X$7+4,$K109))*$H109/$G109)))</x:f>
        <x:v>0</x:v>
      </x:c>
      <x:c r="Y109" s="45" t="n">
        <x:f>IF(OR($J109="",$K109=""),"",IF(SUMIFS(Calendar!$C$16:$C$141,Calendar!$A$16:$A$141,"&gt;="&amp;MAX(Y$7,$J109),Calendar!$A$16:$A$141,"&lt;="&amp;MIN(Y$7+4,$K109))=0,0,IF($H109="","EXT",SUMIFS(Calendar!$C$16:$C$141,Calendar!$A$16:$A$141,"&gt;="&amp;MAX(Y$7,$J109),Calendar!$A$16:$A$141,"&lt;="&amp;MIN(Y$7+4,$K109))*$H109/$G109)))</x:f>
        <x:v>0</x:v>
      </x:c>
      <x:c r="Z109" s="45" t="n">
        <x:f>IF(OR($J109="",$K109=""),"",IF(SUMIFS(Calendar!$C$16:$C$141,Calendar!$A$16:$A$141,"&gt;="&amp;MAX(Z$7,$J109),Calendar!$A$16:$A$141,"&lt;="&amp;MIN(Z$7+4,$K109))=0,0,IF($H109="","EXT",SUMIFS(Calendar!$C$16:$C$141,Calendar!$A$16:$A$141,"&gt;="&amp;MAX(Z$7,$J109),Calendar!$A$16:$A$141,"&lt;="&amp;MIN(Z$7+4,$K109))*$H109/$G109)))</x:f>
        <x:v>0</x:v>
      </x:c>
      <x:c r="AA109" s="45" t="n">
        <x:f>IF(OR($J109="",$K109=""),"",IF(SUMIFS(Calendar!$C$16:$C$141,Calendar!$A$16:$A$141,"&gt;="&amp;MAX(AA$7,$J109),Calendar!$A$16:$A$141,"&lt;="&amp;MIN(AA$7+4,$K109))=0,0,IF($H109="","EXT",SUMIFS(Calendar!$C$16:$C$141,Calendar!$A$16:$A$141,"&gt;="&amp;MAX(AA$7,$J109),Calendar!$A$16:$A$141,"&lt;="&amp;MIN(AA$7+4,$K109))*$H109/$G109)))</x:f>
        <x:v>0</x:v>
      </x:c>
      <x:c r="AB109" s="45" t="n">
        <x:f>IF(OR($J109="",$K109=""),"",IF(SUMIFS(Calendar!$C$16:$C$141,Calendar!$A$16:$A$141,"&gt;="&amp;MAX(AB$7,$J109),Calendar!$A$16:$A$141,"&lt;="&amp;MIN(AB$7+4,$K109))=0,0,IF($H109="","EXT",SUMIFS(Calendar!$C$16:$C$141,Calendar!$A$16:$A$141,"&gt;="&amp;MAX(AB$7,$J109),Calendar!$A$16:$A$141,"&lt;="&amp;MIN(AB$7+4,$K109))*$H109/$G109)))</x:f>
        <x:v>0</x:v>
      </x:c>
      <x:c r="AC109" s="45" t="n">
        <x:f>IF(OR($J109="",$K109=""),"",IF(SUMIFS(Calendar!$C$16:$C$141,Calendar!$A$16:$A$141,"&gt;="&amp;MAX(AC$7,$J109),Calendar!$A$16:$A$141,"&lt;="&amp;MIN(AC$7+4,$K109))=0,0,IF($H109="","EXT",SUMIFS(Calendar!$C$16:$C$141,Calendar!$A$16:$A$141,"&gt;="&amp;MAX(AC$7,$J109),Calendar!$A$16:$A$141,"&lt;="&amp;MIN(AC$7+4,$K109))*$H109/$G109)))</x:f>
        <x:v>0</x:v>
      </x:c>
      <x:c r="AD109" s="45" t="n">
        <x:f>IF(OR($J109="",$K109=""),"",IF(SUMIFS(Calendar!$C$16:$C$141,Calendar!$A$16:$A$141,"&gt;="&amp;MAX(AD$7,$J109),Calendar!$A$16:$A$141,"&lt;="&amp;MIN(AD$7+4,$K109))=0,0,IF($H109="","EXT",SUMIFS(Calendar!$C$16:$C$141,Calendar!$A$16:$A$141,"&gt;="&amp;MAX(AD$7,$J109),Calendar!$A$16:$A$141,"&lt;="&amp;MIN(AD$7+4,$K109))*$H109/$G109)))</x:f>
        <x:v>2.4</x:v>
      </x:c>
      <x:c r="AE109" s="45" t="n">
        <x:f>IF(OR($J109="",$K109=""),"",IF(SUMIFS(Calendar!$C$16:$C$141,Calendar!$A$16:$A$141,"&gt;="&amp;MAX(AE$7,$J109),Calendar!$A$16:$A$141,"&lt;="&amp;MIN(AE$7+4,$K109))=0,0,IF($H109="","EXT",SUMIFS(Calendar!$C$16:$C$141,Calendar!$A$16:$A$141,"&gt;="&amp;MAX(AE$7,$J109),Calendar!$A$16:$A$141,"&lt;="&amp;MIN(AE$7+4,$K109))*$H109/$G109)))</x:f>
        <x:v>0</x:v>
      </x:c>
      <x:c r="AF109" s="8" t="n">
        <x:f>IF(OR(M109&lt;&gt;"Scheduled",INDEX('Team and Gates'!$C$7:$C$13,MATCH($D109,'Team and Gates'!$A$7:$A$13,0))=""),"CHECK",SUM(N109:AE109)*INDEX('Team and Gates'!$C$7:$C$13,MATCH($D109,'Team and Gates'!$A$7:$A$13,0)))</x:f>
        <x:v>864</x:v>
      </x:c>
      <x:c r="AG109" s="46" t="str">
        <x:v>Final UAT evidence, controlled defect retests and business-owner approval are recorded by Feb 24. Retest AI scenario quality against FSD criteria for each changed candidate; AMs provide business acceptance.</x:v>
      </x:c>
      <x:c r="AH109" s="46" t="str"/>
    </x:row>
    <x:row r="110" ht="45" customHeight="1">
      <x:c r="A110" s="2" t="str">
        <x:v>U-GATE</x:v>
      </x:c>
      <x:c r="B110" s="2" t="str">
        <x:v>Business QA</x:v>
      </x:c>
      <x:c r="C110" s="46" t="str">
        <x:v>Feb 25 release readiness and Go/No-Go checks</x:v>
      </x:c>
      <x:c r="D110" s="34" t="str">
        <x:v>Tester 2</x:v>
      </x:c>
      <x:c r="E110" s="46" t="str">
        <x:v>U17, BA17, Q17</x:v>
      </x:c>
      <x:c r="F110" s="50" t="n">
        <x:v>76</x:v>
      </x:c>
      <x:c r="G110" s="50" t="n">
        <x:v>1</x:v>
      </x:c>
      <x:c r="H110" s="51" t="n">
        <x:v>0.8</x:v>
      </x:c>
      <x:c r="I110" s="2" t="n">
        <x:f>IF(OR(F110="",G110=""),"",F110+G110-1)</x:f>
        <x:v>76</x:v>
      </x:c>
      <x:c r="J110" s="5" t="n">
        <x:f>IF(OR(F110="",F110&lt;1,F110&gt;Calendar!$B$9),"",INDEX(Calendar!$A$16:$A$141,MATCH(F110,Calendar!$D$16:$D$141,0)))</x:f>
        <x:v>46443</x:v>
      </x:c>
      <x:c r="K110" s="5" t="n">
        <x:f>IF(OR(I110="",I110&lt;1,I110&gt;Calendar!$B$9),"",INDEX(Calendar!$A$16:$A$141,MATCH(I110,Calendar!$D$16:$D$141,0)))</x:f>
        <x:v>46443</x:v>
      </x:c>
      <x:c r="L110" s="53" t="n">
        <x:v>0</x:v>
      </x:c>
      <x:c r="M110" s="2" t="str">
        <x:f>IF(OR(F110="",G110="",H110=""),"Missing input",IF(OR(F110&lt;1,G110&lt;1,I110&gt;Calendar!$B$9),"Outside calendar",IF(F110&lt;MAX(INDEX($I$8:$I$157,MATCH("U17",$A$8:$A$157,0))+1,INDEX($I$8:$I$157,MATCH("BA17",$A$8:$A$157,0))+1,INDEX($I$8:$I$157,MATCH("Q17",$A$8:$A$157,0))+1),"Dependency conflict","Scheduled")))</x:f>
        <x:v>Scheduled</x:v>
      </x:c>
      <x:c r="N110" s="45" t="n">
        <x:f>IF(OR($J110="",$K110=""),"",IF(SUMIFS(Calendar!$C$16:$C$141,Calendar!$A$16:$A$141,"&gt;="&amp;MAX(N$7,$J110),Calendar!$A$16:$A$141,"&lt;="&amp;MIN(N$7+4,$K110))=0,0,IF($H110="","EXT",SUMIFS(Calendar!$C$16:$C$141,Calendar!$A$16:$A$141,"&gt;="&amp;MAX(N$7,$J110),Calendar!$A$16:$A$141,"&lt;="&amp;MIN(N$7+4,$K110))*$H110/$G110)))</x:f>
        <x:v>0</x:v>
      </x:c>
      <x:c r="O110" s="45" t="n">
        <x:f>IF(OR($J110="",$K110=""),"",IF(SUMIFS(Calendar!$C$16:$C$141,Calendar!$A$16:$A$141,"&gt;="&amp;MAX(O$7,$J110),Calendar!$A$16:$A$141,"&lt;="&amp;MIN(O$7+4,$K110))=0,0,IF($H110="","EXT",SUMIFS(Calendar!$C$16:$C$141,Calendar!$A$16:$A$141,"&gt;="&amp;MAX(O$7,$J110),Calendar!$A$16:$A$141,"&lt;="&amp;MIN(O$7+4,$K110))*$H110/$G110)))</x:f>
        <x:v>0</x:v>
      </x:c>
      <x:c r="P110" s="45" t="n">
        <x:f>IF(OR($J110="",$K110=""),"",IF(SUMIFS(Calendar!$C$16:$C$141,Calendar!$A$16:$A$141,"&gt;="&amp;MAX(P$7,$J110),Calendar!$A$16:$A$141,"&lt;="&amp;MIN(P$7+4,$K110))=0,0,IF($H110="","EXT",SUMIFS(Calendar!$C$16:$C$141,Calendar!$A$16:$A$141,"&gt;="&amp;MAX(P$7,$J110),Calendar!$A$16:$A$141,"&lt;="&amp;MIN(P$7+4,$K110))*$H110/$G110)))</x:f>
        <x:v>0</x:v>
      </x:c>
      <x:c r="Q110" s="45" t="n">
        <x:f>IF(OR($J110="",$K110=""),"",IF(SUMIFS(Calendar!$C$16:$C$141,Calendar!$A$16:$A$141,"&gt;="&amp;MAX(Q$7,$J110),Calendar!$A$16:$A$141,"&lt;="&amp;MIN(Q$7+4,$K110))=0,0,IF($H110="","EXT",SUMIFS(Calendar!$C$16:$C$141,Calendar!$A$16:$A$141,"&gt;="&amp;MAX(Q$7,$J110),Calendar!$A$16:$A$141,"&lt;="&amp;MIN(Q$7+4,$K110))*$H110/$G110)))</x:f>
        <x:v>0</x:v>
      </x:c>
      <x:c r="R110" s="45" t="n">
        <x:f>IF(OR($J110="",$K110=""),"",IF(SUMIFS(Calendar!$C$16:$C$141,Calendar!$A$16:$A$141,"&gt;="&amp;MAX(R$7,$J110),Calendar!$A$16:$A$141,"&lt;="&amp;MIN(R$7+4,$K110))=0,0,IF($H110="","EXT",SUMIFS(Calendar!$C$16:$C$141,Calendar!$A$16:$A$141,"&gt;="&amp;MAX(R$7,$J110),Calendar!$A$16:$A$141,"&lt;="&amp;MIN(R$7+4,$K110))*$H110/$G110)))</x:f>
        <x:v>0</x:v>
      </x:c>
      <x:c r="S110" s="45" t="n">
        <x:f>IF(OR($J110="",$K110=""),"",IF(SUMIFS(Calendar!$C$16:$C$141,Calendar!$A$16:$A$141,"&gt;="&amp;MAX(S$7,$J110),Calendar!$A$16:$A$141,"&lt;="&amp;MIN(S$7+4,$K110))=0,0,IF($H110="","EXT",SUMIFS(Calendar!$C$16:$C$141,Calendar!$A$16:$A$141,"&gt;="&amp;MAX(S$7,$J110),Calendar!$A$16:$A$141,"&lt;="&amp;MIN(S$7+4,$K110))*$H110/$G110)))</x:f>
        <x:v>0</x:v>
      </x:c>
      <x:c r="T110" s="45" t="n">
        <x:f>IF(OR($J110="",$K110=""),"",IF(SUMIFS(Calendar!$C$16:$C$141,Calendar!$A$16:$A$141,"&gt;="&amp;MAX(T$7,$J110),Calendar!$A$16:$A$141,"&lt;="&amp;MIN(T$7+4,$K110))=0,0,IF($H110="","EXT",SUMIFS(Calendar!$C$16:$C$141,Calendar!$A$16:$A$141,"&gt;="&amp;MAX(T$7,$J110),Calendar!$A$16:$A$141,"&lt;="&amp;MIN(T$7+4,$K110))*$H110/$G110)))</x:f>
        <x:v>0</x:v>
      </x:c>
      <x:c r="U110" s="45" t="n">
        <x:f>IF(OR($J110="",$K110=""),"",IF(SUMIFS(Calendar!$C$16:$C$141,Calendar!$A$16:$A$141,"&gt;="&amp;MAX(U$7,$J110),Calendar!$A$16:$A$141,"&lt;="&amp;MIN(U$7+4,$K110))=0,0,IF($H110="","EXT",SUMIFS(Calendar!$C$16:$C$141,Calendar!$A$16:$A$141,"&gt;="&amp;MAX(U$7,$J110),Calendar!$A$16:$A$141,"&lt;="&amp;MIN(U$7+4,$K110))*$H110/$G110)))</x:f>
        <x:v>0</x:v>
      </x:c>
      <x:c r="V110" s="45" t="n">
        <x:f>IF(OR($J110="",$K110=""),"",IF(SUMIFS(Calendar!$C$16:$C$141,Calendar!$A$16:$A$141,"&gt;="&amp;MAX(V$7,$J110),Calendar!$A$16:$A$141,"&lt;="&amp;MIN(V$7+4,$K110))=0,0,IF($H110="","EXT",SUMIFS(Calendar!$C$16:$C$141,Calendar!$A$16:$A$141,"&gt;="&amp;MAX(V$7,$J110),Calendar!$A$16:$A$141,"&lt;="&amp;MIN(V$7+4,$K110))*$H110/$G110)))</x:f>
        <x:v>0</x:v>
      </x:c>
      <x:c r="W110" s="45" t="n">
        <x:f>IF(OR($J110="",$K110=""),"",IF(SUMIFS(Calendar!$C$16:$C$141,Calendar!$A$16:$A$141,"&gt;="&amp;MAX(W$7,$J110),Calendar!$A$16:$A$141,"&lt;="&amp;MIN(W$7+4,$K110))=0,0,IF($H110="","EXT",SUMIFS(Calendar!$C$16:$C$141,Calendar!$A$16:$A$141,"&gt;="&amp;MAX(W$7,$J110),Calendar!$A$16:$A$141,"&lt;="&amp;MIN(W$7+4,$K110))*$H110/$G110)))</x:f>
        <x:v>0</x:v>
      </x:c>
      <x:c r="X110" s="45" t="n">
        <x:f>IF(OR($J110="",$K110=""),"",IF(SUMIFS(Calendar!$C$16:$C$141,Calendar!$A$16:$A$141,"&gt;="&amp;MAX(X$7,$J110),Calendar!$A$16:$A$141,"&lt;="&amp;MIN(X$7+4,$K110))=0,0,IF($H110="","EXT",SUMIFS(Calendar!$C$16:$C$141,Calendar!$A$16:$A$141,"&gt;="&amp;MAX(X$7,$J110),Calendar!$A$16:$A$141,"&lt;="&amp;MIN(X$7+4,$K110))*$H110/$G110)))</x:f>
        <x:v>0</x:v>
      </x:c>
      <x:c r="Y110" s="45" t="n">
        <x:f>IF(OR($J110="",$K110=""),"",IF(SUMIFS(Calendar!$C$16:$C$141,Calendar!$A$16:$A$141,"&gt;="&amp;MAX(Y$7,$J110),Calendar!$A$16:$A$141,"&lt;="&amp;MIN(Y$7+4,$K110))=0,0,IF($H110="","EXT",SUMIFS(Calendar!$C$16:$C$141,Calendar!$A$16:$A$141,"&gt;="&amp;MAX(Y$7,$J110),Calendar!$A$16:$A$141,"&lt;="&amp;MIN(Y$7+4,$K110))*$H110/$G110)))</x:f>
        <x:v>0</x:v>
      </x:c>
      <x:c r="Z110" s="45" t="n">
        <x:f>IF(OR($J110="",$K110=""),"",IF(SUMIFS(Calendar!$C$16:$C$141,Calendar!$A$16:$A$141,"&gt;="&amp;MAX(Z$7,$J110),Calendar!$A$16:$A$141,"&lt;="&amp;MIN(Z$7+4,$K110))=0,0,IF($H110="","EXT",SUMIFS(Calendar!$C$16:$C$141,Calendar!$A$16:$A$141,"&gt;="&amp;MAX(Z$7,$J110),Calendar!$A$16:$A$141,"&lt;="&amp;MIN(Z$7+4,$K110))*$H110/$G110)))</x:f>
        <x:v>0</x:v>
      </x:c>
      <x:c r="AA110" s="45" t="n">
        <x:f>IF(OR($J110="",$K110=""),"",IF(SUMIFS(Calendar!$C$16:$C$141,Calendar!$A$16:$A$141,"&gt;="&amp;MAX(AA$7,$J110),Calendar!$A$16:$A$141,"&lt;="&amp;MIN(AA$7+4,$K110))=0,0,IF($H110="","EXT",SUMIFS(Calendar!$C$16:$C$141,Calendar!$A$16:$A$141,"&gt;="&amp;MAX(AA$7,$J110),Calendar!$A$16:$A$141,"&lt;="&amp;MIN(AA$7+4,$K110))*$H110/$G110)))</x:f>
        <x:v>0</x:v>
      </x:c>
      <x:c r="AB110" s="45" t="n">
        <x:f>IF(OR($J110="",$K110=""),"",IF(SUMIFS(Calendar!$C$16:$C$141,Calendar!$A$16:$A$141,"&gt;="&amp;MAX(AB$7,$J110),Calendar!$A$16:$A$141,"&lt;="&amp;MIN(AB$7+4,$K110))=0,0,IF($H110="","EXT",SUMIFS(Calendar!$C$16:$C$141,Calendar!$A$16:$A$141,"&gt;="&amp;MAX(AB$7,$J110),Calendar!$A$16:$A$141,"&lt;="&amp;MIN(AB$7+4,$K110))*$H110/$G110)))</x:f>
        <x:v>0</x:v>
      </x:c>
      <x:c r="AC110" s="45" t="n">
        <x:f>IF(OR($J110="",$K110=""),"",IF(SUMIFS(Calendar!$C$16:$C$141,Calendar!$A$16:$A$141,"&gt;="&amp;MAX(AC$7,$J110),Calendar!$A$16:$A$141,"&lt;="&amp;MIN(AC$7+4,$K110))=0,0,IF($H110="","EXT",SUMIFS(Calendar!$C$16:$C$141,Calendar!$A$16:$A$141,"&gt;="&amp;MAX(AC$7,$J110),Calendar!$A$16:$A$141,"&lt;="&amp;MIN(AC$7+4,$K110))*$H110/$G110)))</x:f>
        <x:v>0</x:v>
      </x:c>
      <x:c r="AD110" s="45" t="n">
        <x:f>IF(OR($J110="",$K110=""),"",IF(SUMIFS(Calendar!$C$16:$C$141,Calendar!$A$16:$A$141,"&gt;="&amp;MAX(AD$7,$J110),Calendar!$A$16:$A$141,"&lt;="&amp;MIN(AD$7+4,$K110))=0,0,IF($H110="","EXT",SUMIFS(Calendar!$C$16:$C$141,Calendar!$A$16:$A$141,"&gt;="&amp;MAX(AD$7,$J110),Calendar!$A$16:$A$141,"&lt;="&amp;MIN(AD$7+4,$K110))*$H110/$G110)))</x:f>
        <x:v>0.8</x:v>
      </x:c>
      <x:c r="AE110" s="45" t="n">
        <x:f>IF(OR($J110="",$K110=""),"",IF(SUMIFS(Calendar!$C$16:$C$141,Calendar!$A$16:$A$141,"&gt;="&amp;MAX(AE$7,$J110),Calendar!$A$16:$A$141,"&lt;="&amp;MIN(AE$7+4,$K110))=0,0,IF($H110="","EXT",SUMIFS(Calendar!$C$16:$C$141,Calendar!$A$16:$A$141,"&gt;="&amp;MAX(AE$7,$J110),Calendar!$A$16:$A$141,"&lt;="&amp;MIN(AE$7+4,$K110))*$H110/$G110)))</x:f>
        <x:v>0</x:v>
      </x:c>
      <x:c r="AF110" s="8" t="n">
        <x:f>IF(OR(M110&lt;&gt;"Scheduled",INDEX('Team and Gates'!$C$7:$C$13,MATCH($D110,'Team and Gates'!$A$7:$A$13,0))=""),"CHECK",SUM(N110:AE110)*INDEX('Team and Gates'!$C$7:$C$13,MATCH($D110,'Team and Gates'!$A$7:$A$13,0)))</x:f>
        <x:v>288</x:v>
      </x:c>
      <x:c r="AG110" s="46" t="str">
        <x:v>Release owner, QA and business owner record Go decision after UAT signoff, blocking defect closure, production access and rollback checks.</x:v>
      </x:c>
      <x:c r="AH110" s="46" t="str">
        <x:v>Dedicated working day after Feb 24 UAT approval. Confirm staffed Friday rollout and weekend on-call/rollback coverage.</x:v>
      </x:c>
    </x:row>
    <x:row r="111" ht="45" customHeight="1">
      <x:c r="A111" s="39" t="str">
        <x:v>U-REL</x:v>
      </x:c>
      <x:c r="B111" s="39" t="str">
        <x:v>Business QA</x:v>
      </x:c>
      <x:c r="C111" s="47" t="str">
        <x:v>Feb 26 production rollout support and controlled validation</x:v>
      </x:c>
      <x:c r="D111" s="34" t="str">
        <x:v>Tester 2</x:v>
      </x:c>
      <x:c r="E111" s="47" t="str">
        <x:v>U-GATE, A-GATE, B-GATE, BA-GATE, Q-GATE</x:v>
      </x:c>
      <x:c r="F111" s="50" t="n">
        <x:v>77</x:v>
      </x:c>
      <x:c r="G111" s="50" t="n">
        <x:v>1</x:v>
      </x:c>
      <x:c r="H111" s="51" t="n">
        <x:v>0.8</x:v>
      </x:c>
      <x:c r="I111" s="39" t="n">
        <x:f>IF(OR(F111="",G111=""),"",F111+G111-1)</x:f>
        <x:v>77</x:v>
      </x:c>
      <x:c r="J111" s="41" t="n">
        <x:f>IF(OR(F111="",F111&lt;1,F111&gt;Calendar!$B$9),"",INDEX(Calendar!$A$16:$A$141,MATCH(F111,Calendar!$D$16:$D$141,0)))</x:f>
        <x:v>46444</x:v>
      </x:c>
      <x:c r="K111" s="41" t="n">
        <x:f>IF(OR(I111="",I111&lt;1,I111&gt;Calendar!$B$9),"",INDEX(Calendar!$A$16:$A$141,MATCH(I111,Calendar!$D$16:$D$141,0)))</x:f>
        <x:v>46444</x:v>
      </x:c>
      <x:c r="L111" s="53" t="n">
        <x:v>0</x:v>
      </x:c>
      <x:c r="M111" s="39" t="str">
        <x:f>IF(OR(F111="",G111="",H111=""),"Missing input",IF(OR(F111&lt;1,G111&lt;1,I111&gt;Calendar!$B$9),"Outside calendar",IF(F111&lt;MAX(INDEX($I$8:$I$157,MATCH("U-GATE",$A$8:$A$157,0))+1,INDEX($I$8:$I$157,MATCH("A-GATE",$A$8:$A$157,0))+1,INDEX($I$8:$I$157,MATCH("B-GATE",$A$8:$A$157,0))+1,INDEX($I$8:$I$157,MATCH("BA-GATE",$A$8:$A$157,0))+1,INDEX($I$8:$I$157,MATCH("Q-GATE",$A$8:$A$157,0))+1),"Dependency conflict","Scheduled")))</x:f>
        <x:v>Scheduled</x:v>
      </x:c>
      <x:c r="N111" s="45" t="n">
        <x:f>IF(OR($J111="",$K111=""),"",IF(SUMIFS(Calendar!$C$16:$C$141,Calendar!$A$16:$A$141,"&gt;="&amp;MAX(N$7,$J111),Calendar!$A$16:$A$141,"&lt;="&amp;MIN(N$7+4,$K111))=0,0,IF($H111="","EXT",SUMIFS(Calendar!$C$16:$C$141,Calendar!$A$16:$A$141,"&gt;="&amp;MAX(N$7,$J111),Calendar!$A$16:$A$141,"&lt;="&amp;MIN(N$7+4,$K111))*$H111/$G111)))</x:f>
        <x:v>0</x:v>
      </x:c>
      <x:c r="O111" s="45" t="n">
        <x:f>IF(OR($J111="",$K111=""),"",IF(SUMIFS(Calendar!$C$16:$C$141,Calendar!$A$16:$A$141,"&gt;="&amp;MAX(O$7,$J111),Calendar!$A$16:$A$141,"&lt;="&amp;MIN(O$7+4,$K111))=0,0,IF($H111="","EXT",SUMIFS(Calendar!$C$16:$C$141,Calendar!$A$16:$A$141,"&gt;="&amp;MAX(O$7,$J111),Calendar!$A$16:$A$141,"&lt;="&amp;MIN(O$7+4,$K111))*$H111/$G111)))</x:f>
        <x:v>0</x:v>
      </x:c>
      <x:c r="P111" s="45" t="n">
        <x:f>IF(OR($J111="",$K111=""),"",IF(SUMIFS(Calendar!$C$16:$C$141,Calendar!$A$16:$A$141,"&gt;="&amp;MAX(P$7,$J111),Calendar!$A$16:$A$141,"&lt;="&amp;MIN(P$7+4,$K111))=0,0,IF($H111="","EXT",SUMIFS(Calendar!$C$16:$C$141,Calendar!$A$16:$A$141,"&gt;="&amp;MAX(P$7,$J111),Calendar!$A$16:$A$141,"&lt;="&amp;MIN(P$7+4,$K111))*$H111/$G111)))</x:f>
        <x:v>0</x:v>
      </x:c>
      <x:c r="Q111" s="45" t="n">
        <x:f>IF(OR($J111="",$K111=""),"",IF(SUMIFS(Calendar!$C$16:$C$141,Calendar!$A$16:$A$141,"&gt;="&amp;MAX(Q$7,$J111),Calendar!$A$16:$A$141,"&lt;="&amp;MIN(Q$7+4,$K111))=0,0,IF($H111="","EXT",SUMIFS(Calendar!$C$16:$C$141,Calendar!$A$16:$A$141,"&gt;="&amp;MAX(Q$7,$J111),Calendar!$A$16:$A$141,"&lt;="&amp;MIN(Q$7+4,$K111))*$H111/$G111)))</x:f>
        <x:v>0</x:v>
      </x:c>
      <x:c r="R111" s="45" t="n">
        <x:f>IF(OR($J111="",$K111=""),"",IF(SUMIFS(Calendar!$C$16:$C$141,Calendar!$A$16:$A$141,"&gt;="&amp;MAX(R$7,$J111),Calendar!$A$16:$A$141,"&lt;="&amp;MIN(R$7+4,$K111))=0,0,IF($H111="","EXT",SUMIFS(Calendar!$C$16:$C$141,Calendar!$A$16:$A$141,"&gt;="&amp;MAX(R$7,$J111),Calendar!$A$16:$A$141,"&lt;="&amp;MIN(R$7+4,$K111))*$H111/$G111)))</x:f>
        <x:v>0</x:v>
      </x:c>
      <x:c r="S111" s="45" t="n">
        <x:f>IF(OR($J111="",$K111=""),"",IF(SUMIFS(Calendar!$C$16:$C$141,Calendar!$A$16:$A$141,"&gt;="&amp;MAX(S$7,$J111),Calendar!$A$16:$A$141,"&lt;="&amp;MIN(S$7+4,$K111))=0,0,IF($H111="","EXT",SUMIFS(Calendar!$C$16:$C$141,Calendar!$A$16:$A$141,"&gt;="&amp;MAX(S$7,$J111),Calendar!$A$16:$A$141,"&lt;="&amp;MIN(S$7+4,$K111))*$H111/$G111)))</x:f>
        <x:v>0</x:v>
      </x:c>
      <x:c r="T111" s="45" t="n">
        <x:f>IF(OR($J111="",$K111=""),"",IF(SUMIFS(Calendar!$C$16:$C$141,Calendar!$A$16:$A$141,"&gt;="&amp;MAX(T$7,$J111),Calendar!$A$16:$A$141,"&lt;="&amp;MIN(T$7+4,$K111))=0,0,IF($H111="","EXT",SUMIFS(Calendar!$C$16:$C$141,Calendar!$A$16:$A$141,"&gt;="&amp;MAX(T$7,$J111),Calendar!$A$16:$A$141,"&lt;="&amp;MIN(T$7+4,$K111))*$H111/$G111)))</x:f>
        <x:v>0</x:v>
      </x:c>
      <x:c r="U111" s="45" t="n">
        <x:f>IF(OR($J111="",$K111=""),"",IF(SUMIFS(Calendar!$C$16:$C$141,Calendar!$A$16:$A$141,"&gt;="&amp;MAX(U$7,$J111),Calendar!$A$16:$A$141,"&lt;="&amp;MIN(U$7+4,$K111))=0,0,IF($H111="","EXT",SUMIFS(Calendar!$C$16:$C$141,Calendar!$A$16:$A$141,"&gt;="&amp;MAX(U$7,$J111),Calendar!$A$16:$A$141,"&lt;="&amp;MIN(U$7+4,$K111))*$H111/$G111)))</x:f>
        <x:v>0</x:v>
      </x:c>
      <x:c r="V111" s="45" t="n">
        <x:f>IF(OR($J111="",$K111=""),"",IF(SUMIFS(Calendar!$C$16:$C$141,Calendar!$A$16:$A$141,"&gt;="&amp;MAX(V$7,$J111),Calendar!$A$16:$A$141,"&lt;="&amp;MIN(V$7+4,$K111))=0,0,IF($H111="","EXT",SUMIFS(Calendar!$C$16:$C$141,Calendar!$A$16:$A$141,"&gt;="&amp;MAX(V$7,$J111),Calendar!$A$16:$A$141,"&lt;="&amp;MIN(V$7+4,$K111))*$H111/$G111)))</x:f>
        <x:v>0</x:v>
      </x:c>
      <x:c r="W111" s="45" t="n">
        <x:f>IF(OR($J111="",$K111=""),"",IF(SUMIFS(Calendar!$C$16:$C$141,Calendar!$A$16:$A$141,"&gt;="&amp;MAX(W$7,$J111),Calendar!$A$16:$A$141,"&lt;="&amp;MIN(W$7+4,$K111))=0,0,IF($H111="","EXT",SUMIFS(Calendar!$C$16:$C$141,Calendar!$A$16:$A$141,"&gt;="&amp;MAX(W$7,$J111),Calendar!$A$16:$A$141,"&lt;="&amp;MIN(W$7+4,$K111))*$H111/$G111)))</x:f>
        <x:v>0</x:v>
      </x:c>
      <x:c r="X111" s="45" t="n">
        <x:f>IF(OR($J111="",$K111=""),"",IF(SUMIFS(Calendar!$C$16:$C$141,Calendar!$A$16:$A$141,"&gt;="&amp;MAX(X$7,$J111),Calendar!$A$16:$A$141,"&lt;="&amp;MIN(X$7+4,$K111))=0,0,IF($H111="","EXT",SUMIFS(Calendar!$C$16:$C$141,Calendar!$A$16:$A$141,"&gt;="&amp;MAX(X$7,$J111),Calendar!$A$16:$A$141,"&lt;="&amp;MIN(X$7+4,$K111))*$H111/$G111)))</x:f>
        <x:v>0</x:v>
      </x:c>
      <x:c r="Y111" s="45" t="n">
        <x:f>IF(OR($J111="",$K111=""),"",IF(SUMIFS(Calendar!$C$16:$C$141,Calendar!$A$16:$A$141,"&gt;="&amp;MAX(Y$7,$J111),Calendar!$A$16:$A$141,"&lt;="&amp;MIN(Y$7+4,$K111))=0,0,IF($H111="","EXT",SUMIFS(Calendar!$C$16:$C$141,Calendar!$A$16:$A$141,"&gt;="&amp;MAX(Y$7,$J111),Calendar!$A$16:$A$141,"&lt;="&amp;MIN(Y$7+4,$K111))*$H111/$G111)))</x:f>
        <x:v>0</x:v>
      </x:c>
      <x:c r="Z111" s="45" t="n">
        <x:f>IF(OR($J111="",$K111=""),"",IF(SUMIFS(Calendar!$C$16:$C$141,Calendar!$A$16:$A$141,"&gt;="&amp;MAX(Z$7,$J111),Calendar!$A$16:$A$141,"&lt;="&amp;MIN(Z$7+4,$K111))=0,0,IF($H111="","EXT",SUMIFS(Calendar!$C$16:$C$141,Calendar!$A$16:$A$141,"&gt;="&amp;MAX(Z$7,$J111),Calendar!$A$16:$A$141,"&lt;="&amp;MIN(Z$7+4,$K111))*$H111/$G111)))</x:f>
        <x:v>0</x:v>
      </x:c>
      <x:c r="AA111" s="45" t="n">
        <x:f>IF(OR($J111="",$K111=""),"",IF(SUMIFS(Calendar!$C$16:$C$141,Calendar!$A$16:$A$141,"&gt;="&amp;MAX(AA$7,$J111),Calendar!$A$16:$A$141,"&lt;="&amp;MIN(AA$7+4,$K111))=0,0,IF($H111="","EXT",SUMIFS(Calendar!$C$16:$C$141,Calendar!$A$16:$A$141,"&gt;="&amp;MAX(AA$7,$J111),Calendar!$A$16:$A$141,"&lt;="&amp;MIN(AA$7+4,$K111))*$H111/$G111)))</x:f>
        <x:v>0</x:v>
      </x:c>
      <x:c r="AB111" s="45" t="n">
        <x:f>IF(OR($J111="",$K111=""),"",IF(SUMIFS(Calendar!$C$16:$C$141,Calendar!$A$16:$A$141,"&gt;="&amp;MAX(AB$7,$J111),Calendar!$A$16:$A$141,"&lt;="&amp;MIN(AB$7+4,$K111))=0,0,IF($H111="","EXT",SUMIFS(Calendar!$C$16:$C$141,Calendar!$A$16:$A$141,"&gt;="&amp;MAX(AB$7,$J111),Calendar!$A$16:$A$141,"&lt;="&amp;MIN(AB$7+4,$K111))*$H111/$G111)))</x:f>
        <x:v>0</x:v>
      </x:c>
      <x:c r="AC111" s="45" t="n">
        <x:f>IF(OR($J111="",$K111=""),"",IF(SUMIFS(Calendar!$C$16:$C$141,Calendar!$A$16:$A$141,"&gt;="&amp;MAX(AC$7,$J111),Calendar!$A$16:$A$141,"&lt;="&amp;MIN(AC$7+4,$K111))=0,0,IF($H111="","EXT",SUMIFS(Calendar!$C$16:$C$141,Calendar!$A$16:$A$141,"&gt;="&amp;MAX(AC$7,$J111),Calendar!$A$16:$A$141,"&lt;="&amp;MIN(AC$7+4,$K111))*$H111/$G111)))</x:f>
        <x:v>0</x:v>
      </x:c>
      <x:c r="AD111" s="45" t="n">
        <x:f>IF(OR($J111="",$K111=""),"",IF(SUMIFS(Calendar!$C$16:$C$141,Calendar!$A$16:$A$141,"&gt;="&amp;MAX(AD$7,$J111),Calendar!$A$16:$A$141,"&lt;="&amp;MIN(AD$7+4,$K111))=0,0,IF($H111="","EXT",SUMIFS(Calendar!$C$16:$C$141,Calendar!$A$16:$A$141,"&gt;="&amp;MAX(AD$7,$J111),Calendar!$A$16:$A$141,"&lt;="&amp;MIN(AD$7+4,$K111))*$H111/$G111)))</x:f>
        <x:v>0.8</x:v>
      </x:c>
      <x:c r="AE111" s="45" t="n">
        <x:f>IF(OR($J111="",$K111=""),"",IF(SUMIFS(Calendar!$C$16:$C$141,Calendar!$A$16:$A$141,"&gt;="&amp;MAX(AE$7,$J111),Calendar!$A$16:$A$141,"&lt;="&amp;MIN(AE$7+4,$K111))=0,0,IF($H111="","EXT",SUMIFS(Calendar!$C$16:$C$141,Calendar!$A$16:$A$141,"&gt;="&amp;MAX(AE$7,$J111),Calendar!$A$16:$A$141,"&lt;="&amp;MIN(AE$7+4,$K111))*$H111/$G111)))</x:f>
        <x:v>0</x:v>
      </x:c>
      <x:c r="AF111" s="8" t="n">
        <x:f>IF(OR(M111&lt;&gt;"Scheduled",INDEX('Team and Gates'!$C$7:$C$13,MATCH($D111,'Team and Gates'!$A$7:$A$13,0))=""),"CHECK",SUM(N111:AE111)*INDEX('Team and Gates'!$C$7:$C$13,MATCH($D111,'Team and Gates'!$A$7:$A$13,0)))</x:f>
        <x:v>288</x:v>
      </x:c>
      <x:c r="AG111" s="46" t="str">
        <x:v>Deploy after Go decision; pass technical/business smoke and approved-send checks. Record monitoring, rollback and on-call ownership.</x:v>
      </x:c>
      <x:c r="AH111" s="46" t="str">
        <x:v>Friday rollout needs an agreed deployment/rollback window and weekend on-call coverage.</x:v>
      </x:c>
    </x:row>
    <x:row r="112" ht="45" customHeight="1">
      <x:c r="A112" s="2" t="str">
        <x:v>U18</x:v>
      </x:c>
      <x:c r="B112" s="2" t="str">
        <x:v>Business QA</x:v>
      </x:c>
      <x:c r="C112" s="46" t="str">
        <x:v>Production business verification and support handover</x:v>
      </x:c>
      <x:c r="D112" s="34" t="str">
        <x:v>Tester 2</x:v>
      </x:c>
      <x:c r="E112" s="46" t="str">
        <x:v>U17, BA17, Q17, U-REL</x:v>
      </x:c>
      <x:c r="F112" s="50" t="n">
        <x:v>78</x:v>
      </x:c>
      <x:c r="G112" s="50" t="n">
        <x:v>5</x:v>
      </x:c>
      <x:c r="H112" s="51" t="n">
        <x:v>2</x:v>
      </x:c>
      <x:c r="I112" s="2" t="n">
        <x:f>IF(OR(F112="",G112=""),"",F112+G112-1)</x:f>
        <x:v>82</x:v>
      </x:c>
      <x:c r="J112" s="5" t="n">
        <x:f>IF(OR(F112="",F112&lt;1,F112&gt;Calendar!$B$9),"",INDEX(Calendar!$A$16:$A$141,MATCH(F112,Calendar!$D$16:$D$141,0)))</x:f>
        <x:v>46447</x:v>
      </x:c>
      <x:c r="K112" s="5" t="n">
        <x:f>IF(OR(I112="",I112&lt;1,I112&gt;Calendar!$B$9),"",INDEX(Calendar!$A$16:$A$141,MATCH(I112,Calendar!$D$16:$D$141,0)))</x:f>
        <x:v>46451</x:v>
      </x:c>
      <x:c r="L112" s="53" t="n">
        <x:v>0</x:v>
      </x:c>
      <x:c r="M112" s="2" t="str">
        <x:f>IF(OR(F112="",G112="",H112=""),"Missing input",IF(OR(F112&lt;1,G112&lt;1,I112&gt;Calendar!$B$9),"Outside calendar",IF(F112&lt;MAX(INDEX($I$8:$I$157,MATCH("U17",$A$8:$A$157,0))+1,INDEX($I$8:$I$157,MATCH("BA17",$A$8:$A$157,0))+1,INDEX($I$8:$I$157,MATCH("Q17",$A$8:$A$157,0))+1,INDEX($I$8:$I$157,MATCH("U-REL",$A$8:$A$157,0))+1),"Dependency conflict","Scheduled")))</x:f>
        <x:v>Scheduled</x:v>
      </x:c>
      <x:c r="N112" s="45" t="n">
        <x:f>IF(OR($J112="",$K112=""),"",IF(SUMIFS(Calendar!$C$16:$C$141,Calendar!$A$16:$A$141,"&gt;="&amp;MAX(N$7,$J112),Calendar!$A$16:$A$141,"&lt;="&amp;MIN(N$7+4,$K112))=0,0,IF($H112="","EXT",SUMIFS(Calendar!$C$16:$C$141,Calendar!$A$16:$A$141,"&gt;="&amp;MAX(N$7,$J112),Calendar!$A$16:$A$141,"&lt;="&amp;MIN(N$7+4,$K112))*$H112/$G112)))</x:f>
        <x:v>0</x:v>
      </x:c>
      <x:c r="O112" s="45" t="n">
        <x:f>IF(OR($J112="",$K112=""),"",IF(SUMIFS(Calendar!$C$16:$C$141,Calendar!$A$16:$A$141,"&gt;="&amp;MAX(O$7,$J112),Calendar!$A$16:$A$141,"&lt;="&amp;MIN(O$7+4,$K112))=0,0,IF($H112="","EXT",SUMIFS(Calendar!$C$16:$C$141,Calendar!$A$16:$A$141,"&gt;="&amp;MAX(O$7,$J112),Calendar!$A$16:$A$141,"&lt;="&amp;MIN(O$7+4,$K112))*$H112/$G112)))</x:f>
        <x:v>0</x:v>
      </x:c>
      <x:c r="P112" s="45" t="n">
        <x:f>IF(OR($J112="",$K112=""),"",IF(SUMIFS(Calendar!$C$16:$C$141,Calendar!$A$16:$A$141,"&gt;="&amp;MAX(P$7,$J112),Calendar!$A$16:$A$141,"&lt;="&amp;MIN(P$7+4,$K112))=0,0,IF($H112="","EXT",SUMIFS(Calendar!$C$16:$C$141,Calendar!$A$16:$A$141,"&gt;="&amp;MAX(P$7,$J112),Calendar!$A$16:$A$141,"&lt;="&amp;MIN(P$7+4,$K112))*$H112/$G112)))</x:f>
        <x:v>0</x:v>
      </x:c>
      <x:c r="Q112" s="45" t="n">
        <x:f>IF(OR($J112="",$K112=""),"",IF(SUMIFS(Calendar!$C$16:$C$141,Calendar!$A$16:$A$141,"&gt;="&amp;MAX(Q$7,$J112),Calendar!$A$16:$A$141,"&lt;="&amp;MIN(Q$7+4,$K112))=0,0,IF($H112="","EXT",SUMIFS(Calendar!$C$16:$C$141,Calendar!$A$16:$A$141,"&gt;="&amp;MAX(Q$7,$J112),Calendar!$A$16:$A$141,"&lt;="&amp;MIN(Q$7+4,$K112))*$H112/$G112)))</x:f>
        <x:v>0</x:v>
      </x:c>
      <x:c r="R112" s="45" t="n">
        <x:f>IF(OR($J112="",$K112=""),"",IF(SUMIFS(Calendar!$C$16:$C$141,Calendar!$A$16:$A$141,"&gt;="&amp;MAX(R$7,$J112),Calendar!$A$16:$A$141,"&lt;="&amp;MIN(R$7+4,$K112))=0,0,IF($H112="","EXT",SUMIFS(Calendar!$C$16:$C$141,Calendar!$A$16:$A$141,"&gt;="&amp;MAX(R$7,$J112),Calendar!$A$16:$A$141,"&lt;="&amp;MIN(R$7+4,$K112))*$H112/$G112)))</x:f>
        <x:v>0</x:v>
      </x:c>
      <x:c r="S112" s="45" t="n">
        <x:f>IF(OR($J112="",$K112=""),"",IF(SUMIFS(Calendar!$C$16:$C$141,Calendar!$A$16:$A$141,"&gt;="&amp;MAX(S$7,$J112),Calendar!$A$16:$A$141,"&lt;="&amp;MIN(S$7+4,$K112))=0,0,IF($H112="","EXT",SUMIFS(Calendar!$C$16:$C$141,Calendar!$A$16:$A$141,"&gt;="&amp;MAX(S$7,$J112),Calendar!$A$16:$A$141,"&lt;="&amp;MIN(S$7+4,$K112))*$H112/$G112)))</x:f>
        <x:v>0</x:v>
      </x:c>
      <x:c r="T112" s="45" t="n">
        <x:f>IF(OR($J112="",$K112=""),"",IF(SUMIFS(Calendar!$C$16:$C$141,Calendar!$A$16:$A$141,"&gt;="&amp;MAX(T$7,$J112),Calendar!$A$16:$A$141,"&lt;="&amp;MIN(T$7+4,$K112))=0,0,IF($H112="","EXT",SUMIFS(Calendar!$C$16:$C$141,Calendar!$A$16:$A$141,"&gt;="&amp;MAX(T$7,$J112),Calendar!$A$16:$A$141,"&lt;="&amp;MIN(T$7+4,$K112))*$H112/$G112)))</x:f>
        <x:v>0</x:v>
      </x:c>
      <x:c r="U112" s="45" t="n">
        <x:f>IF(OR($J112="",$K112=""),"",IF(SUMIFS(Calendar!$C$16:$C$141,Calendar!$A$16:$A$141,"&gt;="&amp;MAX(U$7,$J112),Calendar!$A$16:$A$141,"&lt;="&amp;MIN(U$7+4,$K112))=0,0,IF($H112="","EXT",SUMIFS(Calendar!$C$16:$C$141,Calendar!$A$16:$A$141,"&gt;="&amp;MAX(U$7,$J112),Calendar!$A$16:$A$141,"&lt;="&amp;MIN(U$7+4,$K112))*$H112/$G112)))</x:f>
        <x:v>0</x:v>
      </x:c>
      <x:c r="V112" s="45" t="n">
        <x:f>IF(OR($J112="",$K112=""),"",IF(SUMIFS(Calendar!$C$16:$C$141,Calendar!$A$16:$A$141,"&gt;="&amp;MAX(V$7,$J112),Calendar!$A$16:$A$141,"&lt;="&amp;MIN(V$7+4,$K112))=0,0,IF($H112="","EXT",SUMIFS(Calendar!$C$16:$C$141,Calendar!$A$16:$A$141,"&gt;="&amp;MAX(V$7,$J112),Calendar!$A$16:$A$141,"&lt;="&amp;MIN(V$7+4,$K112))*$H112/$G112)))</x:f>
        <x:v>0</x:v>
      </x:c>
      <x:c r="W112" s="45" t="n">
        <x:f>IF(OR($J112="",$K112=""),"",IF(SUMIFS(Calendar!$C$16:$C$141,Calendar!$A$16:$A$141,"&gt;="&amp;MAX(W$7,$J112),Calendar!$A$16:$A$141,"&lt;="&amp;MIN(W$7+4,$K112))=0,0,IF($H112="","EXT",SUMIFS(Calendar!$C$16:$C$141,Calendar!$A$16:$A$141,"&gt;="&amp;MAX(W$7,$J112),Calendar!$A$16:$A$141,"&lt;="&amp;MIN(W$7+4,$K112))*$H112/$G112)))</x:f>
        <x:v>0</x:v>
      </x:c>
      <x:c r="X112" s="45" t="n">
        <x:f>IF(OR($J112="",$K112=""),"",IF(SUMIFS(Calendar!$C$16:$C$141,Calendar!$A$16:$A$141,"&gt;="&amp;MAX(X$7,$J112),Calendar!$A$16:$A$141,"&lt;="&amp;MIN(X$7+4,$K112))=0,0,IF($H112="","EXT",SUMIFS(Calendar!$C$16:$C$141,Calendar!$A$16:$A$141,"&gt;="&amp;MAX(X$7,$J112),Calendar!$A$16:$A$141,"&lt;="&amp;MIN(X$7+4,$K112))*$H112/$G112)))</x:f>
        <x:v>0</x:v>
      </x:c>
      <x:c r="Y112" s="45" t="n">
        <x:f>IF(OR($J112="",$K112=""),"",IF(SUMIFS(Calendar!$C$16:$C$141,Calendar!$A$16:$A$141,"&gt;="&amp;MAX(Y$7,$J112),Calendar!$A$16:$A$141,"&lt;="&amp;MIN(Y$7+4,$K112))=0,0,IF($H112="","EXT",SUMIFS(Calendar!$C$16:$C$141,Calendar!$A$16:$A$141,"&gt;="&amp;MAX(Y$7,$J112),Calendar!$A$16:$A$141,"&lt;="&amp;MIN(Y$7+4,$K112))*$H112/$G112)))</x:f>
        <x:v>0</x:v>
      </x:c>
      <x:c r="Z112" s="45" t="n">
        <x:f>IF(OR($J112="",$K112=""),"",IF(SUMIFS(Calendar!$C$16:$C$141,Calendar!$A$16:$A$141,"&gt;="&amp;MAX(Z$7,$J112),Calendar!$A$16:$A$141,"&lt;="&amp;MIN(Z$7+4,$K112))=0,0,IF($H112="","EXT",SUMIFS(Calendar!$C$16:$C$141,Calendar!$A$16:$A$141,"&gt;="&amp;MAX(Z$7,$J112),Calendar!$A$16:$A$141,"&lt;="&amp;MIN(Z$7+4,$K112))*$H112/$G112)))</x:f>
        <x:v>0</x:v>
      </x:c>
      <x:c r="AA112" s="45" t="n">
        <x:f>IF(OR($J112="",$K112=""),"",IF(SUMIFS(Calendar!$C$16:$C$141,Calendar!$A$16:$A$141,"&gt;="&amp;MAX(AA$7,$J112),Calendar!$A$16:$A$141,"&lt;="&amp;MIN(AA$7+4,$K112))=0,0,IF($H112="","EXT",SUMIFS(Calendar!$C$16:$C$141,Calendar!$A$16:$A$141,"&gt;="&amp;MAX(AA$7,$J112),Calendar!$A$16:$A$141,"&lt;="&amp;MIN(AA$7+4,$K112))*$H112/$G112)))</x:f>
        <x:v>0</x:v>
      </x:c>
      <x:c r="AB112" s="45" t="n">
        <x:f>IF(OR($J112="",$K112=""),"",IF(SUMIFS(Calendar!$C$16:$C$141,Calendar!$A$16:$A$141,"&gt;="&amp;MAX(AB$7,$J112),Calendar!$A$16:$A$141,"&lt;="&amp;MIN(AB$7+4,$K112))=0,0,IF($H112="","EXT",SUMIFS(Calendar!$C$16:$C$141,Calendar!$A$16:$A$141,"&gt;="&amp;MAX(AB$7,$J112),Calendar!$A$16:$A$141,"&lt;="&amp;MIN(AB$7+4,$K112))*$H112/$G112)))</x:f>
        <x:v>0</x:v>
      </x:c>
      <x:c r="AC112" s="45" t="n">
        <x:f>IF(OR($J112="",$K112=""),"",IF(SUMIFS(Calendar!$C$16:$C$141,Calendar!$A$16:$A$141,"&gt;="&amp;MAX(AC$7,$J112),Calendar!$A$16:$A$141,"&lt;="&amp;MIN(AC$7+4,$K112))=0,0,IF($H112="","EXT",SUMIFS(Calendar!$C$16:$C$141,Calendar!$A$16:$A$141,"&gt;="&amp;MAX(AC$7,$J112),Calendar!$A$16:$A$141,"&lt;="&amp;MIN(AC$7+4,$K112))*$H112/$G112)))</x:f>
        <x:v>0</x:v>
      </x:c>
      <x:c r="AD112" s="45" t="n">
        <x:f>IF(OR($J112="",$K112=""),"",IF(SUMIFS(Calendar!$C$16:$C$141,Calendar!$A$16:$A$141,"&gt;="&amp;MAX(AD$7,$J112),Calendar!$A$16:$A$141,"&lt;="&amp;MIN(AD$7+4,$K112))=0,0,IF($H112="","EXT",SUMIFS(Calendar!$C$16:$C$141,Calendar!$A$16:$A$141,"&gt;="&amp;MAX(AD$7,$J112),Calendar!$A$16:$A$141,"&lt;="&amp;MIN(AD$7+4,$K112))*$H112/$G112)))</x:f>
        <x:v>0</x:v>
      </x:c>
      <x:c r="AE112" s="45" t="n">
        <x:f>IF(OR($J112="",$K112=""),"",IF(SUMIFS(Calendar!$C$16:$C$141,Calendar!$A$16:$A$141,"&gt;="&amp;MAX(AE$7,$J112),Calendar!$A$16:$A$141,"&lt;="&amp;MIN(AE$7+4,$K112))=0,0,IF($H112="","EXT",SUMIFS(Calendar!$C$16:$C$141,Calendar!$A$16:$A$141,"&gt;="&amp;MAX(AE$7,$J112),Calendar!$A$16:$A$141,"&lt;="&amp;MIN(AE$7+4,$K112))*$H112/$G112)))</x:f>
        <x:v>2</x:v>
      </x:c>
      <x:c r="AF112" s="8" t="n">
        <x:f>IF(OR(M112&lt;&gt;"Scheduled",INDEX('Team and Gates'!$C$7:$C$13,MATCH($D112,'Team and Gates'!$A$7:$A$13,0))=""),"CHECK",SUM(N112:AE112)*INDEX('Team and Gates'!$C$7:$C$13,MATCH($D112,'Team and Gates'!$A$7:$A$13,0)))</x:f>
        <x:v>720</x:v>
      </x:c>
      <x:c r="AG112" s="46" t="str">
        <x:v>After Feb 26 production release, complete monitoring, defect retests and service handover by Mar 5.</x:v>
      </x:c>
      <x:c r="AH112" s="46" t="str">
        <x:v>Hypercare Mar 1-5; production rollout and Go/No-Go are separately scheduled Feb 25-26.</x:v>
      </x:c>
    </x:row>
    <x:row r="113" ht="45" customHeight="1">
      <x:c r="A113" s="39" t="str">
        <x:v>BA01</x:v>
      </x:c>
      <x:c r="B113" s="39" t="str">
        <x:v>FSD / business</x:v>
      </x:c>
      <x:c r="C113" s="47" t="str">
        <x:v>Discover default Cases, AM journeys, scope and data ownership</x:v>
      </x:c>
      <x:c r="D113" s="20" t="str">
        <x:v>BA</x:v>
      </x:c>
      <x:c r="E113" s="47" t="str"/>
      <x:c r="F113" s="50" t="n">
        <x:v>1</x:v>
      </x:c>
      <x:c r="G113" s="50" t="n">
        <x:v>5</x:v>
      </x:c>
      <x:c r="H113" s="51" t="n">
        <x:v>4</x:v>
      </x:c>
      <x:c r="I113" s="39" t="n">
        <x:f>IF(OR(F113="",G113=""),"",F113+G113-1)</x:f>
        <x:v>5</x:v>
      </x:c>
      <x:c r="J113" s="41" t="n">
        <x:f>IF(OR(F113="",F113&lt;1,F113&gt;Calendar!$B$9),"",INDEX(Calendar!$A$16:$A$141,MATCH(F113,Calendar!$D$16:$D$141,0)))</x:f>
        <x:v>46328</x:v>
      </x:c>
      <x:c r="K113" s="41" t="n">
        <x:f>IF(OR(I113="",I113&lt;1,I113&gt;Calendar!$B$9),"",INDEX(Calendar!$A$16:$A$141,MATCH(I113,Calendar!$D$16:$D$141,0)))</x:f>
        <x:v>46332</x:v>
      </x:c>
      <x:c r="L113" s="53" t="n">
        <x:v>0</x:v>
      </x:c>
      <x:c r="M113" s="39" t="str">
        <x:f>IF(OR(F113="",G113="",H113=""),"Missing input",IF(OR(F113&lt;1,G113&lt;1,I113&gt;Calendar!$B$9),"Outside calendar",IF(F113&lt;1,"Dependency conflict","Scheduled")))</x:f>
        <x:v>Scheduled</x:v>
      </x:c>
      <x:c r="N113" s="45" t="n">
        <x:f>IF(OR($J113="",$K113=""),"",IF(SUMIFS(Calendar!$C$16:$C$141,Calendar!$A$16:$A$141,"&gt;="&amp;MAX(N$7,$J113),Calendar!$A$16:$A$141,"&lt;="&amp;MIN(N$7+4,$K113))=0,0,IF($H113="","EXT",SUMIFS(Calendar!$C$16:$C$141,Calendar!$A$16:$A$141,"&gt;="&amp;MAX(N$7,$J113),Calendar!$A$16:$A$141,"&lt;="&amp;MIN(N$7+4,$K113))*$H113/$G113)))</x:f>
        <x:v>4</x:v>
      </x:c>
      <x:c r="O113" s="45" t="n">
        <x:f>IF(OR($J113="",$K113=""),"",IF(SUMIFS(Calendar!$C$16:$C$141,Calendar!$A$16:$A$141,"&gt;="&amp;MAX(O$7,$J113),Calendar!$A$16:$A$141,"&lt;="&amp;MIN(O$7+4,$K113))=0,0,IF($H113="","EXT",SUMIFS(Calendar!$C$16:$C$141,Calendar!$A$16:$A$141,"&gt;="&amp;MAX(O$7,$J113),Calendar!$A$16:$A$141,"&lt;="&amp;MIN(O$7+4,$K113))*$H113/$G113)))</x:f>
        <x:v>0</x:v>
      </x:c>
      <x:c r="P113" s="45" t="n">
        <x:f>IF(OR($J113="",$K113=""),"",IF(SUMIFS(Calendar!$C$16:$C$141,Calendar!$A$16:$A$141,"&gt;="&amp;MAX(P$7,$J113),Calendar!$A$16:$A$141,"&lt;="&amp;MIN(P$7+4,$K113))=0,0,IF($H113="","EXT",SUMIFS(Calendar!$C$16:$C$141,Calendar!$A$16:$A$141,"&gt;="&amp;MAX(P$7,$J113),Calendar!$A$16:$A$141,"&lt;="&amp;MIN(P$7+4,$K113))*$H113/$G113)))</x:f>
        <x:v>0</x:v>
      </x:c>
      <x:c r="Q113" s="45" t="n">
        <x:f>IF(OR($J113="",$K113=""),"",IF(SUMIFS(Calendar!$C$16:$C$141,Calendar!$A$16:$A$141,"&gt;="&amp;MAX(Q$7,$J113),Calendar!$A$16:$A$141,"&lt;="&amp;MIN(Q$7+4,$K113))=0,0,IF($H113="","EXT",SUMIFS(Calendar!$C$16:$C$141,Calendar!$A$16:$A$141,"&gt;="&amp;MAX(Q$7,$J113),Calendar!$A$16:$A$141,"&lt;="&amp;MIN(Q$7+4,$K113))*$H113/$G113)))</x:f>
        <x:v>0</x:v>
      </x:c>
      <x:c r="R113" s="45" t="n">
        <x:f>IF(OR($J113="",$K113=""),"",IF(SUMIFS(Calendar!$C$16:$C$141,Calendar!$A$16:$A$141,"&gt;="&amp;MAX(R$7,$J113),Calendar!$A$16:$A$141,"&lt;="&amp;MIN(R$7+4,$K113))=0,0,IF($H113="","EXT",SUMIFS(Calendar!$C$16:$C$141,Calendar!$A$16:$A$141,"&gt;="&amp;MAX(R$7,$J113),Calendar!$A$16:$A$141,"&lt;="&amp;MIN(R$7+4,$K113))*$H113/$G113)))</x:f>
        <x:v>0</x:v>
      </x:c>
      <x:c r="S113" s="45" t="n">
        <x:f>IF(OR($J113="",$K113=""),"",IF(SUMIFS(Calendar!$C$16:$C$141,Calendar!$A$16:$A$141,"&gt;="&amp;MAX(S$7,$J113),Calendar!$A$16:$A$141,"&lt;="&amp;MIN(S$7+4,$K113))=0,0,IF($H113="","EXT",SUMIFS(Calendar!$C$16:$C$141,Calendar!$A$16:$A$141,"&gt;="&amp;MAX(S$7,$J113),Calendar!$A$16:$A$141,"&lt;="&amp;MIN(S$7+4,$K113))*$H113/$G113)))</x:f>
        <x:v>0</x:v>
      </x:c>
      <x:c r="T113" s="45" t="n">
        <x:f>IF(OR($J113="",$K113=""),"",IF(SUMIFS(Calendar!$C$16:$C$141,Calendar!$A$16:$A$141,"&gt;="&amp;MAX(T$7,$J113),Calendar!$A$16:$A$141,"&lt;="&amp;MIN(T$7+4,$K113))=0,0,IF($H113="","EXT",SUMIFS(Calendar!$C$16:$C$141,Calendar!$A$16:$A$141,"&gt;="&amp;MAX(T$7,$J113),Calendar!$A$16:$A$141,"&lt;="&amp;MIN(T$7+4,$K113))*$H113/$G113)))</x:f>
        <x:v>0</x:v>
      </x:c>
      <x:c r="U113" s="45" t="n">
        <x:f>IF(OR($J113="",$K113=""),"",IF(SUMIFS(Calendar!$C$16:$C$141,Calendar!$A$16:$A$141,"&gt;="&amp;MAX(U$7,$J113),Calendar!$A$16:$A$141,"&lt;="&amp;MIN(U$7+4,$K113))=0,0,IF($H113="","EXT",SUMIFS(Calendar!$C$16:$C$141,Calendar!$A$16:$A$141,"&gt;="&amp;MAX(U$7,$J113),Calendar!$A$16:$A$141,"&lt;="&amp;MIN(U$7+4,$K113))*$H113/$G113)))</x:f>
        <x:v>0</x:v>
      </x:c>
      <x:c r="V113" s="45" t="n">
        <x:f>IF(OR($J113="",$K113=""),"",IF(SUMIFS(Calendar!$C$16:$C$141,Calendar!$A$16:$A$141,"&gt;="&amp;MAX(V$7,$J113),Calendar!$A$16:$A$141,"&lt;="&amp;MIN(V$7+4,$K113))=0,0,IF($H113="","EXT",SUMIFS(Calendar!$C$16:$C$141,Calendar!$A$16:$A$141,"&gt;="&amp;MAX(V$7,$J113),Calendar!$A$16:$A$141,"&lt;="&amp;MIN(V$7+4,$K113))*$H113/$G113)))</x:f>
        <x:v>0</x:v>
      </x:c>
      <x:c r="W113" s="45" t="n">
        <x:f>IF(OR($J113="",$K113=""),"",IF(SUMIFS(Calendar!$C$16:$C$141,Calendar!$A$16:$A$141,"&gt;="&amp;MAX(W$7,$J113),Calendar!$A$16:$A$141,"&lt;="&amp;MIN(W$7+4,$K113))=0,0,IF($H113="","EXT",SUMIFS(Calendar!$C$16:$C$141,Calendar!$A$16:$A$141,"&gt;="&amp;MAX(W$7,$J113),Calendar!$A$16:$A$141,"&lt;="&amp;MIN(W$7+4,$K113))*$H113/$G113)))</x:f>
        <x:v>0</x:v>
      </x:c>
      <x:c r="X113" s="45" t="n">
        <x:f>IF(OR($J113="",$K113=""),"",IF(SUMIFS(Calendar!$C$16:$C$141,Calendar!$A$16:$A$141,"&gt;="&amp;MAX(X$7,$J113),Calendar!$A$16:$A$141,"&lt;="&amp;MIN(X$7+4,$K113))=0,0,IF($H113="","EXT",SUMIFS(Calendar!$C$16:$C$141,Calendar!$A$16:$A$141,"&gt;="&amp;MAX(X$7,$J113),Calendar!$A$16:$A$141,"&lt;="&amp;MIN(X$7+4,$K113))*$H113/$G113)))</x:f>
        <x:v>0</x:v>
      </x:c>
      <x:c r="Y113" s="45" t="n">
        <x:f>IF(OR($J113="",$K113=""),"",IF(SUMIFS(Calendar!$C$16:$C$141,Calendar!$A$16:$A$141,"&gt;="&amp;MAX(Y$7,$J113),Calendar!$A$16:$A$141,"&lt;="&amp;MIN(Y$7+4,$K113))=0,0,IF($H113="","EXT",SUMIFS(Calendar!$C$16:$C$141,Calendar!$A$16:$A$141,"&gt;="&amp;MAX(Y$7,$J113),Calendar!$A$16:$A$141,"&lt;="&amp;MIN(Y$7+4,$K113))*$H113/$G113)))</x:f>
        <x:v>0</x:v>
      </x:c>
      <x:c r="Z113" s="45" t="n">
        <x:f>IF(OR($J113="",$K113=""),"",IF(SUMIFS(Calendar!$C$16:$C$141,Calendar!$A$16:$A$141,"&gt;="&amp;MAX(Z$7,$J113),Calendar!$A$16:$A$141,"&lt;="&amp;MIN(Z$7+4,$K113))=0,0,IF($H113="","EXT",SUMIFS(Calendar!$C$16:$C$141,Calendar!$A$16:$A$141,"&gt;="&amp;MAX(Z$7,$J113),Calendar!$A$16:$A$141,"&lt;="&amp;MIN(Z$7+4,$K113))*$H113/$G113)))</x:f>
        <x:v>0</x:v>
      </x:c>
      <x:c r="AA113" s="45" t="n">
        <x:f>IF(OR($J113="",$K113=""),"",IF(SUMIFS(Calendar!$C$16:$C$141,Calendar!$A$16:$A$141,"&gt;="&amp;MAX(AA$7,$J113),Calendar!$A$16:$A$141,"&lt;="&amp;MIN(AA$7+4,$K113))=0,0,IF($H113="","EXT",SUMIFS(Calendar!$C$16:$C$141,Calendar!$A$16:$A$141,"&gt;="&amp;MAX(AA$7,$J113),Calendar!$A$16:$A$141,"&lt;="&amp;MIN(AA$7+4,$K113))*$H113/$G113)))</x:f>
        <x:v>0</x:v>
      </x:c>
      <x:c r="AB113" s="45" t="n">
        <x:f>IF(OR($J113="",$K113=""),"",IF(SUMIFS(Calendar!$C$16:$C$141,Calendar!$A$16:$A$141,"&gt;="&amp;MAX(AB$7,$J113),Calendar!$A$16:$A$141,"&lt;="&amp;MIN(AB$7+4,$K113))=0,0,IF($H113="","EXT",SUMIFS(Calendar!$C$16:$C$141,Calendar!$A$16:$A$141,"&gt;="&amp;MAX(AB$7,$J113),Calendar!$A$16:$A$141,"&lt;="&amp;MIN(AB$7+4,$K113))*$H113/$G113)))</x:f>
        <x:v>0</x:v>
      </x:c>
      <x:c r="AC113" s="45" t="n">
        <x:f>IF(OR($J113="",$K113=""),"",IF(SUMIFS(Calendar!$C$16:$C$141,Calendar!$A$16:$A$141,"&gt;="&amp;MAX(AC$7,$J113),Calendar!$A$16:$A$141,"&lt;="&amp;MIN(AC$7+4,$K113))=0,0,IF($H113="","EXT",SUMIFS(Calendar!$C$16:$C$141,Calendar!$A$16:$A$141,"&gt;="&amp;MAX(AC$7,$J113),Calendar!$A$16:$A$141,"&lt;="&amp;MIN(AC$7+4,$K113))*$H113/$G113)))</x:f>
        <x:v>0</x:v>
      </x:c>
      <x:c r="AD113" s="45" t="n">
        <x:f>IF(OR($J113="",$K113=""),"",IF(SUMIFS(Calendar!$C$16:$C$141,Calendar!$A$16:$A$141,"&gt;="&amp;MAX(AD$7,$J113),Calendar!$A$16:$A$141,"&lt;="&amp;MIN(AD$7+4,$K113))=0,0,IF($H113="","EXT",SUMIFS(Calendar!$C$16:$C$141,Calendar!$A$16:$A$141,"&gt;="&amp;MAX(AD$7,$J113),Calendar!$A$16:$A$141,"&lt;="&amp;MIN(AD$7+4,$K113))*$H113/$G113)))</x:f>
        <x:v>0</x:v>
      </x:c>
      <x:c r="AE113" s="45" t="n">
        <x:f>IF(OR($J113="",$K113=""),"",IF(SUMIFS(Calendar!$C$16:$C$141,Calendar!$A$16:$A$141,"&gt;="&amp;MAX(AE$7,$J113),Calendar!$A$16:$A$141,"&lt;="&amp;MIN(AE$7+4,$K113))=0,0,IF($H113="","EXT",SUMIFS(Calendar!$C$16:$C$141,Calendar!$A$16:$A$141,"&gt;="&amp;MAX(AE$7,$J113),Calendar!$A$16:$A$141,"&lt;="&amp;MIN(AE$7+4,$K113))*$H113/$G113)))</x:f>
        <x:v>0</x:v>
      </x:c>
      <x:c r="AF113" s="8" t="n">
        <x:f>IF(OR(M113&lt;&gt;"Scheduled",INDEX('Team and Gates'!$C$7:$C$13,MATCH($D113,'Team and Gates'!$A$7:$A$13,0))=""),"CHECK",SUM(N113:AE113)*INDEX('Team and Gates'!$C$7:$C$13,MATCH($D113,'Team and Gates'!$A$7:$A$13,0)))</x:f>
        <x:v>1440</x:v>
      </x:c>
      <x:c r="AG113" s="46" t="str">
        <x:v>Reviewed preparation artifact, mapped to FSD/AC and handoff checklist.</x:v>
      </x:c>
      <x:c r="AH113" s="46" t="str">
        <x:v> BA prepares FSD and default Cases; business owner provides formal signoff.</x:v>
      </x:c>
    </x:row>
    <x:row r="114" ht="45" customHeight="1">
      <x:c r="A114" s="2" t="str">
        <x:v>BA02</x:v>
      </x:c>
      <x:c r="B114" s="2" t="str">
        <x:v>FSD / business</x:v>
      </x:c>
      <x:c r="C114" s="46" t="str">
        <x:v>Write FSD, per-requirement AC and default Case/Playbook templates</x:v>
      </x:c>
      <x:c r="D114" s="20" t="str">
        <x:v>BA</x:v>
      </x:c>
      <x:c r="E114" s="46" t="str">
        <x:v>BA01, E02</x:v>
      </x:c>
      <x:c r="F114" s="50" t="n">
        <x:v>6</x:v>
      </x:c>
      <x:c r="G114" s="50" t="n">
        <x:v>2</x:v>
      </x:c>
      <x:c r="H114" s="51" t="n">
        <x:v>1.6</x:v>
      </x:c>
      <x:c r="I114" s="2" t="n">
        <x:f>IF(OR(F114="",G114=""),"",F114+G114-1)</x:f>
        <x:v>7</x:v>
      </x:c>
      <x:c r="J114" s="5" t="n">
        <x:f>IF(OR(F114="",F114&lt;1,F114&gt;Calendar!$B$9),"",INDEX(Calendar!$A$16:$A$141,MATCH(F114,Calendar!$D$16:$D$141,0)))</x:f>
        <x:v>46335</x:v>
      </x:c>
      <x:c r="K114" s="5" t="n">
        <x:f>IF(OR(I114="",I114&lt;1,I114&gt;Calendar!$B$9),"",INDEX(Calendar!$A$16:$A$141,MATCH(I114,Calendar!$D$16:$D$141,0)))</x:f>
        <x:v>46336</x:v>
      </x:c>
      <x:c r="L114" s="53" t="n">
        <x:v>0</x:v>
      </x:c>
      <x:c r="M114" s="2" t="str">
        <x:f>IF(OR(F114="",G114="",H114=""),"Missing input",IF(OR(F114&lt;1,G114&lt;1,I114&gt;Calendar!$B$9),"Outside calendar",IF(F114&lt;MAX(INDEX($I$8:$I$157,MATCH("BA01",$A$8:$A$157,0))+1,INDEX($I$8:$I$157,MATCH("E02",$A$8:$A$157,0))+1),"Dependency conflict","Scheduled")))</x:f>
        <x:v>Scheduled</x:v>
      </x:c>
      <x:c r="N114" s="45" t="n">
        <x:f>IF(OR($J114="",$K114=""),"",IF(SUMIFS(Calendar!$C$16:$C$141,Calendar!$A$16:$A$141,"&gt;="&amp;MAX(N$7,$J114),Calendar!$A$16:$A$141,"&lt;="&amp;MIN(N$7+4,$K114))=0,0,IF($H114="","EXT",SUMIFS(Calendar!$C$16:$C$141,Calendar!$A$16:$A$141,"&gt;="&amp;MAX(N$7,$J114),Calendar!$A$16:$A$141,"&lt;="&amp;MIN(N$7+4,$K114))*$H114/$G114)))</x:f>
        <x:v>0</x:v>
      </x:c>
      <x:c r="O114" s="45" t="n">
        <x:f>IF(OR($J114="",$K114=""),"",IF(SUMIFS(Calendar!$C$16:$C$141,Calendar!$A$16:$A$141,"&gt;="&amp;MAX(O$7,$J114),Calendar!$A$16:$A$141,"&lt;="&amp;MIN(O$7+4,$K114))=0,0,IF($H114="","EXT",SUMIFS(Calendar!$C$16:$C$141,Calendar!$A$16:$A$141,"&gt;="&amp;MAX(O$7,$J114),Calendar!$A$16:$A$141,"&lt;="&amp;MIN(O$7+4,$K114))*$H114/$G114)))</x:f>
        <x:v>1.6</x:v>
      </x:c>
      <x:c r="P114" s="45" t="n">
        <x:f>IF(OR($J114="",$K114=""),"",IF(SUMIFS(Calendar!$C$16:$C$141,Calendar!$A$16:$A$141,"&gt;="&amp;MAX(P$7,$J114),Calendar!$A$16:$A$141,"&lt;="&amp;MIN(P$7+4,$K114))=0,0,IF($H114="","EXT",SUMIFS(Calendar!$C$16:$C$141,Calendar!$A$16:$A$141,"&gt;="&amp;MAX(P$7,$J114),Calendar!$A$16:$A$141,"&lt;="&amp;MIN(P$7+4,$K114))*$H114/$G114)))</x:f>
        <x:v>0</x:v>
      </x:c>
      <x:c r="Q114" s="45" t="n">
        <x:f>IF(OR($J114="",$K114=""),"",IF(SUMIFS(Calendar!$C$16:$C$141,Calendar!$A$16:$A$141,"&gt;="&amp;MAX(Q$7,$J114),Calendar!$A$16:$A$141,"&lt;="&amp;MIN(Q$7+4,$K114))=0,0,IF($H114="","EXT",SUMIFS(Calendar!$C$16:$C$141,Calendar!$A$16:$A$141,"&gt;="&amp;MAX(Q$7,$J114),Calendar!$A$16:$A$141,"&lt;="&amp;MIN(Q$7+4,$K114))*$H114/$G114)))</x:f>
        <x:v>0</x:v>
      </x:c>
      <x:c r="R114" s="45" t="n">
        <x:f>IF(OR($J114="",$K114=""),"",IF(SUMIFS(Calendar!$C$16:$C$141,Calendar!$A$16:$A$141,"&gt;="&amp;MAX(R$7,$J114),Calendar!$A$16:$A$141,"&lt;="&amp;MIN(R$7+4,$K114))=0,0,IF($H114="","EXT",SUMIFS(Calendar!$C$16:$C$141,Calendar!$A$16:$A$141,"&gt;="&amp;MAX(R$7,$J114),Calendar!$A$16:$A$141,"&lt;="&amp;MIN(R$7+4,$K114))*$H114/$G114)))</x:f>
        <x:v>0</x:v>
      </x:c>
      <x:c r="S114" s="45" t="n">
        <x:f>IF(OR($J114="",$K114=""),"",IF(SUMIFS(Calendar!$C$16:$C$141,Calendar!$A$16:$A$141,"&gt;="&amp;MAX(S$7,$J114),Calendar!$A$16:$A$141,"&lt;="&amp;MIN(S$7+4,$K114))=0,0,IF($H114="","EXT",SUMIFS(Calendar!$C$16:$C$141,Calendar!$A$16:$A$141,"&gt;="&amp;MAX(S$7,$J114),Calendar!$A$16:$A$141,"&lt;="&amp;MIN(S$7+4,$K114))*$H114/$G114)))</x:f>
        <x:v>0</x:v>
      </x:c>
      <x:c r="T114" s="45" t="n">
        <x:f>IF(OR($J114="",$K114=""),"",IF(SUMIFS(Calendar!$C$16:$C$141,Calendar!$A$16:$A$141,"&gt;="&amp;MAX(T$7,$J114),Calendar!$A$16:$A$141,"&lt;="&amp;MIN(T$7+4,$K114))=0,0,IF($H114="","EXT",SUMIFS(Calendar!$C$16:$C$141,Calendar!$A$16:$A$141,"&gt;="&amp;MAX(T$7,$J114),Calendar!$A$16:$A$141,"&lt;="&amp;MIN(T$7+4,$K114))*$H114/$G114)))</x:f>
        <x:v>0</x:v>
      </x:c>
      <x:c r="U114" s="45" t="n">
        <x:f>IF(OR($J114="",$K114=""),"",IF(SUMIFS(Calendar!$C$16:$C$141,Calendar!$A$16:$A$141,"&gt;="&amp;MAX(U$7,$J114),Calendar!$A$16:$A$141,"&lt;="&amp;MIN(U$7+4,$K114))=0,0,IF($H114="","EXT",SUMIFS(Calendar!$C$16:$C$141,Calendar!$A$16:$A$141,"&gt;="&amp;MAX(U$7,$J114),Calendar!$A$16:$A$141,"&lt;="&amp;MIN(U$7+4,$K114))*$H114/$G114)))</x:f>
        <x:v>0</x:v>
      </x:c>
      <x:c r="V114" s="45" t="n">
        <x:f>IF(OR($J114="",$K114=""),"",IF(SUMIFS(Calendar!$C$16:$C$141,Calendar!$A$16:$A$141,"&gt;="&amp;MAX(V$7,$J114),Calendar!$A$16:$A$141,"&lt;="&amp;MIN(V$7+4,$K114))=0,0,IF($H114="","EXT",SUMIFS(Calendar!$C$16:$C$141,Calendar!$A$16:$A$141,"&gt;="&amp;MAX(V$7,$J114),Calendar!$A$16:$A$141,"&lt;="&amp;MIN(V$7+4,$K114))*$H114/$G114)))</x:f>
        <x:v>0</x:v>
      </x:c>
      <x:c r="W114" s="45" t="n">
        <x:f>IF(OR($J114="",$K114=""),"",IF(SUMIFS(Calendar!$C$16:$C$141,Calendar!$A$16:$A$141,"&gt;="&amp;MAX(W$7,$J114),Calendar!$A$16:$A$141,"&lt;="&amp;MIN(W$7+4,$K114))=0,0,IF($H114="","EXT",SUMIFS(Calendar!$C$16:$C$141,Calendar!$A$16:$A$141,"&gt;="&amp;MAX(W$7,$J114),Calendar!$A$16:$A$141,"&lt;="&amp;MIN(W$7+4,$K114))*$H114/$G114)))</x:f>
        <x:v>0</x:v>
      </x:c>
      <x:c r="X114" s="45" t="n">
        <x:f>IF(OR($J114="",$K114=""),"",IF(SUMIFS(Calendar!$C$16:$C$141,Calendar!$A$16:$A$141,"&gt;="&amp;MAX(X$7,$J114),Calendar!$A$16:$A$141,"&lt;="&amp;MIN(X$7+4,$K114))=0,0,IF($H114="","EXT",SUMIFS(Calendar!$C$16:$C$141,Calendar!$A$16:$A$141,"&gt;="&amp;MAX(X$7,$J114),Calendar!$A$16:$A$141,"&lt;="&amp;MIN(X$7+4,$K114))*$H114/$G114)))</x:f>
        <x:v>0</x:v>
      </x:c>
      <x:c r="Y114" s="45" t="n">
        <x:f>IF(OR($J114="",$K114=""),"",IF(SUMIFS(Calendar!$C$16:$C$141,Calendar!$A$16:$A$141,"&gt;="&amp;MAX(Y$7,$J114),Calendar!$A$16:$A$141,"&lt;="&amp;MIN(Y$7+4,$K114))=0,0,IF($H114="","EXT",SUMIFS(Calendar!$C$16:$C$141,Calendar!$A$16:$A$141,"&gt;="&amp;MAX(Y$7,$J114),Calendar!$A$16:$A$141,"&lt;="&amp;MIN(Y$7+4,$K114))*$H114/$G114)))</x:f>
        <x:v>0</x:v>
      </x:c>
      <x:c r="Z114" s="45" t="n">
        <x:f>IF(OR($J114="",$K114=""),"",IF(SUMIFS(Calendar!$C$16:$C$141,Calendar!$A$16:$A$141,"&gt;="&amp;MAX(Z$7,$J114),Calendar!$A$16:$A$141,"&lt;="&amp;MIN(Z$7+4,$K114))=0,0,IF($H114="","EXT",SUMIFS(Calendar!$C$16:$C$141,Calendar!$A$16:$A$141,"&gt;="&amp;MAX(Z$7,$J114),Calendar!$A$16:$A$141,"&lt;="&amp;MIN(Z$7+4,$K114))*$H114/$G114)))</x:f>
        <x:v>0</x:v>
      </x:c>
      <x:c r="AA114" s="45" t="n">
        <x:f>IF(OR($J114="",$K114=""),"",IF(SUMIFS(Calendar!$C$16:$C$141,Calendar!$A$16:$A$141,"&gt;="&amp;MAX(AA$7,$J114),Calendar!$A$16:$A$141,"&lt;="&amp;MIN(AA$7+4,$K114))=0,0,IF($H114="","EXT",SUMIFS(Calendar!$C$16:$C$141,Calendar!$A$16:$A$141,"&gt;="&amp;MAX(AA$7,$J114),Calendar!$A$16:$A$141,"&lt;="&amp;MIN(AA$7+4,$K114))*$H114/$G114)))</x:f>
        <x:v>0</x:v>
      </x:c>
      <x:c r="AB114" s="45" t="n">
        <x:f>IF(OR($J114="",$K114=""),"",IF(SUMIFS(Calendar!$C$16:$C$141,Calendar!$A$16:$A$141,"&gt;="&amp;MAX(AB$7,$J114),Calendar!$A$16:$A$141,"&lt;="&amp;MIN(AB$7+4,$K114))=0,0,IF($H114="","EXT",SUMIFS(Calendar!$C$16:$C$141,Calendar!$A$16:$A$141,"&gt;="&amp;MAX(AB$7,$J114),Calendar!$A$16:$A$141,"&lt;="&amp;MIN(AB$7+4,$K114))*$H114/$G114)))</x:f>
        <x:v>0</x:v>
      </x:c>
      <x:c r="AC114" s="45" t="n">
        <x:f>IF(OR($J114="",$K114=""),"",IF(SUMIFS(Calendar!$C$16:$C$141,Calendar!$A$16:$A$141,"&gt;="&amp;MAX(AC$7,$J114),Calendar!$A$16:$A$141,"&lt;="&amp;MIN(AC$7+4,$K114))=0,0,IF($H114="","EXT",SUMIFS(Calendar!$C$16:$C$141,Calendar!$A$16:$A$141,"&gt;="&amp;MAX(AC$7,$J114),Calendar!$A$16:$A$141,"&lt;="&amp;MIN(AC$7+4,$K114))*$H114/$G114)))</x:f>
        <x:v>0</x:v>
      </x:c>
      <x:c r="AD114" s="45" t="n">
        <x:f>IF(OR($J114="",$K114=""),"",IF(SUMIFS(Calendar!$C$16:$C$141,Calendar!$A$16:$A$141,"&gt;="&amp;MAX(AD$7,$J114),Calendar!$A$16:$A$141,"&lt;="&amp;MIN(AD$7+4,$K114))=0,0,IF($H114="","EXT",SUMIFS(Calendar!$C$16:$C$141,Calendar!$A$16:$A$141,"&gt;="&amp;MAX(AD$7,$J114),Calendar!$A$16:$A$141,"&lt;="&amp;MIN(AD$7+4,$K114))*$H114/$G114)))</x:f>
        <x:v>0</x:v>
      </x:c>
      <x:c r="AE114" s="45" t="n">
        <x:f>IF(OR($J114="",$K114=""),"",IF(SUMIFS(Calendar!$C$16:$C$141,Calendar!$A$16:$A$141,"&gt;="&amp;MAX(AE$7,$J114),Calendar!$A$16:$A$141,"&lt;="&amp;MIN(AE$7+4,$K114))=0,0,IF($H114="","EXT",SUMIFS(Calendar!$C$16:$C$141,Calendar!$A$16:$A$141,"&gt;="&amp;MAX(AE$7,$J114),Calendar!$A$16:$A$141,"&lt;="&amp;MIN(AE$7+4,$K114))*$H114/$G114)))</x:f>
        <x:v>0</x:v>
      </x:c>
      <x:c r="AF114" s="8" t="n">
        <x:f>IF(OR(M114&lt;&gt;"Scheduled",INDEX('Team and Gates'!$C$7:$C$13,MATCH($D114,'Team and Gates'!$A$7:$A$13,0))=""),"CHECK",SUM(N114:AE114)*INDEX('Team and Gates'!$C$7:$C$13,MATCH($D114,'Team and Gates'!$A$7:$A$13,0)))</x:f>
        <x:v>576</x:v>
      </x:c>
      <x:c r="AG114" s="46" t="str">
        <x:v>Reviewed preparation artifact, mapped to FSD/AC and handoff checklist.</x:v>
      </x:c>
      <x:c r="AH114" s="46" t="str">
        <x:v> BA prepares FSD and default Cases; business owner provides formal signoff.</x:v>
      </x:c>
    </x:row>
    <x:row r="115" ht="45" customHeight="1">
      <x:c r="A115" s="39" t="str">
        <x:v>BA03</x:v>
      </x:c>
      <x:c r="B115" s="39" t="str">
        <x:v>FSD / business</x:v>
      </x:c>
      <x:c r="C115" s="47" t="str">
        <x:v>Resolve FSD review comments; obtain FSD SIGNOFF</x:v>
      </x:c>
      <x:c r="D115" s="20" t="str">
        <x:v>BA</x:v>
      </x:c>
      <x:c r="E115" s="47" t="str">
        <x:v>BA02</x:v>
      </x:c>
      <x:c r="F115" s="50" t="n">
        <x:v>8</x:v>
      </x:c>
      <x:c r="G115" s="50" t="n">
        <x:v>3</x:v>
      </x:c>
      <x:c r="H115" s="51" t="n">
        <x:v>2.4</x:v>
      </x:c>
      <x:c r="I115" s="39" t="n">
        <x:f>IF(OR(F115="",G115=""),"",F115+G115-1)</x:f>
        <x:v>10</x:v>
      </x:c>
      <x:c r="J115" s="41" t="n">
        <x:f>IF(OR(F115="",F115&lt;1,F115&gt;Calendar!$B$9),"",INDEX(Calendar!$A$16:$A$141,MATCH(F115,Calendar!$D$16:$D$141,0)))</x:f>
        <x:v>46337</x:v>
      </x:c>
      <x:c r="K115" s="41" t="n">
        <x:f>IF(OR(I115="",I115&lt;1,I115&gt;Calendar!$B$9),"",INDEX(Calendar!$A$16:$A$141,MATCH(I115,Calendar!$D$16:$D$141,0)))</x:f>
        <x:v>46339</x:v>
      </x:c>
      <x:c r="L115" s="53" t="n">
        <x:v>0</x:v>
      </x:c>
      <x:c r="M115" s="39" t="str">
        <x:f>IF(OR(F115="",G115="",H115=""),"Missing input",IF(OR(F115&lt;1,G115&lt;1,I115&gt;Calendar!$B$9),"Outside calendar",IF(F115&lt;MAX(INDEX($I$8:$I$157,MATCH("BA02",$A$8:$A$157,0))+1),"Dependency conflict","Scheduled")))</x:f>
        <x:v>Scheduled</x:v>
      </x:c>
      <x:c r="N115" s="45" t="n">
        <x:f>IF(OR($J115="",$K115=""),"",IF(SUMIFS(Calendar!$C$16:$C$141,Calendar!$A$16:$A$141,"&gt;="&amp;MAX(N$7,$J115),Calendar!$A$16:$A$141,"&lt;="&amp;MIN(N$7+4,$K115))=0,0,IF($H115="","EXT",SUMIFS(Calendar!$C$16:$C$141,Calendar!$A$16:$A$141,"&gt;="&amp;MAX(N$7,$J115),Calendar!$A$16:$A$141,"&lt;="&amp;MIN(N$7+4,$K115))*$H115/$G115)))</x:f>
        <x:v>0</x:v>
      </x:c>
      <x:c r="O115" s="45" t="n">
        <x:f>IF(OR($J115="",$K115=""),"",IF(SUMIFS(Calendar!$C$16:$C$141,Calendar!$A$16:$A$141,"&gt;="&amp;MAX(O$7,$J115),Calendar!$A$16:$A$141,"&lt;="&amp;MIN(O$7+4,$K115))=0,0,IF($H115="","EXT",SUMIFS(Calendar!$C$16:$C$141,Calendar!$A$16:$A$141,"&gt;="&amp;MAX(O$7,$J115),Calendar!$A$16:$A$141,"&lt;="&amp;MIN(O$7+4,$K115))*$H115/$G115)))</x:f>
        <x:v>2.4</x:v>
      </x:c>
      <x:c r="P115" s="45" t="n">
        <x:f>IF(OR($J115="",$K115=""),"",IF(SUMIFS(Calendar!$C$16:$C$141,Calendar!$A$16:$A$141,"&gt;="&amp;MAX(P$7,$J115),Calendar!$A$16:$A$141,"&lt;="&amp;MIN(P$7+4,$K115))=0,0,IF($H115="","EXT",SUMIFS(Calendar!$C$16:$C$141,Calendar!$A$16:$A$141,"&gt;="&amp;MAX(P$7,$J115),Calendar!$A$16:$A$141,"&lt;="&amp;MIN(P$7+4,$K115))*$H115/$G115)))</x:f>
        <x:v>0</x:v>
      </x:c>
      <x:c r="Q115" s="45" t="n">
        <x:f>IF(OR($J115="",$K115=""),"",IF(SUMIFS(Calendar!$C$16:$C$141,Calendar!$A$16:$A$141,"&gt;="&amp;MAX(Q$7,$J115),Calendar!$A$16:$A$141,"&lt;="&amp;MIN(Q$7+4,$K115))=0,0,IF($H115="","EXT",SUMIFS(Calendar!$C$16:$C$141,Calendar!$A$16:$A$141,"&gt;="&amp;MAX(Q$7,$J115),Calendar!$A$16:$A$141,"&lt;="&amp;MIN(Q$7+4,$K115))*$H115/$G115)))</x:f>
        <x:v>0</x:v>
      </x:c>
      <x:c r="R115" s="45" t="n">
        <x:f>IF(OR($J115="",$K115=""),"",IF(SUMIFS(Calendar!$C$16:$C$141,Calendar!$A$16:$A$141,"&gt;="&amp;MAX(R$7,$J115),Calendar!$A$16:$A$141,"&lt;="&amp;MIN(R$7+4,$K115))=0,0,IF($H115="","EXT",SUMIFS(Calendar!$C$16:$C$141,Calendar!$A$16:$A$141,"&gt;="&amp;MAX(R$7,$J115),Calendar!$A$16:$A$141,"&lt;="&amp;MIN(R$7+4,$K115))*$H115/$G115)))</x:f>
        <x:v>0</x:v>
      </x:c>
      <x:c r="S115" s="45" t="n">
        <x:f>IF(OR($J115="",$K115=""),"",IF(SUMIFS(Calendar!$C$16:$C$141,Calendar!$A$16:$A$141,"&gt;="&amp;MAX(S$7,$J115),Calendar!$A$16:$A$141,"&lt;="&amp;MIN(S$7+4,$K115))=0,0,IF($H115="","EXT",SUMIFS(Calendar!$C$16:$C$141,Calendar!$A$16:$A$141,"&gt;="&amp;MAX(S$7,$J115),Calendar!$A$16:$A$141,"&lt;="&amp;MIN(S$7+4,$K115))*$H115/$G115)))</x:f>
        <x:v>0</x:v>
      </x:c>
      <x:c r="T115" s="45" t="n">
        <x:f>IF(OR($J115="",$K115=""),"",IF(SUMIFS(Calendar!$C$16:$C$141,Calendar!$A$16:$A$141,"&gt;="&amp;MAX(T$7,$J115),Calendar!$A$16:$A$141,"&lt;="&amp;MIN(T$7+4,$K115))=0,0,IF($H115="","EXT",SUMIFS(Calendar!$C$16:$C$141,Calendar!$A$16:$A$141,"&gt;="&amp;MAX(T$7,$J115),Calendar!$A$16:$A$141,"&lt;="&amp;MIN(T$7+4,$K115))*$H115/$G115)))</x:f>
        <x:v>0</x:v>
      </x:c>
      <x:c r="U115" s="45" t="n">
        <x:f>IF(OR($J115="",$K115=""),"",IF(SUMIFS(Calendar!$C$16:$C$141,Calendar!$A$16:$A$141,"&gt;="&amp;MAX(U$7,$J115),Calendar!$A$16:$A$141,"&lt;="&amp;MIN(U$7+4,$K115))=0,0,IF($H115="","EXT",SUMIFS(Calendar!$C$16:$C$141,Calendar!$A$16:$A$141,"&gt;="&amp;MAX(U$7,$J115),Calendar!$A$16:$A$141,"&lt;="&amp;MIN(U$7+4,$K115))*$H115/$G115)))</x:f>
        <x:v>0</x:v>
      </x:c>
      <x:c r="V115" s="45" t="n">
        <x:f>IF(OR($J115="",$K115=""),"",IF(SUMIFS(Calendar!$C$16:$C$141,Calendar!$A$16:$A$141,"&gt;="&amp;MAX(V$7,$J115),Calendar!$A$16:$A$141,"&lt;="&amp;MIN(V$7+4,$K115))=0,0,IF($H115="","EXT",SUMIFS(Calendar!$C$16:$C$141,Calendar!$A$16:$A$141,"&gt;="&amp;MAX(V$7,$J115),Calendar!$A$16:$A$141,"&lt;="&amp;MIN(V$7+4,$K115))*$H115/$G115)))</x:f>
        <x:v>0</x:v>
      </x:c>
      <x:c r="W115" s="45" t="n">
        <x:f>IF(OR($J115="",$K115=""),"",IF(SUMIFS(Calendar!$C$16:$C$141,Calendar!$A$16:$A$141,"&gt;="&amp;MAX(W$7,$J115),Calendar!$A$16:$A$141,"&lt;="&amp;MIN(W$7+4,$K115))=0,0,IF($H115="","EXT",SUMIFS(Calendar!$C$16:$C$141,Calendar!$A$16:$A$141,"&gt;="&amp;MAX(W$7,$J115),Calendar!$A$16:$A$141,"&lt;="&amp;MIN(W$7+4,$K115))*$H115/$G115)))</x:f>
        <x:v>0</x:v>
      </x:c>
      <x:c r="X115" s="45" t="n">
        <x:f>IF(OR($J115="",$K115=""),"",IF(SUMIFS(Calendar!$C$16:$C$141,Calendar!$A$16:$A$141,"&gt;="&amp;MAX(X$7,$J115),Calendar!$A$16:$A$141,"&lt;="&amp;MIN(X$7+4,$K115))=0,0,IF($H115="","EXT",SUMIFS(Calendar!$C$16:$C$141,Calendar!$A$16:$A$141,"&gt;="&amp;MAX(X$7,$J115),Calendar!$A$16:$A$141,"&lt;="&amp;MIN(X$7+4,$K115))*$H115/$G115)))</x:f>
        <x:v>0</x:v>
      </x:c>
      <x:c r="Y115" s="45" t="n">
        <x:f>IF(OR($J115="",$K115=""),"",IF(SUMIFS(Calendar!$C$16:$C$141,Calendar!$A$16:$A$141,"&gt;="&amp;MAX(Y$7,$J115),Calendar!$A$16:$A$141,"&lt;="&amp;MIN(Y$7+4,$K115))=0,0,IF($H115="","EXT",SUMIFS(Calendar!$C$16:$C$141,Calendar!$A$16:$A$141,"&gt;="&amp;MAX(Y$7,$J115),Calendar!$A$16:$A$141,"&lt;="&amp;MIN(Y$7+4,$K115))*$H115/$G115)))</x:f>
        <x:v>0</x:v>
      </x:c>
      <x:c r="Z115" s="45" t="n">
        <x:f>IF(OR($J115="",$K115=""),"",IF(SUMIFS(Calendar!$C$16:$C$141,Calendar!$A$16:$A$141,"&gt;="&amp;MAX(Z$7,$J115),Calendar!$A$16:$A$141,"&lt;="&amp;MIN(Z$7+4,$K115))=0,0,IF($H115="","EXT",SUMIFS(Calendar!$C$16:$C$141,Calendar!$A$16:$A$141,"&gt;="&amp;MAX(Z$7,$J115),Calendar!$A$16:$A$141,"&lt;="&amp;MIN(Z$7+4,$K115))*$H115/$G115)))</x:f>
        <x:v>0</x:v>
      </x:c>
      <x:c r="AA115" s="45" t="n">
        <x:f>IF(OR($J115="",$K115=""),"",IF(SUMIFS(Calendar!$C$16:$C$141,Calendar!$A$16:$A$141,"&gt;="&amp;MAX(AA$7,$J115),Calendar!$A$16:$A$141,"&lt;="&amp;MIN(AA$7+4,$K115))=0,0,IF($H115="","EXT",SUMIFS(Calendar!$C$16:$C$141,Calendar!$A$16:$A$141,"&gt;="&amp;MAX(AA$7,$J115),Calendar!$A$16:$A$141,"&lt;="&amp;MIN(AA$7+4,$K115))*$H115/$G115)))</x:f>
        <x:v>0</x:v>
      </x:c>
      <x:c r="AB115" s="45" t="n">
        <x:f>IF(OR($J115="",$K115=""),"",IF(SUMIFS(Calendar!$C$16:$C$141,Calendar!$A$16:$A$141,"&gt;="&amp;MAX(AB$7,$J115),Calendar!$A$16:$A$141,"&lt;="&amp;MIN(AB$7+4,$K115))=0,0,IF($H115="","EXT",SUMIFS(Calendar!$C$16:$C$141,Calendar!$A$16:$A$141,"&gt;="&amp;MAX(AB$7,$J115),Calendar!$A$16:$A$141,"&lt;="&amp;MIN(AB$7+4,$K115))*$H115/$G115)))</x:f>
        <x:v>0</x:v>
      </x:c>
      <x:c r="AC115" s="45" t="n">
        <x:f>IF(OR($J115="",$K115=""),"",IF(SUMIFS(Calendar!$C$16:$C$141,Calendar!$A$16:$A$141,"&gt;="&amp;MAX(AC$7,$J115),Calendar!$A$16:$A$141,"&lt;="&amp;MIN(AC$7+4,$K115))=0,0,IF($H115="","EXT",SUMIFS(Calendar!$C$16:$C$141,Calendar!$A$16:$A$141,"&gt;="&amp;MAX(AC$7,$J115),Calendar!$A$16:$A$141,"&lt;="&amp;MIN(AC$7+4,$K115))*$H115/$G115)))</x:f>
        <x:v>0</x:v>
      </x:c>
      <x:c r="AD115" s="45" t="n">
        <x:f>IF(OR($J115="",$K115=""),"",IF(SUMIFS(Calendar!$C$16:$C$141,Calendar!$A$16:$A$141,"&gt;="&amp;MAX(AD$7,$J115),Calendar!$A$16:$A$141,"&lt;="&amp;MIN(AD$7+4,$K115))=0,0,IF($H115="","EXT",SUMIFS(Calendar!$C$16:$C$141,Calendar!$A$16:$A$141,"&gt;="&amp;MAX(AD$7,$J115),Calendar!$A$16:$A$141,"&lt;="&amp;MIN(AD$7+4,$K115))*$H115/$G115)))</x:f>
        <x:v>0</x:v>
      </x:c>
      <x:c r="AE115" s="45" t="n">
        <x:f>IF(OR($J115="",$K115=""),"",IF(SUMIFS(Calendar!$C$16:$C$141,Calendar!$A$16:$A$141,"&gt;="&amp;MAX(AE$7,$J115),Calendar!$A$16:$A$141,"&lt;="&amp;MIN(AE$7+4,$K115))=0,0,IF($H115="","EXT",SUMIFS(Calendar!$C$16:$C$141,Calendar!$A$16:$A$141,"&gt;="&amp;MAX(AE$7,$J115),Calendar!$A$16:$A$141,"&lt;="&amp;MIN(AE$7+4,$K115))*$H115/$G115)))</x:f>
        <x:v>0</x:v>
      </x:c>
      <x:c r="AF115" s="8" t="n">
        <x:f>IF(OR(M115&lt;&gt;"Scheduled",INDEX('Team and Gates'!$C$7:$C$13,MATCH($D115,'Team and Gates'!$A$7:$A$13,0))=""),"CHECK",SUM(N115:AE115)*INDEX('Team and Gates'!$C$7:$C$13,MATCH($D115,'Team and Gates'!$A$7:$A$13,0)))</x:f>
        <x:v>864</x:v>
      </x:c>
      <x:c r="AG115" s="46" t="str">
        <x:v>Business owner signs the FSD: every requirement has AC, default Case/Playbook examples, exclusions and quality targets.</x:v>
      </x:c>
      <x:c r="AH115" s="46" t="str">
        <x:v> BA prepares FSD and default Cases; business owner provides formal signoff.</x:v>
      </x:c>
    </x:row>
    <x:row r="116" ht="45" customHeight="1">
      <x:c r="A116" s="2" t="str">
        <x:v>BA04</x:v>
      </x:c>
      <x:c r="B116" s="2" t="str">
        <x:v>FSD / business</x:v>
      </x:c>
      <x:c r="C116" s="46" t="str">
        <x:v>Clarify signed FSD and Case/Open Item acceptance examples</x:v>
      </x:c>
      <x:c r="D116" s="20" t="str">
        <x:v>BA</x:v>
      </x:c>
      <x:c r="E116" s="46" t="str">
        <x:v>BA03</x:v>
      </x:c>
      <x:c r="F116" s="50" t="n">
        <x:v>11</x:v>
      </x:c>
      <x:c r="G116" s="50" t="n">
        <x:v>5</x:v>
      </x:c>
      <x:c r="H116" s="51" t="n">
        <x:v>2</x:v>
      </x:c>
      <x:c r="I116" s="2" t="n">
        <x:f>IF(OR(F116="",G116=""),"",F116+G116-1)</x:f>
        <x:v>15</x:v>
      </x:c>
      <x:c r="J116" s="5" t="n">
        <x:f>IF(OR(F116="",F116&lt;1,F116&gt;Calendar!$B$9),"",INDEX(Calendar!$A$16:$A$141,MATCH(F116,Calendar!$D$16:$D$141,0)))</x:f>
        <x:v>46342</x:v>
      </x:c>
      <x:c r="K116" s="5" t="n">
        <x:f>IF(OR(I116="",I116&lt;1,I116&gt;Calendar!$B$9),"",INDEX(Calendar!$A$16:$A$141,MATCH(I116,Calendar!$D$16:$D$141,0)))</x:f>
        <x:v>46346</x:v>
      </x:c>
      <x:c r="L116" s="53" t="n">
        <x:v>0</x:v>
      </x:c>
      <x:c r="M116" s="2" t="str">
        <x:f>IF(OR(F116="",G116="",H116=""),"Missing input",IF(OR(F116&lt;1,G116&lt;1,I116&gt;Calendar!$B$9),"Outside calendar",IF(F116&lt;MAX(INDEX($I$8:$I$157,MATCH("BA03",$A$8:$A$157,0))+1),"Dependency conflict","Scheduled")))</x:f>
        <x:v>Scheduled</x:v>
      </x:c>
      <x:c r="N116" s="45" t="n">
        <x:f>IF(OR($J116="",$K116=""),"",IF(SUMIFS(Calendar!$C$16:$C$141,Calendar!$A$16:$A$141,"&gt;="&amp;MAX(N$7,$J116),Calendar!$A$16:$A$141,"&lt;="&amp;MIN(N$7+4,$K116))=0,0,IF($H116="","EXT",SUMIFS(Calendar!$C$16:$C$141,Calendar!$A$16:$A$141,"&gt;="&amp;MAX(N$7,$J116),Calendar!$A$16:$A$141,"&lt;="&amp;MIN(N$7+4,$K116))*$H116/$G116)))</x:f>
        <x:v>0</x:v>
      </x:c>
      <x:c r="O116" s="45" t="n">
        <x:f>IF(OR($J116="",$K116=""),"",IF(SUMIFS(Calendar!$C$16:$C$141,Calendar!$A$16:$A$141,"&gt;="&amp;MAX(O$7,$J116),Calendar!$A$16:$A$141,"&lt;="&amp;MIN(O$7+4,$K116))=0,0,IF($H116="","EXT",SUMIFS(Calendar!$C$16:$C$141,Calendar!$A$16:$A$141,"&gt;="&amp;MAX(O$7,$J116),Calendar!$A$16:$A$141,"&lt;="&amp;MIN(O$7+4,$K116))*$H116/$G116)))</x:f>
        <x:v>0</x:v>
      </x:c>
      <x:c r="P116" s="45" t="n">
        <x:f>IF(OR($J116="",$K116=""),"",IF(SUMIFS(Calendar!$C$16:$C$141,Calendar!$A$16:$A$141,"&gt;="&amp;MAX(P$7,$J116),Calendar!$A$16:$A$141,"&lt;="&amp;MIN(P$7+4,$K116))=0,0,IF($H116="","EXT",SUMIFS(Calendar!$C$16:$C$141,Calendar!$A$16:$A$141,"&gt;="&amp;MAX(P$7,$J116),Calendar!$A$16:$A$141,"&lt;="&amp;MIN(P$7+4,$K116))*$H116/$G116)))</x:f>
        <x:v>2</x:v>
      </x:c>
      <x:c r="Q116" s="45" t="n">
        <x:f>IF(OR($J116="",$K116=""),"",IF(SUMIFS(Calendar!$C$16:$C$141,Calendar!$A$16:$A$141,"&gt;="&amp;MAX(Q$7,$J116),Calendar!$A$16:$A$141,"&lt;="&amp;MIN(Q$7+4,$K116))=0,0,IF($H116="","EXT",SUMIFS(Calendar!$C$16:$C$141,Calendar!$A$16:$A$141,"&gt;="&amp;MAX(Q$7,$J116),Calendar!$A$16:$A$141,"&lt;="&amp;MIN(Q$7+4,$K116))*$H116/$G116)))</x:f>
        <x:v>0</x:v>
      </x:c>
      <x:c r="R116" s="45" t="n">
        <x:f>IF(OR($J116="",$K116=""),"",IF(SUMIFS(Calendar!$C$16:$C$141,Calendar!$A$16:$A$141,"&gt;="&amp;MAX(R$7,$J116),Calendar!$A$16:$A$141,"&lt;="&amp;MIN(R$7+4,$K116))=0,0,IF($H116="","EXT",SUMIFS(Calendar!$C$16:$C$141,Calendar!$A$16:$A$141,"&gt;="&amp;MAX(R$7,$J116),Calendar!$A$16:$A$141,"&lt;="&amp;MIN(R$7+4,$K116))*$H116/$G116)))</x:f>
        <x:v>0</x:v>
      </x:c>
      <x:c r="S116" s="45" t="n">
        <x:f>IF(OR($J116="",$K116=""),"",IF(SUMIFS(Calendar!$C$16:$C$141,Calendar!$A$16:$A$141,"&gt;="&amp;MAX(S$7,$J116),Calendar!$A$16:$A$141,"&lt;="&amp;MIN(S$7+4,$K116))=0,0,IF($H116="","EXT",SUMIFS(Calendar!$C$16:$C$141,Calendar!$A$16:$A$141,"&gt;="&amp;MAX(S$7,$J116),Calendar!$A$16:$A$141,"&lt;="&amp;MIN(S$7+4,$K116))*$H116/$G116)))</x:f>
        <x:v>0</x:v>
      </x:c>
      <x:c r="T116" s="45" t="n">
        <x:f>IF(OR($J116="",$K116=""),"",IF(SUMIFS(Calendar!$C$16:$C$141,Calendar!$A$16:$A$141,"&gt;="&amp;MAX(T$7,$J116),Calendar!$A$16:$A$141,"&lt;="&amp;MIN(T$7+4,$K116))=0,0,IF($H116="","EXT",SUMIFS(Calendar!$C$16:$C$141,Calendar!$A$16:$A$141,"&gt;="&amp;MAX(T$7,$J116),Calendar!$A$16:$A$141,"&lt;="&amp;MIN(T$7+4,$K116))*$H116/$G116)))</x:f>
        <x:v>0</x:v>
      </x:c>
      <x:c r="U116" s="45" t="n">
        <x:f>IF(OR($J116="",$K116=""),"",IF(SUMIFS(Calendar!$C$16:$C$141,Calendar!$A$16:$A$141,"&gt;="&amp;MAX(U$7,$J116),Calendar!$A$16:$A$141,"&lt;="&amp;MIN(U$7+4,$K116))=0,0,IF($H116="","EXT",SUMIFS(Calendar!$C$16:$C$141,Calendar!$A$16:$A$141,"&gt;="&amp;MAX(U$7,$J116),Calendar!$A$16:$A$141,"&lt;="&amp;MIN(U$7+4,$K116))*$H116/$G116)))</x:f>
        <x:v>0</x:v>
      </x:c>
      <x:c r="V116" s="45" t="n">
        <x:f>IF(OR($J116="",$K116=""),"",IF(SUMIFS(Calendar!$C$16:$C$141,Calendar!$A$16:$A$141,"&gt;="&amp;MAX(V$7,$J116),Calendar!$A$16:$A$141,"&lt;="&amp;MIN(V$7+4,$K116))=0,0,IF($H116="","EXT",SUMIFS(Calendar!$C$16:$C$141,Calendar!$A$16:$A$141,"&gt;="&amp;MAX(V$7,$J116),Calendar!$A$16:$A$141,"&lt;="&amp;MIN(V$7+4,$K116))*$H116/$G116)))</x:f>
        <x:v>0</x:v>
      </x:c>
      <x:c r="W116" s="45" t="n">
        <x:f>IF(OR($J116="",$K116=""),"",IF(SUMIFS(Calendar!$C$16:$C$141,Calendar!$A$16:$A$141,"&gt;="&amp;MAX(W$7,$J116),Calendar!$A$16:$A$141,"&lt;="&amp;MIN(W$7+4,$K116))=0,0,IF($H116="","EXT",SUMIFS(Calendar!$C$16:$C$141,Calendar!$A$16:$A$141,"&gt;="&amp;MAX(W$7,$J116),Calendar!$A$16:$A$141,"&lt;="&amp;MIN(W$7+4,$K116))*$H116/$G116)))</x:f>
        <x:v>0</x:v>
      </x:c>
      <x:c r="X116" s="45" t="n">
        <x:f>IF(OR($J116="",$K116=""),"",IF(SUMIFS(Calendar!$C$16:$C$141,Calendar!$A$16:$A$141,"&gt;="&amp;MAX(X$7,$J116),Calendar!$A$16:$A$141,"&lt;="&amp;MIN(X$7+4,$K116))=0,0,IF($H116="","EXT",SUMIFS(Calendar!$C$16:$C$141,Calendar!$A$16:$A$141,"&gt;="&amp;MAX(X$7,$J116),Calendar!$A$16:$A$141,"&lt;="&amp;MIN(X$7+4,$K116))*$H116/$G116)))</x:f>
        <x:v>0</x:v>
      </x:c>
      <x:c r="Y116" s="45" t="n">
        <x:f>IF(OR($J116="",$K116=""),"",IF(SUMIFS(Calendar!$C$16:$C$141,Calendar!$A$16:$A$141,"&gt;="&amp;MAX(Y$7,$J116),Calendar!$A$16:$A$141,"&lt;="&amp;MIN(Y$7+4,$K116))=0,0,IF($H116="","EXT",SUMIFS(Calendar!$C$16:$C$141,Calendar!$A$16:$A$141,"&gt;="&amp;MAX(Y$7,$J116),Calendar!$A$16:$A$141,"&lt;="&amp;MIN(Y$7+4,$K116))*$H116/$G116)))</x:f>
        <x:v>0</x:v>
      </x:c>
      <x:c r="Z116" s="45" t="n">
        <x:f>IF(OR($J116="",$K116=""),"",IF(SUMIFS(Calendar!$C$16:$C$141,Calendar!$A$16:$A$141,"&gt;="&amp;MAX(Z$7,$J116),Calendar!$A$16:$A$141,"&lt;="&amp;MIN(Z$7+4,$K116))=0,0,IF($H116="","EXT",SUMIFS(Calendar!$C$16:$C$141,Calendar!$A$16:$A$141,"&gt;="&amp;MAX(Z$7,$J116),Calendar!$A$16:$A$141,"&lt;="&amp;MIN(Z$7+4,$K116))*$H116/$G116)))</x:f>
        <x:v>0</x:v>
      </x:c>
      <x:c r="AA116" s="45" t="n">
        <x:f>IF(OR($J116="",$K116=""),"",IF(SUMIFS(Calendar!$C$16:$C$141,Calendar!$A$16:$A$141,"&gt;="&amp;MAX(AA$7,$J116),Calendar!$A$16:$A$141,"&lt;="&amp;MIN(AA$7+4,$K116))=0,0,IF($H116="","EXT",SUMIFS(Calendar!$C$16:$C$141,Calendar!$A$16:$A$141,"&gt;="&amp;MAX(AA$7,$J116),Calendar!$A$16:$A$141,"&lt;="&amp;MIN(AA$7+4,$K116))*$H116/$G116)))</x:f>
        <x:v>0</x:v>
      </x:c>
      <x:c r="AB116" s="45" t="n">
        <x:f>IF(OR($J116="",$K116=""),"",IF(SUMIFS(Calendar!$C$16:$C$141,Calendar!$A$16:$A$141,"&gt;="&amp;MAX(AB$7,$J116),Calendar!$A$16:$A$141,"&lt;="&amp;MIN(AB$7+4,$K116))=0,0,IF($H116="","EXT",SUMIFS(Calendar!$C$16:$C$141,Calendar!$A$16:$A$141,"&gt;="&amp;MAX(AB$7,$J116),Calendar!$A$16:$A$141,"&lt;="&amp;MIN(AB$7+4,$K116))*$H116/$G116)))</x:f>
        <x:v>0</x:v>
      </x:c>
      <x:c r="AC116" s="45" t="n">
        <x:f>IF(OR($J116="",$K116=""),"",IF(SUMIFS(Calendar!$C$16:$C$141,Calendar!$A$16:$A$141,"&gt;="&amp;MAX(AC$7,$J116),Calendar!$A$16:$A$141,"&lt;="&amp;MIN(AC$7+4,$K116))=0,0,IF($H116="","EXT",SUMIFS(Calendar!$C$16:$C$141,Calendar!$A$16:$A$141,"&gt;="&amp;MAX(AC$7,$J116),Calendar!$A$16:$A$141,"&lt;="&amp;MIN(AC$7+4,$K116))*$H116/$G116)))</x:f>
        <x:v>0</x:v>
      </x:c>
      <x:c r="AD116" s="45" t="n">
        <x:f>IF(OR($J116="",$K116=""),"",IF(SUMIFS(Calendar!$C$16:$C$141,Calendar!$A$16:$A$141,"&gt;="&amp;MAX(AD$7,$J116),Calendar!$A$16:$A$141,"&lt;="&amp;MIN(AD$7+4,$K116))=0,0,IF($H116="","EXT",SUMIFS(Calendar!$C$16:$C$141,Calendar!$A$16:$A$141,"&gt;="&amp;MAX(AD$7,$J116),Calendar!$A$16:$A$141,"&lt;="&amp;MIN(AD$7+4,$K116))*$H116/$G116)))</x:f>
        <x:v>0</x:v>
      </x:c>
      <x:c r="AE116" s="45" t="n">
        <x:f>IF(OR($J116="",$K116=""),"",IF(SUMIFS(Calendar!$C$16:$C$141,Calendar!$A$16:$A$141,"&gt;="&amp;MAX(AE$7,$J116),Calendar!$A$16:$A$141,"&lt;="&amp;MIN(AE$7+4,$K116))=0,0,IF($H116="","EXT",SUMIFS(Calendar!$C$16:$C$141,Calendar!$A$16:$A$141,"&gt;="&amp;MAX(AE$7,$J116),Calendar!$A$16:$A$141,"&lt;="&amp;MIN(AE$7+4,$K116))*$H116/$G116)))</x:f>
        <x:v>0</x:v>
      </x:c>
      <x:c r="AF116" s="8" t="n">
        <x:f>IF(OR(M116&lt;&gt;"Scheduled",INDEX('Team and Gates'!$C$7:$C$13,MATCH($D116,'Team and Gates'!$A$7:$A$13,0))=""),"CHECK",SUM(N116:AE116)*INDEX('Team and Gates'!$C$7:$C$13,MATCH($D116,'Team and Gates'!$A$7:$A$13,0)))</x:f>
        <x:v>720</x:v>
      </x:c>
      <x:c r="AG116" s="46" t="str">
        <x:v>Developer checks and positive/negative acceptance examples pass; review AI-generated code before handoff.</x:v>
      </x:c>
      <x:c r="AH116" s="46" t="str">
        <x:v>Three-week feature implementation window after FSD signoff; use Codex with developer review and continuous tests. BA prepares FSD and default Cases; business owner provides formal signoff.</x:v>
      </x:c>
    </x:row>
    <x:row r="117" ht="45" customHeight="1">
      <x:c r="A117" s="39" t="str">
        <x:v>BA05</x:v>
      </x:c>
      <x:c r="B117" s="39" t="str">
        <x:v>FSD / business</x:v>
      </x:c>
      <x:c r="C117" s="47" t="str">
        <x:v>Clarify Triage, customer identity and Local/Regional scenarios</x:v>
      </x:c>
      <x:c r="D117" s="20" t="str">
        <x:v>BA</x:v>
      </x:c>
      <x:c r="E117" s="47" t="str">
        <x:v>BA04</x:v>
      </x:c>
      <x:c r="F117" s="50" t="n">
        <x:v>16</x:v>
      </x:c>
      <x:c r="G117" s="50" t="n">
        <x:v>5</x:v>
      </x:c>
      <x:c r="H117" s="51" t="n">
        <x:v>2</x:v>
      </x:c>
      <x:c r="I117" s="39" t="n">
        <x:f>IF(OR(F117="",G117=""),"",F117+G117-1)</x:f>
        <x:v>20</x:v>
      </x:c>
      <x:c r="J117" s="41" t="n">
        <x:f>IF(OR(F117="",F117&lt;1,F117&gt;Calendar!$B$9),"",INDEX(Calendar!$A$16:$A$141,MATCH(F117,Calendar!$D$16:$D$141,0)))</x:f>
        <x:v>46349</x:v>
      </x:c>
      <x:c r="K117" s="41" t="n">
        <x:f>IF(OR(I117="",I117&lt;1,I117&gt;Calendar!$B$9),"",INDEX(Calendar!$A$16:$A$141,MATCH(I117,Calendar!$D$16:$D$141,0)))</x:f>
        <x:v>46353</x:v>
      </x:c>
      <x:c r="L117" s="53" t="n">
        <x:v>0</x:v>
      </x:c>
      <x:c r="M117" s="39" t="str">
        <x:f>IF(OR(F117="",G117="",H117=""),"Missing input",IF(OR(F117&lt;1,G117&lt;1,I117&gt;Calendar!$B$9),"Outside calendar",IF(F117&lt;MAX(INDEX($I$8:$I$157,MATCH("BA04",$A$8:$A$157,0))+1),"Dependency conflict","Scheduled")))</x:f>
        <x:v>Scheduled</x:v>
      </x:c>
      <x:c r="N117" s="45" t="n">
        <x:f>IF(OR($J117="",$K117=""),"",IF(SUMIFS(Calendar!$C$16:$C$141,Calendar!$A$16:$A$141,"&gt;="&amp;MAX(N$7,$J117),Calendar!$A$16:$A$141,"&lt;="&amp;MIN(N$7+4,$K117))=0,0,IF($H117="","EXT",SUMIFS(Calendar!$C$16:$C$141,Calendar!$A$16:$A$141,"&gt;="&amp;MAX(N$7,$J117),Calendar!$A$16:$A$141,"&lt;="&amp;MIN(N$7+4,$K117))*$H117/$G117)))</x:f>
        <x:v>0</x:v>
      </x:c>
      <x:c r="O117" s="45" t="n">
        <x:f>IF(OR($J117="",$K117=""),"",IF(SUMIFS(Calendar!$C$16:$C$141,Calendar!$A$16:$A$141,"&gt;="&amp;MAX(O$7,$J117),Calendar!$A$16:$A$141,"&lt;="&amp;MIN(O$7+4,$K117))=0,0,IF($H117="","EXT",SUMIFS(Calendar!$C$16:$C$141,Calendar!$A$16:$A$141,"&gt;="&amp;MAX(O$7,$J117),Calendar!$A$16:$A$141,"&lt;="&amp;MIN(O$7+4,$K117))*$H117/$G117)))</x:f>
        <x:v>0</x:v>
      </x:c>
      <x:c r="P117" s="45" t="n">
        <x:f>IF(OR($J117="",$K117=""),"",IF(SUMIFS(Calendar!$C$16:$C$141,Calendar!$A$16:$A$141,"&gt;="&amp;MAX(P$7,$J117),Calendar!$A$16:$A$141,"&lt;="&amp;MIN(P$7+4,$K117))=0,0,IF($H117="","EXT",SUMIFS(Calendar!$C$16:$C$141,Calendar!$A$16:$A$141,"&gt;="&amp;MAX(P$7,$J117),Calendar!$A$16:$A$141,"&lt;="&amp;MIN(P$7+4,$K117))*$H117/$G117)))</x:f>
        <x:v>0</x:v>
      </x:c>
      <x:c r="Q117" s="45" t="n">
        <x:f>IF(OR($J117="",$K117=""),"",IF(SUMIFS(Calendar!$C$16:$C$141,Calendar!$A$16:$A$141,"&gt;="&amp;MAX(Q$7,$J117),Calendar!$A$16:$A$141,"&lt;="&amp;MIN(Q$7+4,$K117))=0,0,IF($H117="","EXT",SUMIFS(Calendar!$C$16:$C$141,Calendar!$A$16:$A$141,"&gt;="&amp;MAX(Q$7,$J117),Calendar!$A$16:$A$141,"&lt;="&amp;MIN(Q$7+4,$K117))*$H117/$G117)))</x:f>
        <x:v>2</x:v>
      </x:c>
      <x:c r="R117" s="45" t="n">
        <x:f>IF(OR($J117="",$K117=""),"",IF(SUMIFS(Calendar!$C$16:$C$141,Calendar!$A$16:$A$141,"&gt;="&amp;MAX(R$7,$J117),Calendar!$A$16:$A$141,"&lt;="&amp;MIN(R$7+4,$K117))=0,0,IF($H117="","EXT",SUMIFS(Calendar!$C$16:$C$141,Calendar!$A$16:$A$141,"&gt;="&amp;MAX(R$7,$J117),Calendar!$A$16:$A$141,"&lt;="&amp;MIN(R$7+4,$K117))*$H117/$G117)))</x:f>
        <x:v>0</x:v>
      </x:c>
      <x:c r="S117" s="45" t="n">
        <x:f>IF(OR($J117="",$K117=""),"",IF(SUMIFS(Calendar!$C$16:$C$141,Calendar!$A$16:$A$141,"&gt;="&amp;MAX(S$7,$J117),Calendar!$A$16:$A$141,"&lt;="&amp;MIN(S$7+4,$K117))=0,0,IF($H117="","EXT",SUMIFS(Calendar!$C$16:$C$141,Calendar!$A$16:$A$141,"&gt;="&amp;MAX(S$7,$J117),Calendar!$A$16:$A$141,"&lt;="&amp;MIN(S$7+4,$K117))*$H117/$G117)))</x:f>
        <x:v>0</x:v>
      </x:c>
      <x:c r="T117" s="45" t="n">
        <x:f>IF(OR($J117="",$K117=""),"",IF(SUMIFS(Calendar!$C$16:$C$141,Calendar!$A$16:$A$141,"&gt;="&amp;MAX(T$7,$J117),Calendar!$A$16:$A$141,"&lt;="&amp;MIN(T$7+4,$K117))=0,0,IF($H117="","EXT",SUMIFS(Calendar!$C$16:$C$141,Calendar!$A$16:$A$141,"&gt;="&amp;MAX(T$7,$J117),Calendar!$A$16:$A$141,"&lt;="&amp;MIN(T$7+4,$K117))*$H117/$G117)))</x:f>
        <x:v>0</x:v>
      </x:c>
      <x:c r="U117" s="45" t="n">
        <x:f>IF(OR($J117="",$K117=""),"",IF(SUMIFS(Calendar!$C$16:$C$141,Calendar!$A$16:$A$141,"&gt;="&amp;MAX(U$7,$J117),Calendar!$A$16:$A$141,"&lt;="&amp;MIN(U$7+4,$K117))=0,0,IF($H117="","EXT",SUMIFS(Calendar!$C$16:$C$141,Calendar!$A$16:$A$141,"&gt;="&amp;MAX(U$7,$J117),Calendar!$A$16:$A$141,"&lt;="&amp;MIN(U$7+4,$K117))*$H117/$G117)))</x:f>
        <x:v>0</x:v>
      </x:c>
      <x:c r="V117" s="45" t="n">
        <x:f>IF(OR($J117="",$K117=""),"",IF(SUMIFS(Calendar!$C$16:$C$141,Calendar!$A$16:$A$141,"&gt;="&amp;MAX(V$7,$J117),Calendar!$A$16:$A$141,"&lt;="&amp;MIN(V$7+4,$K117))=0,0,IF($H117="","EXT",SUMIFS(Calendar!$C$16:$C$141,Calendar!$A$16:$A$141,"&gt;="&amp;MAX(V$7,$J117),Calendar!$A$16:$A$141,"&lt;="&amp;MIN(V$7+4,$K117))*$H117/$G117)))</x:f>
        <x:v>0</x:v>
      </x:c>
      <x:c r="W117" s="45" t="n">
        <x:f>IF(OR($J117="",$K117=""),"",IF(SUMIFS(Calendar!$C$16:$C$141,Calendar!$A$16:$A$141,"&gt;="&amp;MAX(W$7,$J117),Calendar!$A$16:$A$141,"&lt;="&amp;MIN(W$7+4,$K117))=0,0,IF($H117="","EXT",SUMIFS(Calendar!$C$16:$C$141,Calendar!$A$16:$A$141,"&gt;="&amp;MAX(W$7,$J117),Calendar!$A$16:$A$141,"&lt;="&amp;MIN(W$7+4,$K117))*$H117/$G117)))</x:f>
        <x:v>0</x:v>
      </x:c>
      <x:c r="X117" s="45" t="n">
        <x:f>IF(OR($J117="",$K117=""),"",IF(SUMIFS(Calendar!$C$16:$C$141,Calendar!$A$16:$A$141,"&gt;="&amp;MAX(X$7,$J117),Calendar!$A$16:$A$141,"&lt;="&amp;MIN(X$7+4,$K117))=0,0,IF($H117="","EXT",SUMIFS(Calendar!$C$16:$C$141,Calendar!$A$16:$A$141,"&gt;="&amp;MAX(X$7,$J117),Calendar!$A$16:$A$141,"&lt;="&amp;MIN(X$7+4,$K117))*$H117/$G117)))</x:f>
        <x:v>0</x:v>
      </x:c>
      <x:c r="Y117" s="45" t="n">
        <x:f>IF(OR($J117="",$K117=""),"",IF(SUMIFS(Calendar!$C$16:$C$141,Calendar!$A$16:$A$141,"&gt;="&amp;MAX(Y$7,$J117),Calendar!$A$16:$A$141,"&lt;="&amp;MIN(Y$7+4,$K117))=0,0,IF($H117="","EXT",SUMIFS(Calendar!$C$16:$C$141,Calendar!$A$16:$A$141,"&gt;="&amp;MAX(Y$7,$J117),Calendar!$A$16:$A$141,"&lt;="&amp;MIN(Y$7+4,$K117))*$H117/$G117)))</x:f>
        <x:v>0</x:v>
      </x:c>
      <x:c r="Z117" s="45" t="n">
        <x:f>IF(OR($J117="",$K117=""),"",IF(SUMIFS(Calendar!$C$16:$C$141,Calendar!$A$16:$A$141,"&gt;="&amp;MAX(Z$7,$J117),Calendar!$A$16:$A$141,"&lt;="&amp;MIN(Z$7+4,$K117))=0,0,IF($H117="","EXT",SUMIFS(Calendar!$C$16:$C$141,Calendar!$A$16:$A$141,"&gt;="&amp;MAX(Z$7,$J117),Calendar!$A$16:$A$141,"&lt;="&amp;MIN(Z$7+4,$K117))*$H117/$G117)))</x:f>
        <x:v>0</x:v>
      </x:c>
      <x:c r="AA117" s="45" t="n">
        <x:f>IF(OR($J117="",$K117=""),"",IF(SUMIFS(Calendar!$C$16:$C$141,Calendar!$A$16:$A$141,"&gt;="&amp;MAX(AA$7,$J117),Calendar!$A$16:$A$141,"&lt;="&amp;MIN(AA$7+4,$K117))=0,0,IF($H117="","EXT",SUMIFS(Calendar!$C$16:$C$141,Calendar!$A$16:$A$141,"&gt;="&amp;MAX(AA$7,$J117),Calendar!$A$16:$A$141,"&lt;="&amp;MIN(AA$7+4,$K117))*$H117/$G117)))</x:f>
        <x:v>0</x:v>
      </x:c>
      <x:c r="AB117" s="45" t="n">
        <x:f>IF(OR($J117="",$K117=""),"",IF(SUMIFS(Calendar!$C$16:$C$141,Calendar!$A$16:$A$141,"&gt;="&amp;MAX(AB$7,$J117),Calendar!$A$16:$A$141,"&lt;="&amp;MIN(AB$7+4,$K117))=0,0,IF($H117="","EXT",SUMIFS(Calendar!$C$16:$C$141,Calendar!$A$16:$A$141,"&gt;="&amp;MAX(AB$7,$J117),Calendar!$A$16:$A$141,"&lt;="&amp;MIN(AB$7+4,$K117))*$H117/$G117)))</x:f>
        <x:v>0</x:v>
      </x:c>
      <x:c r="AC117" s="45" t="n">
        <x:f>IF(OR($J117="",$K117=""),"",IF(SUMIFS(Calendar!$C$16:$C$141,Calendar!$A$16:$A$141,"&gt;="&amp;MAX(AC$7,$J117),Calendar!$A$16:$A$141,"&lt;="&amp;MIN(AC$7+4,$K117))=0,0,IF($H117="","EXT",SUMIFS(Calendar!$C$16:$C$141,Calendar!$A$16:$A$141,"&gt;="&amp;MAX(AC$7,$J117),Calendar!$A$16:$A$141,"&lt;="&amp;MIN(AC$7+4,$K117))*$H117/$G117)))</x:f>
        <x:v>0</x:v>
      </x:c>
      <x:c r="AD117" s="45" t="n">
        <x:f>IF(OR($J117="",$K117=""),"",IF(SUMIFS(Calendar!$C$16:$C$141,Calendar!$A$16:$A$141,"&gt;="&amp;MAX(AD$7,$J117),Calendar!$A$16:$A$141,"&lt;="&amp;MIN(AD$7+4,$K117))=0,0,IF($H117="","EXT",SUMIFS(Calendar!$C$16:$C$141,Calendar!$A$16:$A$141,"&gt;="&amp;MAX(AD$7,$J117),Calendar!$A$16:$A$141,"&lt;="&amp;MIN(AD$7+4,$K117))*$H117/$G117)))</x:f>
        <x:v>0</x:v>
      </x:c>
      <x:c r="AE117" s="45" t="n">
        <x:f>IF(OR($J117="",$K117=""),"",IF(SUMIFS(Calendar!$C$16:$C$141,Calendar!$A$16:$A$141,"&gt;="&amp;MAX(AE$7,$J117),Calendar!$A$16:$A$141,"&lt;="&amp;MIN(AE$7+4,$K117))=0,0,IF($H117="","EXT",SUMIFS(Calendar!$C$16:$C$141,Calendar!$A$16:$A$141,"&gt;="&amp;MAX(AE$7,$J117),Calendar!$A$16:$A$141,"&lt;="&amp;MIN(AE$7+4,$K117))*$H117/$G117)))</x:f>
        <x:v>0</x:v>
      </x:c>
      <x:c r="AF117" s="8" t="n">
        <x:f>IF(OR(M117&lt;&gt;"Scheduled",INDEX('Team and Gates'!$C$7:$C$13,MATCH($D117,'Team and Gates'!$A$7:$A$13,0))=""),"CHECK",SUM(N117:AE117)*INDEX('Team and Gates'!$C$7:$C$13,MATCH($D117,'Team and Gates'!$A$7:$A$13,0)))</x:f>
        <x:v>720</x:v>
      </x:c>
      <x:c r="AG117" s="46" t="str">
        <x:v>Developer checks and positive/negative acceptance examples pass; review AI-generated code before handoff.</x:v>
      </x:c>
      <x:c r="AH117" s="46" t="str">
        <x:v>Three-week feature implementation window after FSD signoff; use Codex with developer review and continuous tests. BA prepares FSD and default Cases; business owner provides formal signoff.</x:v>
      </x:c>
    </x:row>
    <x:row r="118" ht="45" customHeight="1">
      <x:c r="A118" s="2" t="str">
        <x:v>BA06</x:v>
      </x:c>
      <x:c r="B118" s="2" t="str">
        <x:v>FSD / business</x:v>
      </x:c>
      <x:c r="C118" s="46" t="str">
        <x:v>Clarify reply approval and generated-Playbook acceptance rules</x:v>
      </x:c>
      <x:c r="D118" s="20" t="str">
        <x:v>BA</x:v>
      </x:c>
      <x:c r="E118" s="46" t="str">
        <x:v>BA05</x:v>
      </x:c>
      <x:c r="F118" s="50" t="n">
        <x:v>21</x:v>
      </x:c>
      <x:c r="G118" s="50" t="n">
        <x:v>2</x:v>
      </x:c>
      <x:c r="H118" s="51" t="n">
        <x:v>0.8</x:v>
      </x:c>
      <x:c r="I118" s="2" t="n">
        <x:f>IF(OR(F118="",G118=""),"",F118+G118-1)</x:f>
        <x:v>22</x:v>
      </x:c>
      <x:c r="J118" s="5" t="n">
        <x:f>IF(OR(F118="",F118&lt;1,F118&gt;Calendar!$B$9),"",INDEX(Calendar!$A$16:$A$141,MATCH(F118,Calendar!$D$16:$D$141,0)))</x:f>
        <x:v>46356</x:v>
      </x:c>
      <x:c r="K118" s="5" t="n">
        <x:f>IF(OR(I118="",I118&lt;1,I118&gt;Calendar!$B$9),"",INDEX(Calendar!$A$16:$A$141,MATCH(I118,Calendar!$D$16:$D$141,0)))</x:f>
        <x:v>46357</x:v>
      </x:c>
      <x:c r="L118" s="53" t="n">
        <x:v>0</x:v>
      </x:c>
      <x:c r="M118" s="2" t="str">
        <x:f>IF(OR(F118="",G118="",H118=""),"Missing input",IF(OR(F118&lt;1,G118&lt;1,I118&gt;Calendar!$B$9),"Outside calendar",IF(F118&lt;MAX(INDEX($I$8:$I$157,MATCH("BA05",$A$8:$A$157,0))+1),"Dependency conflict","Scheduled")))</x:f>
        <x:v>Scheduled</x:v>
      </x:c>
      <x:c r="N118" s="45" t="n">
        <x:f>IF(OR($J118="",$K118=""),"",IF(SUMIFS(Calendar!$C$16:$C$141,Calendar!$A$16:$A$141,"&gt;="&amp;MAX(N$7,$J118),Calendar!$A$16:$A$141,"&lt;="&amp;MIN(N$7+4,$K118))=0,0,IF($H118="","EXT",SUMIFS(Calendar!$C$16:$C$141,Calendar!$A$16:$A$141,"&gt;="&amp;MAX(N$7,$J118),Calendar!$A$16:$A$141,"&lt;="&amp;MIN(N$7+4,$K118))*$H118/$G118)))</x:f>
        <x:v>0</x:v>
      </x:c>
      <x:c r="O118" s="45" t="n">
        <x:f>IF(OR($J118="",$K118=""),"",IF(SUMIFS(Calendar!$C$16:$C$141,Calendar!$A$16:$A$141,"&gt;="&amp;MAX(O$7,$J118),Calendar!$A$16:$A$141,"&lt;="&amp;MIN(O$7+4,$K118))=0,0,IF($H118="","EXT",SUMIFS(Calendar!$C$16:$C$141,Calendar!$A$16:$A$141,"&gt;="&amp;MAX(O$7,$J118),Calendar!$A$16:$A$141,"&lt;="&amp;MIN(O$7+4,$K118))*$H118/$G118)))</x:f>
        <x:v>0</x:v>
      </x:c>
      <x:c r="P118" s="45" t="n">
        <x:f>IF(OR($J118="",$K118=""),"",IF(SUMIFS(Calendar!$C$16:$C$141,Calendar!$A$16:$A$141,"&gt;="&amp;MAX(P$7,$J118),Calendar!$A$16:$A$141,"&lt;="&amp;MIN(P$7+4,$K118))=0,0,IF($H118="","EXT",SUMIFS(Calendar!$C$16:$C$141,Calendar!$A$16:$A$141,"&gt;="&amp;MAX(P$7,$J118),Calendar!$A$16:$A$141,"&lt;="&amp;MIN(P$7+4,$K118))*$H118/$G118)))</x:f>
        <x:v>0</x:v>
      </x:c>
      <x:c r="Q118" s="45" t="n">
        <x:f>IF(OR($J118="",$K118=""),"",IF(SUMIFS(Calendar!$C$16:$C$141,Calendar!$A$16:$A$141,"&gt;="&amp;MAX(Q$7,$J118),Calendar!$A$16:$A$141,"&lt;="&amp;MIN(Q$7+4,$K118))=0,0,IF($H118="","EXT",SUMIFS(Calendar!$C$16:$C$141,Calendar!$A$16:$A$141,"&gt;="&amp;MAX(Q$7,$J118),Calendar!$A$16:$A$141,"&lt;="&amp;MIN(Q$7+4,$K118))*$H118/$G118)))</x:f>
        <x:v>0</x:v>
      </x:c>
      <x:c r="R118" s="45" t="n">
        <x:f>IF(OR($J118="",$K118=""),"",IF(SUMIFS(Calendar!$C$16:$C$141,Calendar!$A$16:$A$141,"&gt;="&amp;MAX(R$7,$J118),Calendar!$A$16:$A$141,"&lt;="&amp;MIN(R$7+4,$K118))=0,0,IF($H118="","EXT",SUMIFS(Calendar!$C$16:$C$141,Calendar!$A$16:$A$141,"&gt;="&amp;MAX(R$7,$J118),Calendar!$A$16:$A$141,"&lt;="&amp;MIN(R$7+4,$K118))*$H118/$G118)))</x:f>
        <x:v>0.8</x:v>
      </x:c>
      <x:c r="S118" s="45" t="n">
        <x:f>IF(OR($J118="",$K118=""),"",IF(SUMIFS(Calendar!$C$16:$C$141,Calendar!$A$16:$A$141,"&gt;="&amp;MAX(S$7,$J118),Calendar!$A$16:$A$141,"&lt;="&amp;MIN(S$7+4,$K118))=0,0,IF($H118="","EXT",SUMIFS(Calendar!$C$16:$C$141,Calendar!$A$16:$A$141,"&gt;="&amp;MAX(S$7,$J118),Calendar!$A$16:$A$141,"&lt;="&amp;MIN(S$7+4,$K118))*$H118/$G118)))</x:f>
        <x:v>0</x:v>
      </x:c>
      <x:c r="T118" s="45" t="n">
        <x:f>IF(OR($J118="",$K118=""),"",IF(SUMIFS(Calendar!$C$16:$C$141,Calendar!$A$16:$A$141,"&gt;="&amp;MAX(T$7,$J118),Calendar!$A$16:$A$141,"&lt;="&amp;MIN(T$7+4,$K118))=0,0,IF($H118="","EXT",SUMIFS(Calendar!$C$16:$C$141,Calendar!$A$16:$A$141,"&gt;="&amp;MAX(T$7,$J118),Calendar!$A$16:$A$141,"&lt;="&amp;MIN(T$7+4,$K118))*$H118/$G118)))</x:f>
        <x:v>0</x:v>
      </x:c>
      <x:c r="U118" s="45" t="n">
        <x:f>IF(OR($J118="",$K118=""),"",IF(SUMIFS(Calendar!$C$16:$C$141,Calendar!$A$16:$A$141,"&gt;="&amp;MAX(U$7,$J118),Calendar!$A$16:$A$141,"&lt;="&amp;MIN(U$7+4,$K118))=0,0,IF($H118="","EXT",SUMIFS(Calendar!$C$16:$C$141,Calendar!$A$16:$A$141,"&gt;="&amp;MAX(U$7,$J118),Calendar!$A$16:$A$141,"&lt;="&amp;MIN(U$7+4,$K118))*$H118/$G118)))</x:f>
        <x:v>0</x:v>
      </x:c>
      <x:c r="V118" s="45" t="n">
        <x:f>IF(OR($J118="",$K118=""),"",IF(SUMIFS(Calendar!$C$16:$C$141,Calendar!$A$16:$A$141,"&gt;="&amp;MAX(V$7,$J118),Calendar!$A$16:$A$141,"&lt;="&amp;MIN(V$7+4,$K118))=0,0,IF($H118="","EXT",SUMIFS(Calendar!$C$16:$C$141,Calendar!$A$16:$A$141,"&gt;="&amp;MAX(V$7,$J118),Calendar!$A$16:$A$141,"&lt;="&amp;MIN(V$7+4,$K118))*$H118/$G118)))</x:f>
        <x:v>0</x:v>
      </x:c>
      <x:c r="W118" s="45" t="n">
        <x:f>IF(OR($J118="",$K118=""),"",IF(SUMIFS(Calendar!$C$16:$C$141,Calendar!$A$16:$A$141,"&gt;="&amp;MAX(W$7,$J118),Calendar!$A$16:$A$141,"&lt;="&amp;MIN(W$7+4,$K118))=0,0,IF($H118="","EXT",SUMIFS(Calendar!$C$16:$C$141,Calendar!$A$16:$A$141,"&gt;="&amp;MAX(W$7,$J118),Calendar!$A$16:$A$141,"&lt;="&amp;MIN(W$7+4,$K118))*$H118/$G118)))</x:f>
        <x:v>0</x:v>
      </x:c>
      <x:c r="X118" s="45" t="n">
        <x:f>IF(OR($J118="",$K118=""),"",IF(SUMIFS(Calendar!$C$16:$C$141,Calendar!$A$16:$A$141,"&gt;="&amp;MAX(X$7,$J118),Calendar!$A$16:$A$141,"&lt;="&amp;MIN(X$7+4,$K118))=0,0,IF($H118="","EXT",SUMIFS(Calendar!$C$16:$C$141,Calendar!$A$16:$A$141,"&gt;="&amp;MAX(X$7,$J118),Calendar!$A$16:$A$141,"&lt;="&amp;MIN(X$7+4,$K118))*$H118/$G118)))</x:f>
        <x:v>0</x:v>
      </x:c>
      <x:c r="Y118" s="45" t="n">
        <x:f>IF(OR($J118="",$K118=""),"",IF(SUMIFS(Calendar!$C$16:$C$141,Calendar!$A$16:$A$141,"&gt;="&amp;MAX(Y$7,$J118),Calendar!$A$16:$A$141,"&lt;="&amp;MIN(Y$7+4,$K118))=0,0,IF($H118="","EXT",SUMIFS(Calendar!$C$16:$C$141,Calendar!$A$16:$A$141,"&gt;="&amp;MAX(Y$7,$J118),Calendar!$A$16:$A$141,"&lt;="&amp;MIN(Y$7+4,$K118))*$H118/$G118)))</x:f>
        <x:v>0</x:v>
      </x:c>
      <x:c r="Z118" s="45" t="n">
        <x:f>IF(OR($J118="",$K118=""),"",IF(SUMIFS(Calendar!$C$16:$C$141,Calendar!$A$16:$A$141,"&gt;="&amp;MAX(Z$7,$J118),Calendar!$A$16:$A$141,"&lt;="&amp;MIN(Z$7+4,$K118))=0,0,IF($H118="","EXT",SUMIFS(Calendar!$C$16:$C$141,Calendar!$A$16:$A$141,"&gt;="&amp;MAX(Z$7,$J118),Calendar!$A$16:$A$141,"&lt;="&amp;MIN(Z$7+4,$K118))*$H118/$G118)))</x:f>
        <x:v>0</x:v>
      </x:c>
      <x:c r="AA118" s="45" t="n">
        <x:f>IF(OR($J118="",$K118=""),"",IF(SUMIFS(Calendar!$C$16:$C$141,Calendar!$A$16:$A$141,"&gt;="&amp;MAX(AA$7,$J118),Calendar!$A$16:$A$141,"&lt;="&amp;MIN(AA$7+4,$K118))=0,0,IF($H118="","EXT",SUMIFS(Calendar!$C$16:$C$141,Calendar!$A$16:$A$141,"&gt;="&amp;MAX(AA$7,$J118),Calendar!$A$16:$A$141,"&lt;="&amp;MIN(AA$7+4,$K118))*$H118/$G118)))</x:f>
        <x:v>0</x:v>
      </x:c>
      <x:c r="AB118" s="45" t="n">
        <x:f>IF(OR($J118="",$K118=""),"",IF(SUMIFS(Calendar!$C$16:$C$141,Calendar!$A$16:$A$141,"&gt;="&amp;MAX(AB$7,$J118),Calendar!$A$16:$A$141,"&lt;="&amp;MIN(AB$7+4,$K118))=0,0,IF($H118="","EXT",SUMIFS(Calendar!$C$16:$C$141,Calendar!$A$16:$A$141,"&gt;="&amp;MAX(AB$7,$J118),Calendar!$A$16:$A$141,"&lt;="&amp;MIN(AB$7+4,$K118))*$H118/$G118)))</x:f>
        <x:v>0</x:v>
      </x:c>
      <x:c r="AC118" s="45" t="n">
        <x:f>IF(OR($J118="",$K118=""),"",IF(SUMIFS(Calendar!$C$16:$C$141,Calendar!$A$16:$A$141,"&gt;="&amp;MAX(AC$7,$J118),Calendar!$A$16:$A$141,"&lt;="&amp;MIN(AC$7+4,$K118))=0,0,IF($H118="","EXT",SUMIFS(Calendar!$C$16:$C$141,Calendar!$A$16:$A$141,"&gt;="&amp;MAX(AC$7,$J118),Calendar!$A$16:$A$141,"&lt;="&amp;MIN(AC$7+4,$K118))*$H118/$G118)))</x:f>
        <x:v>0</x:v>
      </x:c>
      <x:c r="AD118" s="45" t="n">
        <x:f>IF(OR($J118="",$K118=""),"",IF(SUMIFS(Calendar!$C$16:$C$141,Calendar!$A$16:$A$141,"&gt;="&amp;MAX(AD$7,$J118),Calendar!$A$16:$A$141,"&lt;="&amp;MIN(AD$7+4,$K118))=0,0,IF($H118="","EXT",SUMIFS(Calendar!$C$16:$C$141,Calendar!$A$16:$A$141,"&gt;="&amp;MAX(AD$7,$J118),Calendar!$A$16:$A$141,"&lt;="&amp;MIN(AD$7+4,$K118))*$H118/$G118)))</x:f>
        <x:v>0</x:v>
      </x:c>
      <x:c r="AE118" s="45" t="n">
        <x:f>IF(OR($J118="",$K118=""),"",IF(SUMIFS(Calendar!$C$16:$C$141,Calendar!$A$16:$A$141,"&gt;="&amp;MAX(AE$7,$J118),Calendar!$A$16:$A$141,"&lt;="&amp;MIN(AE$7+4,$K118))=0,0,IF($H118="","EXT",SUMIFS(Calendar!$C$16:$C$141,Calendar!$A$16:$A$141,"&gt;="&amp;MAX(AE$7,$J118),Calendar!$A$16:$A$141,"&lt;="&amp;MIN(AE$7+4,$K118))*$H118/$G118)))</x:f>
        <x:v>0</x:v>
      </x:c>
      <x:c r="AF118" s="8" t="n">
        <x:f>IF(OR(M118&lt;&gt;"Scheduled",INDEX('Team and Gates'!$C$7:$C$13,MATCH($D118,'Team and Gates'!$A$7:$A$13,0))=""),"CHECK",SUM(N118:AE118)*INDEX('Team and Gates'!$C$7:$C$13,MATCH($D118,'Team and Gates'!$A$7:$A$13,0)))</x:f>
        <x:v>288</x:v>
      </x:c>
      <x:c r="AG118" s="46" t="str">
        <x:v>Developer checks and positive/negative acceptance examples pass; review AI-generated code before handoff.</x:v>
      </x:c>
      <x:c r="AH118" s="46" t="str">
        <x:v>Three-week feature implementation window after FSD signoff; use Codex with developer review and continuous tests. BA prepares FSD and default Cases; business owner provides formal signoff.</x:v>
      </x:c>
    </x:row>
    <x:row r="119" ht="45" customHeight="1">
      <x:c r="A119" s="39" t="str">
        <x:v>BA07</x:v>
      </x:c>
      <x:c r="B119" s="39" t="str">
        <x:v>FSD / business</x:v>
      </x:c>
      <x:c r="C119" s="47" t="str">
        <x:v>Review complete features against signed FSD; prepare SIT handoff</x:v>
      </x:c>
      <x:c r="D119" s="20" t="str">
        <x:v>BA</x:v>
      </x:c>
      <x:c r="E119" s="47" t="str">
        <x:v>BA06</x:v>
      </x:c>
      <x:c r="F119" s="50" t="n">
        <x:v>23</x:v>
      </x:c>
      <x:c r="G119" s="50" t="n">
        <x:v>3</x:v>
      </x:c>
      <x:c r="H119" s="51" t="n">
        <x:v>1.2</x:v>
      </x:c>
      <x:c r="I119" s="39" t="n">
        <x:f>IF(OR(F119="",G119=""),"",F119+G119-1)</x:f>
        <x:v>25</x:v>
      </x:c>
      <x:c r="J119" s="41" t="n">
        <x:f>IF(OR(F119="",F119&lt;1,F119&gt;Calendar!$B$9),"",INDEX(Calendar!$A$16:$A$141,MATCH(F119,Calendar!$D$16:$D$141,0)))</x:f>
        <x:v>46358</x:v>
      </x:c>
      <x:c r="K119" s="41" t="n">
        <x:f>IF(OR(I119="",I119&lt;1,I119&gt;Calendar!$B$9),"",INDEX(Calendar!$A$16:$A$141,MATCH(I119,Calendar!$D$16:$D$141,0)))</x:f>
        <x:v>46360</x:v>
      </x:c>
      <x:c r="L119" s="53" t="n">
        <x:v>0</x:v>
      </x:c>
      <x:c r="M119" s="39" t="str">
        <x:f>IF(OR(F119="",G119="",H119=""),"Missing input",IF(OR(F119&lt;1,G119&lt;1,I119&gt;Calendar!$B$9),"Outside calendar",IF(F119&lt;MAX(INDEX($I$8:$I$157,MATCH("BA06",$A$8:$A$157,0))+1),"Dependency conflict","Scheduled")))</x:f>
        <x:v>Scheduled</x:v>
      </x:c>
      <x:c r="N119" s="45" t="n">
        <x:f>IF(OR($J119="",$K119=""),"",IF(SUMIFS(Calendar!$C$16:$C$141,Calendar!$A$16:$A$141,"&gt;="&amp;MAX(N$7,$J119),Calendar!$A$16:$A$141,"&lt;="&amp;MIN(N$7+4,$K119))=0,0,IF($H119="","EXT",SUMIFS(Calendar!$C$16:$C$141,Calendar!$A$16:$A$141,"&gt;="&amp;MAX(N$7,$J119),Calendar!$A$16:$A$141,"&lt;="&amp;MIN(N$7+4,$K119))*$H119/$G119)))</x:f>
        <x:v>0</x:v>
      </x:c>
      <x:c r="O119" s="45" t="n">
        <x:f>IF(OR($J119="",$K119=""),"",IF(SUMIFS(Calendar!$C$16:$C$141,Calendar!$A$16:$A$141,"&gt;="&amp;MAX(O$7,$J119),Calendar!$A$16:$A$141,"&lt;="&amp;MIN(O$7+4,$K119))=0,0,IF($H119="","EXT",SUMIFS(Calendar!$C$16:$C$141,Calendar!$A$16:$A$141,"&gt;="&amp;MAX(O$7,$J119),Calendar!$A$16:$A$141,"&lt;="&amp;MIN(O$7+4,$K119))*$H119/$G119)))</x:f>
        <x:v>0</x:v>
      </x:c>
      <x:c r="P119" s="45" t="n">
        <x:f>IF(OR($J119="",$K119=""),"",IF(SUMIFS(Calendar!$C$16:$C$141,Calendar!$A$16:$A$141,"&gt;="&amp;MAX(P$7,$J119),Calendar!$A$16:$A$141,"&lt;="&amp;MIN(P$7+4,$K119))=0,0,IF($H119="","EXT",SUMIFS(Calendar!$C$16:$C$141,Calendar!$A$16:$A$141,"&gt;="&amp;MAX(P$7,$J119),Calendar!$A$16:$A$141,"&lt;="&amp;MIN(P$7+4,$K119))*$H119/$G119)))</x:f>
        <x:v>0</x:v>
      </x:c>
      <x:c r="Q119" s="45" t="n">
        <x:f>IF(OR($J119="",$K119=""),"",IF(SUMIFS(Calendar!$C$16:$C$141,Calendar!$A$16:$A$141,"&gt;="&amp;MAX(Q$7,$J119),Calendar!$A$16:$A$141,"&lt;="&amp;MIN(Q$7+4,$K119))=0,0,IF($H119="","EXT",SUMIFS(Calendar!$C$16:$C$141,Calendar!$A$16:$A$141,"&gt;="&amp;MAX(Q$7,$J119),Calendar!$A$16:$A$141,"&lt;="&amp;MIN(Q$7+4,$K119))*$H119/$G119)))</x:f>
        <x:v>0</x:v>
      </x:c>
      <x:c r="R119" s="45" t="n">
        <x:f>IF(OR($J119="",$K119=""),"",IF(SUMIFS(Calendar!$C$16:$C$141,Calendar!$A$16:$A$141,"&gt;="&amp;MAX(R$7,$J119),Calendar!$A$16:$A$141,"&lt;="&amp;MIN(R$7+4,$K119))=0,0,IF($H119="","EXT",SUMIFS(Calendar!$C$16:$C$141,Calendar!$A$16:$A$141,"&gt;="&amp;MAX(R$7,$J119),Calendar!$A$16:$A$141,"&lt;="&amp;MIN(R$7+4,$K119))*$H119/$G119)))</x:f>
        <x:v>1.2</x:v>
      </x:c>
      <x:c r="S119" s="45" t="n">
        <x:f>IF(OR($J119="",$K119=""),"",IF(SUMIFS(Calendar!$C$16:$C$141,Calendar!$A$16:$A$141,"&gt;="&amp;MAX(S$7,$J119),Calendar!$A$16:$A$141,"&lt;="&amp;MIN(S$7+4,$K119))=0,0,IF($H119="","EXT",SUMIFS(Calendar!$C$16:$C$141,Calendar!$A$16:$A$141,"&gt;="&amp;MAX(S$7,$J119),Calendar!$A$16:$A$141,"&lt;="&amp;MIN(S$7+4,$K119))*$H119/$G119)))</x:f>
        <x:v>0</x:v>
      </x:c>
      <x:c r="T119" s="45" t="n">
        <x:f>IF(OR($J119="",$K119=""),"",IF(SUMIFS(Calendar!$C$16:$C$141,Calendar!$A$16:$A$141,"&gt;="&amp;MAX(T$7,$J119),Calendar!$A$16:$A$141,"&lt;="&amp;MIN(T$7+4,$K119))=0,0,IF($H119="","EXT",SUMIFS(Calendar!$C$16:$C$141,Calendar!$A$16:$A$141,"&gt;="&amp;MAX(T$7,$J119),Calendar!$A$16:$A$141,"&lt;="&amp;MIN(T$7+4,$K119))*$H119/$G119)))</x:f>
        <x:v>0</x:v>
      </x:c>
      <x:c r="U119" s="45" t="n">
        <x:f>IF(OR($J119="",$K119=""),"",IF(SUMIFS(Calendar!$C$16:$C$141,Calendar!$A$16:$A$141,"&gt;="&amp;MAX(U$7,$J119),Calendar!$A$16:$A$141,"&lt;="&amp;MIN(U$7+4,$K119))=0,0,IF($H119="","EXT",SUMIFS(Calendar!$C$16:$C$141,Calendar!$A$16:$A$141,"&gt;="&amp;MAX(U$7,$J119),Calendar!$A$16:$A$141,"&lt;="&amp;MIN(U$7+4,$K119))*$H119/$G119)))</x:f>
        <x:v>0</x:v>
      </x:c>
      <x:c r="V119" s="45" t="n">
        <x:f>IF(OR($J119="",$K119=""),"",IF(SUMIFS(Calendar!$C$16:$C$141,Calendar!$A$16:$A$141,"&gt;="&amp;MAX(V$7,$J119),Calendar!$A$16:$A$141,"&lt;="&amp;MIN(V$7+4,$K119))=0,0,IF($H119="","EXT",SUMIFS(Calendar!$C$16:$C$141,Calendar!$A$16:$A$141,"&gt;="&amp;MAX(V$7,$J119),Calendar!$A$16:$A$141,"&lt;="&amp;MIN(V$7+4,$K119))*$H119/$G119)))</x:f>
        <x:v>0</x:v>
      </x:c>
      <x:c r="W119" s="45" t="n">
        <x:f>IF(OR($J119="",$K119=""),"",IF(SUMIFS(Calendar!$C$16:$C$141,Calendar!$A$16:$A$141,"&gt;="&amp;MAX(W$7,$J119),Calendar!$A$16:$A$141,"&lt;="&amp;MIN(W$7+4,$K119))=0,0,IF($H119="","EXT",SUMIFS(Calendar!$C$16:$C$141,Calendar!$A$16:$A$141,"&gt;="&amp;MAX(W$7,$J119),Calendar!$A$16:$A$141,"&lt;="&amp;MIN(W$7+4,$K119))*$H119/$G119)))</x:f>
        <x:v>0</x:v>
      </x:c>
      <x:c r="X119" s="45" t="n">
        <x:f>IF(OR($J119="",$K119=""),"",IF(SUMIFS(Calendar!$C$16:$C$141,Calendar!$A$16:$A$141,"&gt;="&amp;MAX(X$7,$J119),Calendar!$A$16:$A$141,"&lt;="&amp;MIN(X$7+4,$K119))=0,0,IF($H119="","EXT",SUMIFS(Calendar!$C$16:$C$141,Calendar!$A$16:$A$141,"&gt;="&amp;MAX(X$7,$J119),Calendar!$A$16:$A$141,"&lt;="&amp;MIN(X$7+4,$K119))*$H119/$G119)))</x:f>
        <x:v>0</x:v>
      </x:c>
      <x:c r="Y119" s="45" t="n">
        <x:f>IF(OR($J119="",$K119=""),"",IF(SUMIFS(Calendar!$C$16:$C$141,Calendar!$A$16:$A$141,"&gt;="&amp;MAX(Y$7,$J119),Calendar!$A$16:$A$141,"&lt;="&amp;MIN(Y$7+4,$K119))=0,0,IF($H119="","EXT",SUMIFS(Calendar!$C$16:$C$141,Calendar!$A$16:$A$141,"&gt;="&amp;MAX(Y$7,$J119),Calendar!$A$16:$A$141,"&lt;="&amp;MIN(Y$7+4,$K119))*$H119/$G119)))</x:f>
        <x:v>0</x:v>
      </x:c>
      <x:c r="Z119" s="45" t="n">
        <x:f>IF(OR($J119="",$K119=""),"",IF(SUMIFS(Calendar!$C$16:$C$141,Calendar!$A$16:$A$141,"&gt;="&amp;MAX(Z$7,$J119),Calendar!$A$16:$A$141,"&lt;="&amp;MIN(Z$7+4,$K119))=0,0,IF($H119="","EXT",SUMIFS(Calendar!$C$16:$C$141,Calendar!$A$16:$A$141,"&gt;="&amp;MAX(Z$7,$J119),Calendar!$A$16:$A$141,"&lt;="&amp;MIN(Z$7+4,$K119))*$H119/$G119)))</x:f>
        <x:v>0</x:v>
      </x:c>
      <x:c r="AA119" s="45" t="n">
        <x:f>IF(OR($J119="",$K119=""),"",IF(SUMIFS(Calendar!$C$16:$C$141,Calendar!$A$16:$A$141,"&gt;="&amp;MAX(AA$7,$J119),Calendar!$A$16:$A$141,"&lt;="&amp;MIN(AA$7+4,$K119))=0,0,IF($H119="","EXT",SUMIFS(Calendar!$C$16:$C$141,Calendar!$A$16:$A$141,"&gt;="&amp;MAX(AA$7,$J119),Calendar!$A$16:$A$141,"&lt;="&amp;MIN(AA$7+4,$K119))*$H119/$G119)))</x:f>
        <x:v>0</x:v>
      </x:c>
      <x:c r="AB119" s="45" t="n">
        <x:f>IF(OR($J119="",$K119=""),"",IF(SUMIFS(Calendar!$C$16:$C$141,Calendar!$A$16:$A$141,"&gt;="&amp;MAX(AB$7,$J119),Calendar!$A$16:$A$141,"&lt;="&amp;MIN(AB$7+4,$K119))=0,0,IF($H119="","EXT",SUMIFS(Calendar!$C$16:$C$141,Calendar!$A$16:$A$141,"&gt;="&amp;MAX(AB$7,$J119),Calendar!$A$16:$A$141,"&lt;="&amp;MIN(AB$7+4,$K119))*$H119/$G119)))</x:f>
        <x:v>0</x:v>
      </x:c>
      <x:c r="AC119" s="45" t="n">
        <x:f>IF(OR($J119="",$K119=""),"",IF(SUMIFS(Calendar!$C$16:$C$141,Calendar!$A$16:$A$141,"&gt;="&amp;MAX(AC$7,$J119),Calendar!$A$16:$A$141,"&lt;="&amp;MIN(AC$7+4,$K119))=0,0,IF($H119="","EXT",SUMIFS(Calendar!$C$16:$C$141,Calendar!$A$16:$A$141,"&gt;="&amp;MAX(AC$7,$J119),Calendar!$A$16:$A$141,"&lt;="&amp;MIN(AC$7+4,$K119))*$H119/$G119)))</x:f>
        <x:v>0</x:v>
      </x:c>
      <x:c r="AD119" s="45" t="n">
        <x:f>IF(OR($J119="",$K119=""),"",IF(SUMIFS(Calendar!$C$16:$C$141,Calendar!$A$16:$A$141,"&gt;="&amp;MAX(AD$7,$J119),Calendar!$A$16:$A$141,"&lt;="&amp;MIN(AD$7+4,$K119))=0,0,IF($H119="","EXT",SUMIFS(Calendar!$C$16:$C$141,Calendar!$A$16:$A$141,"&gt;="&amp;MAX(AD$7,$J119),Calendar!$A$16:$A$141,"&lt;="&amp;MIN(AD$7+4,$K119))*$H119/$G119)))</x:f>
        <x:v>0</x:v>
      </x:c>
      <x:c r="AE119" s="45" t="n">
        <x:f>IF(OR($J119="",$K119=""),"",IF(SUMIFS(Calendar!$C$16:$C$141,Calendar!$A$16:$A$141,"&gt;="&amp;MAX(AE$7,$J119),Calendar!$A$16:$A$141,"&lt;="&amp;MIN(AE$7+4,$K119))=0,0,IF($H119="","EXT",SUMIFS(Calendar!$C$16:$C$141,Calendar!$A$16:$A$141,"&gt;="&amp;MAX(AE$7,$J119),Calendar!$A$16:$A$141,"&lt;="&amp;MIN(AE$7+4,$K119))*$H119/$G119)))</x:f>
        <x:v>0</x:v>
      </x:c>
      <x:c r="AF119" s="8" t="n">
        <x:f>IF(OR(M119&lt;&gt;"Scheduled",INDEX('Team and Gates'!$C$7:$C$13,MATCH($D119,'Team and Gates'!$A$7:$A$13,0))=""),"CHECK",SUM(N119:AE119)*INDEX('Team and Gates'!$C$7:$C$13,MATCH($D119,'Team and Gates'!$A$7:$A$13,0)))</x:f>
        <x:v>432</x:v>
      </x:c>
      <x:c r="AG119" s="46" t="str">
        <x:v>Developer checks and positive/negative acceptance examples pass; review AI-generated code before handoff.</x:v>
      </x:c>
      <x:c r="AH119" s="46" t="str">
        <x:v>Three-week feature implementation window after FSD signoff; use Codex with developer review and continuous tests. BA prepares FSD and default Cases; business owner provides formal signoff.</x:v>
      </x:c>
    </x:row>
    <x:row r="120" ht="45" customHeight="1">
      <x:c r="A120" s="2" t="str">
        <x:v>BA08</x:v>
      </x:c>
      <x:c r="B120" s="2" t="str">
        <x:v>FSD / business</x:v>
      </x:c>
      <x:c r="C120" s="46" t="str">
        <x:v>SIT business triage and intent-label dispute resolution</x:v>
      </x:c>
      <x:c r="D120" s="20" t="str">
        <x:v>BA</x:v>
      </x:c>
      <x:c r="E120" s="46" t="str">
        <x:v>BA07</x:v>
      </x:c>
      <x:c r="F120" s="50" t="n">
        <x:v>26</x:v>
      </x:c>
      <x:c r="G120" s="50" t="n">
        <x:v>5</x:v>
      </x:c>
      <x:c r="H120" s="51" t="n">
        <x:v>3</x:v>
      </x:c>
      <x:c r="I120" s="2" t="n">
        <x:f>IF(OR(F120="",G120=""),"",F120+G120-1)</x:f>
        <x:v>30</x:v>
      </x:c>
      <x:c r="J120" s="5" t="n">
        <x:f>IF(OR(F120="",F120&lt;1,F120&gt;Calendar!$B$9),"",INDEX(Calendar!$A$16:$A$141,MATCH(F120,Calendar!$D$16:$D$141,0)))</x:f>
        <x:v>46363</x:v>
      </x:c>
      <x:c r="K120" s="5" t="n">
        <x:f>IF(OR(I120="",I120&lt;1,I120&gt;Calendar!$B$9),"",INDEX(Calendar!$A$16:$A$141,MATCH(I120,Calendar!$D$16:$D$141,0)))</x:f>
        <x:v>46367</x:v>
      </x:c>
      <x:c r="L120" s="53" t="n">
        <x:v>0</x:v>
      </x:c>
      <x:c r="M120" s="2" t="str">
        <x:f>IF(OR(F120="",G120="",H120=""),"Missing input",IF(OR(F120&lt;1,G120&lt;1,I120&gt;Calendar!$B$9),"Outside calendar",IF(F120&lt;MAX(INDEX($I$8:$I$157,MATCH("BA07",$A$8:$A$157,0))+1),"Dependency conflict","Scheduled")))</x:f>
        <x:v>Scheduled</x:v>
      </x:c>
      <x:c r="N120" s="45" t="n">
        <x:f>IF(OR($J120="",$K120=""),"",IF(SUMIFS(Calendar!$C$16:$C$141,Calendar!$A$16:$A$141,"&gt;="&amp;MAX(N$7,$J120),Calendar!$A$16:$A$141,"&lt;="&amp;MIN(N$7+4,$K120))=0,0,IF($H120="","EXT",SUMIFS(Calendar!$C$16:$C$141,Calendar!$A$16:$A$141,"&gt;="&amp;MAX(N$7,$J120),Calendar!$A$16:$A$141,"&lt;="&amp;MIN(N$7+4,$K120))*$H120/$G120)))</x:f>
        <x:v>0</x:v>
      </x:c>
      <x:c r="O120" s="45" t="n">
        <x:f>IF(OR($J120="",$K120=""),"",IF(SUMIFS(Calendar!$C$16:$C$141,Calendar!$A$16:$A$141,"&gt;="&amp;MAX(O$7,$J120),Calendar!$A$16:$A$141,"&lt;="&amp;MIN(O$7+4,$K120))=0,0,IF($H120="","EXT",SUMIFS(Calendar!$C$16:$C$141,Calendar!$A$16:$A$141,"&gt;="&amp;MAX(O$7,$J120),Calendar!$A$16:$A$141,"&lt;="&amp;MIN(O$7+4,$K120))*$H120/$G120)))</x:f>
        <x:v>0</x:v>
      </x:c>
      <x:c r="P120" s="45" t="n">
        <x:f>IF(OR($J120="",$K120=""),"",IF(SUMIFS(Calendar!$C$16:$C$141,Calendar!$A$16:$A$141,"&gt;="&amp;MAX(P$7,$J120),Calendar!$A$16:$A$141,"&lt;="&amp;MIN(P$7+4,$K120))=0,0,IF($H120="","EXT",SUMIFS(Calendar!$C$16:$C$141,Calendar!$A$16:$A$141,"&gt;="&amp;MAX(P$7,$J120),Calendar!$A$16:$A$141,"&lt;="&amp;MIN(P$7+4,$K120))*$H120/$G120)))</x:f>
        <x:v>0</x:v>
      </x:c>
      <x:c r="Q120" s="45" t="n">
        <x:f>IF(OR($J120="",$K120=""),"",IF(SUMIFS(Calendar!$C$16:$C$141,Calendar!$A$16:$A$141,"&gt;="&amp;MAX(Q$7,$J120),Calendar!$A$16:$A$141,"&lt;="&amp;MIN(Q$7+4,$K120))=0,0,IF($H120="","EXT",SUMIFS(Calendar!$C$16:$C$141,Calendar!$A$16:$A$141,"&gt;="&amp;MAX(Q$7,$J120),Calendar!$A$16:$A$141,"&lt;="&amp;MIN(Q$7+4,$K120))*$H120/$G120)))</x:f>
        <x:v>0</x:v>
      </x:c>
      <x:c r="R120" s="45" t="n">
        <x:f>IF(OR($J120="",$K120=""),"",IF(SUMIFS(Calendar!$C$16:$C$141,Calendar!$A$16:$A$141,"&gt;="&amp;MAX(R$7,$J120),Calendar!$A$16:$A$141,"&lt;="&amp;MIN(R$7+4,$K120))=0,0,IF($H120="","EXT",SUMIFS(Calendar!$C$16:$C$141,Calendar!$A$16:$A$141,"&gt;="&amp;MAX(R$7,$J120),Calendar!$A$16:$A$141,"&lt;="&amp;MIN(R$7+4,$K120))*$H120/$G120)))</x:f>
        <x:v>0</x:v>
      </x:c>
      <x:c r="S120" s="45" t="n">
        <x:f>IF(OR($J120="",$K120=""),"",IF(SUMIFS(Calendar!$C$16:$C$141,Calendar!$A$16:$A$141,"&gt;="&amp;MAX(S$7,$J120),Calendar!$A$16:$A$141,"&lt;="&amp;MIN(S$7+4,$K120))=0,0,IF($H120="","EXT",SUMIFS(Calendar!$C$16:$C$141,Calendar!$A$16:$A$141,"&gt;="&amp;MAX(S$7,$J120),Calendar!$A$16:$A$141,"&lt;="&amp;MIN(S$7+4,$K120))*$H120/$G120)))</x:f>
        <x:v>3</x:v>
      </x:c>
      <x:c r="T120" s="45" t="n">
        <x:f>IF(OR($J120="",$K120=""),"",IF(SUMIFS(Calendar!$C$16:$C$141,Calendar!$A$16:$A$141,"&gt;="&amp;MAX(T$7,$J120),Calendar!$A$16:$A$141,"&lt;="&amp;MIN(T$7+4,$K120))=0,0,IF($H120="","EXT",SUMIFS(Calendar!$C$16:$C$141,Calendar!$A$16:$A$141,"&gt;="&amp;MAX(T$7,$J120),Calendar!$A$16:$A$141,"&lt;="&amp;MIN(T$7+4,$K120))*$H120/$G120)))</x:f>
        <x:v>0</x:v>
      </x:c>
      <x:c r="U120" s="45" t="n">
        <x:f>IF(OR($J120="",$K120=""),"",IF(SUMIFS(Calendar!$C$16:$C$141,Calendar!$A$16:$A$141,"&gt;="&amp;MAX(U$7,$J120),Calendar!$A$16:$A$141,"&lt;="&amp;MIN(U$7+4,$K120))=0,0,IF($H120="","EXT",SUMIFS(Calendar!$C$16:$C$141,Calendar!$A$16:$A$141,"&gt;="&amp;MAX(U$7,$J120),Calendar!$A$16:$A$141,"&lt;="&amp;MIN(U$7+4,$K120))*$H120/$G120)))</x:f>
        <x:v>0</x:v>
      </x:c>
      <x:c r="V120" s="45" t="n">
        <x:f>IF(OR($J120="",$K120=""),"",IF(SUMIFS(Calendar!$C$16:$C$141,Calendar!$A$16:$A$141,"&gt;="&amp;MAX(V$7,$J120),Calendar!$A$16:$A$141,"&lt;="&amp;MIN(V$7+4,$K120))=0,0,IF($H120="","EXT",SUMIFS(Calendar!$C$16:$C$141,Calendar!$A$16:$A$141,"&gt;="&amp;MAX(V$7,$J120),Calendar!$A$16:$A$141,"&lt;="&amp;MIN(V$7+4,$K120))*$H120/$G120)))</x:f>
        <x:v>0</x:v>
      </x:c>
      <x:c r="W120" s="45" t="n">
        <x:f>IF(OR($J120="",$K120=""),"",IF(SUMIFS(Calendar!$C$16:$C$141,Calendar!$A$16:$A$141,"&gt;="&amp;MAX(W$7,$J120),Calendar!$A$16:$A$141,"&lt;="&amp;MIN(W$7+4,$K120))=0,0,IF($H120="","EXT",SUMIFS(Calendar!$C$16:$C$141,Calendar!$A$16:$A$141,"&gt;="&amp;MAX(W$7,$J120),Calendar!$A$16:$A$141,"&lt;="&amp;MIN(W$7+4,$K120))*$H120/$G120)))</x:f>
        <x:v>0</x:v>
      </x:c>
      <x:c r="X120" s="45" t="n">
        <x:f>IF(OR($J120="",$K120=""),"",IF(SUMIFS(Calendar!$C$16:$C$141,Calendar!$A$16:$A$141,"&gt;="&amp;MAX(X$7,$J120),Calendar!$A$16:$A$141,"&lt;="&amp;MIN(X$7+4,$K120))=0,0,IF($H120="","EXT",SUMIFS(Calendar!$C$16:$C$141,Calendar!$A$16:$A$141,"&gt;="&amp;MAX(X$7,$J120),Calendar!$A$16:$A$141,"&lt;="&amp;MIN(X$7+4,$K120))*$H120/$G120)))</x:f>
        <x:v>0</x:v>
      </x:c>
      <x:c r="Y120" s="45" t="n">
        <x:f>IF(OR($J120="",$K120=""),"",IF(SUMIFS(Calendar!$C$16:$C$141,Calendar!$A$16:$A$141,"&gt;="&amp;MAX(Y$7,$J120),Calendar!$A$16:$A$141,"&lt;="&amp;MIN(Y$7+4,$K120))=0,0,IF($H120="","EXT",SUMIFS(Calendar!$C$16:$C$141,Calendar!$A$16:$A$141,"&gt;="&amp;MAX(Y$7,$J120),Calendar!$A$16:$A$141,"&lt;="&amp;MIN(Y$7+4,$K120))*$H120/$G120)))</x:f>
        <x:v>0</x:v>
      </x:c>
      <x:c r="Z120" s="45" t="n">
        <x:f>IF(OR($J120="",$K120=""),"",IF(SUMIFS(Calendar!$C$16:$C$141,Calendar!$A$16:$A$141,"&gt;="&amp;MAX(Z$7,$J120),Calendar!$A$16:$A$141,"&lt;="&amp;MIN(Z$7+4,$K120))=0,0,IF($H120="","EXT",SUMIFS(Calendar!$C$16:$C$141,Calendar!$A$16:$A$141,"&gt;="&amp;MAX(Z$7,$J120),Calendar!$A$16:$A$141,"&lt;="&amp;MIN(Z$7+4,$K120))*$H120/$G120)))</x:f>
        <x:v>0</x:v>
      </x:c>
      <x:c r="AA120" s="45" t="n">
        <x:f>IF(OR($J120="",$K120=""),"",IF(SUMIFS(Calendar!$C$16:$C$141,Calendar!$A$16:$A$141,"&gt;="&amp;MAX(AA$7,$J120),Calendar!$A$16:$A$141,"&lt;="&amp;MIN(AA$7+4,$K120))=0,0,IF($H120="","EXT",SUMIFS(Calendar!$C$16:$C$141,Calendar!$A$16:$A$141,"&gt;="&amp;MAX(AA$7,$J120),Calendar!$A$16:$A$141,"&lt;="&amp;MIN(AA$7+4,$K120))*$H120/$G120)))</x:f>
        <x:v>0</x:v>
      </x:c>
      <x:c r="AB120" s="45" t="n">
        <x:f>IF(OR($J120="",$K120=""),"",IF(SUMIFS(Calendar!$C$16:$C$141,Calendar!$A$16:$A$141,"&gt;="&amp;MAX(AB$7,$J120),Calendar!$A$16:$A$141,"&lt;="&amp;MIN(AB$7+4,$K120))=0,0,IF($H120="","EXT",SUMIFS(Calendar!$C$16:$C$141,Calendar!$A$16:$A$141,"&gt;="&amp;MAX(AB$7,$J120),Calendar!$A$16:$A$141,"&lt;="&amp;MIN(AB$7+4,$K120))*$H120/$G120)))</x:f>
        <x:v>0</x:v>
      </x:c>
      <x:c r="AC120" s="45" t="n">
        <x:f>IF(OR($J120="",$K120=""),"",IF(SUMIFS(Calendar!$C$16:$C$141,Calendar!$A$16:$A$141,"&gt;="&amp;MAX(AC$7,$J120),Calendar!$A$16:$A$141,"&lt;="&amp;MIN(AC$7+4,$K120))=0,0,IF($H120="","EXT",SUMIFS(Calendar!$C$16:$C$141,Calendar!$A$16:$A$141,"&gt;="&amp;MAX(AC$7,$J120),Calendar!$A$16:$A$141,"&lt;="&amp;MIN(AC$7+4,$K120))*$H120/$G120)))</x:f>
        <x:v>0</x:v>
      </x:c>
      <x:c r="AD120" s="45" t="n">
        <x:f>IF(OR($J120="",$K120=""),"",IF(SUMIFS(Calendar!$C$16:$C$141,Calendar!$A$16:$A$141,"&gt;="&amp;MAX(AD$7,$J120),Calendar!$A$16:$A$141,"&lt;="&amp;MIN(AD$7+4,$K120))=0,0,IF($H120="","EXT",SUMIFS(Calendar!$C$16:$C$141,Calendar!$A$16:$A$141,"&gt;="&amp;MAX(AD$7,$J120),Calendar!$A$16:$A$141,"&lt;="&amp;MIN(AD$7+4,$K120))*$H120/$G120)))</x:f>
        <x:v>0</x:v>
      </x:c>
      <x:c r="AE120" s="45" t="n">
        <x:f>IF(OR($J120="",$K120=""),"",IF(SUMIFS(Calendar!$C$16:$C$141,Calendar!$A$16:$A$141,"&gt;="&amp;MAX(AE$7,$J120),Calendar!$A$16:$A$141,"&lt;="&amp;MIN(AE$7+4,$K120))=0,0,IF($H120="","EXT",SUMIFS(Calendar!$C$16:$C$141,Calendar!$A$16:$A$141,"&gt;="&amp;MAX(AE$7,$J120),Calendar!$A$16:$A$141,"&lt;="&amp;MIN(AE$7+4,$K120))*$H120/$G120)))</x:f>
        <x:v>0</x:v>
      </x:c>
      <x:c r="AF120" s="8" t="n">
        <x:f>IF(OR(M120&lt;&gt;"Scheduled",INDEX('Team and Gates'!$C$7:$C$13,MATCH($D120,'Team and Gates'!$A$7:$A$13,0))=""),"CHECK",SUM(N120:AE120)*INDEX('Team and Gates'!$C$7:$C$13,MATCH($D120,'Team and Gates'!$A$7:$A$13,0)))</x:f>
        <x:v>1080</x:v>
      </x:c>
      <x:c r="AG120" s="46" t="str">
        <x:v>Reproducible SIT evidence, defect disposition and affected-path retesting are recorded.</x:v>
      </x:c>
      <x:c r="AH120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121" ht="45" customHeight="1">
      <x:c r="A121" s="39" t="str">
        <x:v>BA09</x:v>
      </x:c>
      <x:c r="B121" s="39" t="str">
        <x:v>FSD / business</x:v>
      </x:c>
      <x:c r="C121" s="47" t="str">
        <x:v>SIT draft-mail rubric decisions and factual-error review</x:v>
      </x:c>
      <x:c r="D121" s="20" t="str">
        <x:v>BA</x:v>
      </x:c>
      <x:c r="E121" s="47" t="str">
        <x:v>BA08</x:v>
      </x:c>
      <x:c r="F121" s="50" t="n">
        <x:v>31</x:v>
      </x:c>
      <x:c r="G121" s="50" t="n">
        <x:v>5</x:v>
      </x:c>
      <x:c r="H121" s="51" t="n">
        <x:v>3</x:v>
      </x:c>
      <x:c r="I121" s="39" t="n">
        <x:f>IF(OR(F121="",G121=""),"",F121+G121-1)</x:f>
        <x:v>35</x:v>
      </x:c>
      <x:c r="J121" s="41" t="n">
        <x:f>IF(OR(F121="",F121&lt;1,F121&gt;Calendar!$B$9),"",INDEX(Calendar!$A$16:$A$141,MATCH(F121,Calendar!$D$16:$D$141,0)))</x:f>
        <x:v>46370</x:v>
      </x:c>
      <x:c r="K121" s="41" t="n">
        <x:f>IF(OR(I121="",I121&lt;1,I121&gt;Calendar!$B$9),"",INDEX(Calendar!$A$16:$A$141,MATCH(I121,Calendar!$D$16:$D$141,0)))</x:f>
        <x:v>46374</x:v>
      </x:c>
      <x:c r="L121" s="53" t="n">
        <x:v>0</x:v>
      </x:c>
      <x:c r="M121" s="39" t="str">
        <x:f>IF(OR(F121="",G121="",H121=""),"Missing input",IF(OR(F121&lt;1,G121&lt;1,I121&gt;Calendar!$B$9),"Outside calendar",IF(F121&lt;MAX(INDEX($I$8:$I$157,MATCH("BA08",$A$8:$A$157,0))+1),"Dependency conflict","Scheduled")))</x:f>
        <x:v>Scheduled</x:v>
      </x:c>
      <x:c r="N121" s="45" t="n">
        <x:f>IF(OR($J121="",$K121=""),"",IF(SUMIFS(Calendar!$C$16:$C$141,Calendar!$A$16:$A$141,"&gt;="&amp;MAX(N$7,$J121),Calendar!$A$16:$A$141,"&lt;="&amp;MIN(N$7+4,$K121))=0,0,IF($H121="","EXT",SUMIFS(Calendar!$C$16:$C$141,Calendar!$A$16:$A$141,"&gt;="&amp;MAX(N$7,$J121),Calendar!$A$16:$A$141,"&lt;="&amp;MIN(N$7+4,$K121))*$H121/$G121)))</x:f>
        <x:v>0</x:v>
      </x:c>
      <x:c r="O121" s="45" t="n">
        <x:f>IF(OR($J121="",$K121=""),"",IF(SUMIFS(Calendar!$C$16:$C$141,Calendar!$A$16:$A$141,"&gt;="&amp;MAX(O$7,$J121),Calendar!$A$16:$A$141,"&lt;="&amp;MIN(O$7+4,$K121))=0,0,IF($H121="","EXT",SUMIFS(Calendar!$C$16:$C$141,Calendar!$A$16:$A$141,"&gt;="&amp;MAX(O$7,$J121),Calendar!$A$16:$A$141,"&lt;="&amp;MIN(O$7+4,$K121))*$H121/$G121)))</x:f>
        <x:v>0</x:v>
      </x:c>
      <x:c r="P121" s="45" t="n">
        <x:f>IF(OR($J121="",$K121=""),"",IF(SUMIFS(Calendar!$C$16:$C$141,Calendar!$A$16:$A$141,"&gt;="&amp;MAX(P$7,$J121),Calendar!$A$16:$A$141,"&lt;="&amp;MIN(P$7+4,$K121))=0,0,IF($H121="","EXT",SUMIFS(Calendar!$C$16:$C$141,Calendar!$A$16:$A$141,"&gt;="&amp;MAX(P$7,$J121),Calendar!$A$16:$A$141,"&lt;="&amp;MIN(P$7+4,$K121))*$H121/$G121)))</x:f>
        <x:v>0</x:v>
      </x:c>
      <x:c r="Q121" s="45" t="n">
        <x:f>IF(OR($J121="",$K121=""),"",IF(SUMIFS(Calendar!$C$16:$C$141,Calendar!$A$16:$A$141,"&gt;="&amp;MAX(Q$7,$J121),Calendar!$A$16:$A$141,"&lt;="&amp;MIN(Q$7+4,$K121))=0,0,IF($H121="","EXT",SUMIFS(Calendar!$C$16:$C$141,Calendar!$A$16:$A$141,"&gt;="&amp;MAX(Q$7,$J121),Calendar!$A$16:$A$141,"&lt;="&amp;MIN(Q$7+4,$K121))*$H121/$G121)))</x:f>
        <x:v>0</x:v>
      </x:c>
      <x:c r="R121" s="45" t="n">
        <x:f>IF(OR($J121="",$K121=""),"",IF(SUMIFS(Calendar!$C$16:$C$141,Calendar!$A$16:$A$141,"&gt;="&amp;MAX(R$7,$J121),Calendar!$A$16:$A$141,"&lt;="&amp;MIN(R$7+4,$K121))=0,0,IF($H121="","EXT",SUMIFS(Calendar!$C$16:$C$141,Calendar!$A$16:$A$141,"&gt;="&amp;MAX(R$7,$J121),Calendar!$A$16:$A$141,"&lt;="&amp;MIN(R$7+4,$K121))*$H121/$G121)))</x:f>
        <x:v>0</x:v>
      </x:c>
      <x:c r="S121" s="45" t="n">
        <x:f>IF(OR($J121="",$K121=""),"",IF(SUMIFS(Calendar!$C$16:$C$141,Calendar!$A$16:$A$141,"&gt;="&amp;MAX(S$7,$J121),Calendar!$A$16:$A$141,"&lt;="&amp;MIN(S$7+4,$K121))=0,0,IF($H121="","EXT",SUMIFS(Calendar!$C$16:$C$141,Calendar!$A$16:$A$141,"&gt;="&amp;MAX(S$7,$J121),Calendar!$A$16:$A$141,"&lt;="&amp;MIN(S$7+4,$K121))*$H121/$G121)))</x:f>
        <x:v>0</x:v>
      </x:c>
      <x:c r="T121" s="45" t="n">
        <x:f>IF(OR($J121="",$K121=""),"",IF(SUMIFS(Calendar!$C$16:$C$141,Calendar!$A$16:$A$141,"&gt;="&amp;MAX(T$7,$J121),Calendar!$A$16:$A$141,"&lt;="&amp;MIN(T$7+4,$K121))=0,0,IF($H121="","EXT",SUMIFS(Calendar!$C$16:$C$141,Calendar!$A$16:$A$141,"&gt;="&amp;MAX(T$7,$J121),Calendar!$A$16:$A$141,"&lt;="&amp;MIN(T$7+4,$K121))*$H121/$G121)))</x:f>
        <x:v>3</x:v>
      </x:c>
      <x:c r="U121" s="45" t="n">
        <x:f>IF(OR($J121="",$K121=""),"",IF(SUMIFS(Calendar!$C$16:$C$141,Calendar!$A$16:$A$141,"&gt;="&amp;MAX(U$7,$J121),Calendar!$A$16:$A$141,"&lt;="&amp;MIN(U$7+4,$K121))=0,0,IF($H121="","EXT",SUMIFS(Calendar!$C$16:$C$141,Calendar!$A$16:$A$141,"&gt;="&amp;MAX(U$7,$J121),Calendar!$A$16:$A$141,"&lt;="&amp;MIN(U$7+4,$K121))*$H121/$G121)))</x:f>
        <x:v>0</x:v>
      </x:c>
      <x:c r="V121" s="45" t="n">
        <x:f>IF(OR($J121="",$K121=""),"",IF(SUMIFS(Calendar!$C$16:$C$141,Calendar!$A$16:$A$141,"&gt;="&amp;MAX(V$7,$J121),Calendar!$A$16:$A$141,"&lt;="&amp;MIN(V$7+4,$K121))=0,0,IF($H121="","EXT",SUMIFS(Calendar!$C$16:$C$141,Calendar!$A$16:$A$141,"&gt;="&amp;MAX(V$7,$J121),Calendar!$A$16:$A$141,"&lt;="&amp;MIN(V$7+4,$K121))*$H121/$G121)))</x:f>
        <x:v>0</x:v>
      </x:c>
      <x:c r="W121" s="45" t="n">
        <x:f>IF(OR($J121="",$K121=""),"",IF(SUMIFS(Calendar!$C$16:$C$141,Calendar!$A$16:$A$141,"&gt;="&amp;MAX(W$7,$J121),Calendar!$A$16:$A$141,"&lt;="&amp;MIN(W$7+4,$K121))=0,0,IF($H121="","EXT",SUMIFS(Calendar!$C$16:$C$141,Calendar!$A$16:$A$141,"&gt;="&amp;MAX(W$7,$J121),Calendar!$A$16:$A$141,"&lt;="&amp;MIN(W$7+4,$K121))*$H121/$G121)))</x:f>
        <x:v>0</x:v>
      </x:c>
      <x:c r="X121" s="45" t="n">
        <x:f>IF(OR($J121="",$K121=""),"",IF(SUMIFS(Calendar!$C$16:$C$141,Calendar!$A$16:$A$141,"&gt;="&amp;MAX(X$7,$J121),Calendar!$A$16:$A$141,"&lt;="&amp;MIN(X$7+4,$K121))=0,0,IF($H121="","EXT",SUMIFS(Calendar!$C$16:$C$141,Calendar!$A$16:$A$141,"&gt;="&amp;MAX(X$7,$J121),Calendar!$A$16:$A$141,"&lt;="&amp;MIN(X$7+4,$K121))*$H121/$G121)))</x:f>
        <x:v>0</x:v>
      </x:c>
      <x:c r="Y121" s="45" t="n">
        <x:f>IF(OR($J121="",$K121=""),"",IF(SUMIFS(Calendar!$C$16:$C$141,Calendar!$A$16:$A$141,"&gt;="&amp;MAX(Y$7,$J121),Calendar!$A$16:$A$141,"&lt;="&amp;MIN(Y$7+4,$K121))=0,0,IF($H121="","EXT",SUMIFS(Calendar!$C$16:$C$141,Calendar!$A$16:$A$141,"&gt;="&amp;MAX(Y$7,$J121),Calendar!$A$16:$A$141,"&lt;="&amp;MIN(Y$7+4,$K121))*$H121/$G121)))</x:f>
        <x:v>0</x:v>
      </x:c>
      <x:c r="Z121" s="45" t="n">
        <x:f>IF(OR($J121="",$K121=""),"",IF(SUMIFS(Calendar!$C$16:$C$141,Calendar!$A$16:$A$141,"&gt;="&amp;MAX(Z$7,$J121),Calendar!$A$16:$A$141,"&lt;="&amp;MIN(Z$7+4,$K121))=0,0,IF($H121="","EXT",SUMIFS(Calendar!$C$16:$C$141,Calendar!$A$16:$A$141,"&gt;="&amp;MAX(Z$7,$J121),Calendar!$A$16:$A$141,"&lt;="&amp;MIN(Z$7+4,$K121))*$H121/$G121)))</x:f>
        <x:v>0</x:v>
      </x:c>
      <x:c r="AA121" s="45" t="n">
        <x:f>IF(OR($J121="",$K121=""),"",IF(SUMIFS(Calendar!$C$16:$C$141,Calendar!$A$16:$A$141,"&gt;="&amp;MAX(AA$7,$J121),Calendar!$A$16:$A$141,"&lt;="&amp;MIN(AA$7+4,$K121))=0,0,IF($H121="","EXT",SUMIFS(Calendar!$C$16:$C$141,Calendar!$A$16:$A$141,"&gt;="&amp;MAX(AA$7,$J121),Calendar!$A$16:$A$141,"&lt;="&amp;MIN(AA$7+4,$K121))*$H121/$G121)))</x:f>
        <x:v>0</x:v>
      </x:c>
      <x:c r="AB121" s="45" t="n">
        <x:f>IF(OR($J121="",$K121=""),"",IF(SUMIFS(Calendar!$C$16:$C$141,Calendar!$A$16:$A$141,"&gt;="&amp;MAX(AB$7,$J121),Calendar!$A$16:$A$141,"&lt;="&amp;MIN(AB$7+4,$K121))=0,0,IF($H121="","EXT",SUMIFS(Calendar!$C$16:$C$141,Calendar!$A$16:$A$141,"&gt;="&amp;MAX(AB$7,$J121),Calendar!$A$16:$A$141,"&lt;="&amp;MIN(AB$7+4,$K121))*$H121/$G121)))</x:f>
        <x:v>0</x:v>
      </x:c>
      <x:c r="AC121" s="45" t="n">
        <x:f>IF(OR($J121="",$K121=""),"",IF(SUMIFS(Calendar!$C$16:$C$141,Calendar!$A$16:$A$141,"&gt;="&amp;MAX(AC$7,$J121),Calendar!$A$16:$A$141,"&lt;="&amp;MIN(AC$7+4,$K121))=0,0,IF($H121="","EXT",SUMIFS(Calendar!$C$16:$C$141,Calendar!$A$16:$A$141,"&gt;="&amp;MAX(AC$7,$J121),Calendar!$A$16:$A$141,"&lt;="&amp;MIN(AC$7+4,$K121))*$H121/$G121)))</x:f>
        <x:v>0</x:v>
      </x:c>
      <x:c r="AD121" s="45" t="n">
        <x:f>IF(OR($J121="",$K121=""),"",IF(SUMIFS(Calendar!$C$16:$C$141,Calendar!$A$16:$A$141,"&gt;="&amp;MAX(AD$7,$J121),Calendar!$A$16:$A$141,"&lt;="&amp;MIN(AD$7+4,$K121))=0,0,IF($H121="","EXT",SUMIFS(Calendar!$C$16:$C$141,Calendar!$A$16:$A$141,"&gt;="&amp;MAX(AD$7,$J121),Calendar!$A$16:$A$141,"&lt;="&amp;MIN(AD$7+4,$K121))*$H121/$G121)))</x:f>
        <x:v>0</x:v>
      </x:c>
      <x:c r="AE121" s="45" t="n">
        <x:f>IF(OR($J121="",$K121=""),"",IF(SUMIFS(Calendar!$C$16:$C$141,Calendar!$A$16:$A$141,"&gt;="&amp;MAX(AE$7,$J121),Calendar!$A$16:$A$141,"&lt;="&amp;MIN(AE$7+4,$K121))=0,0,IF($H121="","EXT",SUMIFS(Calendar!$C$16:$C$141,Calendar!$A$16:$A$141,"&gt;="&amp;MAX(AE$7,$J121),Calendar!$A$16:$A$141,"&lt;="&amp;MIN(AE$7+4,$K121))*$H121/$G121)))</x:f>
        <x:v>0</x:v>
      </x:c>
      <x:c r="AF121" s="8" t="n">
        <x:f>IF(OR(M121&lt;&gt;"Scheduled",INDEX('Team and Gates'!$C$7:$C$13,MATCH($D121,'Team and Gates'!$A$7:$A$13,0))=""),"CHECK",SUM(N121:AE121)*INDEX('Team and Gates'!$C$7:$C$13,MATCH($D121,'Team and Gates'!$A$7:$A$13,0)))</x:f>
        <x:v>1080</x:v>
      </x:c>
      <x:c r="AG121" s="46" t="str">
        <x:v>Reproducible SIT evidence, defect disposition and affected-path retesting are recorded.</x:v>
      </x:c>
      <x:c r="AH121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122" ht="45" customHeight="1">
      <x:c r="A122" s="2" t="str">
        <x:v>BA10</x:v>
      </x:c>
      <x:c r="B122" s="2" t="str">
        <x:v>FSD / business</x:v>
      </x:c>
      <x:c r="C122" s="46" t="str">
        <x:v>SIT Playbook rules review and UAT script preparation</x:v>
      </x:c>
      <x:c r="D122" s="20" t="str">
        <x:v>BA</x:v>
      </x:c>
      <x:c r="E122" s="46" t="str">
        <x:v>BA09</x:v>
      </x:c>
      <x:c r="F122" s="50" t="n">
        <x:v>36</x:v>
      </x:c>
      <x:c r="G122" s="50" t="n">
        <x:v>5</x:v>
      </x:c>
      <x:c r="H122" s="51" t="n">
        <x:v>3</x:v>
      </x:c>
      <x:c r="I122" s="2" t="n">
        <x:f>IF(OR(F122="",G122=""),"",F122+G122-1)</x:f>
        <x:v>40</x:v>
      </x:c>
      <x:c r="J122" s="5" t="n">
        <x:f>IF(OR(F122="",F122&lt;1,F122&gt;Calendar!$B$9),"",INDEX(Calendar!$A$16:$A$141,MATCH(F122,Calendar!$D$16:$D$141,0)))</x:f>
        <x:v>46377</x:v>
      </x:c>
      <x:c r="K122" s="5" t="n">
        <x:f>IF(OR(I122="",I122&lt;1,I122&gt;Calendar!$B$9),"",INDEX(Calendar!$A$16:$A$141,MATCH(I122,Calendar!$D$16:$D$141,0)))</x:f>
        <x:v>46381</x:v>
      </x:c>
      <x:c r="L122" s="53" t="n">
        <x:v>0</x:v>
      </x:c>
      <x:c r="M122" s="2" t="str">
        <x:f>IF(OR(F122="",G122="",H122=""),"Missing input",IF(OR(F122&lt;1,G122&lt;1,I122&gt;Calendar!$B$9),"Outside calendar",IF(F122&lt;MAX(INDEX($I$8:$I$157,MATCH("BA09",$A$8:$A$157,0))+1),"Dependency conflict","Scheduled")))</x:f>
        <x:v>Scheduled</x:v>
      </x:c>
      <x:c r="N122" s="45" t="n">
        <x:f>IF(OR($J122="",$K122=""),"",IF(SUMIFS(Calendar!$C$16:$C$141,Calendar!$A$16:$A$141,"&gt;="&amp;MAX(N$7,$J122),Calendar!$A$16:$A$141,"&lt;="&amp;MIN(N$7+4,$K122))=0,0,IF($H122="","EXT",SUMIFS(Calendar!$C$16:$C$141,Calendar!$A$16:$A$141,"&gt;="&amp;MAX(N$7,$J122),Calendar!$A$16:$A$141,"&lt;="&amp;MIN(N$7+4,$K122))*$H122/$G122)))</x:f>
        <x:v>0</x:v>
      </x:c>
      <x:c r="O122" s="45" t="n">
        <x:f>IF(OR($J122="",$K122=""),"",IF(SUMIFS(Calendar!$C$16:$C$141,Calendar!$A$16:$A$141,"&gt;="&amp;MAX(O$7,$J122),Calendar!$A$16:$A$141,"&lt;="&amp;MIN(O$7+4,$K122))=0,0,IF($H122="","EXT",SUMIFS(Calendar!$C$16:$C$141,Calendar!$A$16:$A$141,"&gt;="&amp;MAX(O$7,$J122),Calendar!$A$16:$A$141,"&lt;="&amp;MIN(O$7+4,$K122))*$H122/$G122)))</x:f>
        <x:v>0</x:v>
      </x:c>
      <x:c r="P122" s="45" t="n">
        <x:f>IF(OR($J122="",$K122=""),"",IF(SUMIFS(Calendar!$C$16:$C$141,Calendar!$A$16:$A$141,"&gt;="&amp;MAX(P$7,$J122),Calendar!$A$16:$A$141,"&lt;="&amp;MIN(P$7+4,$K122))=0,0,IF($H122="","EXT",SUMIFS(Calendar!$C$16:$C$141,Calendar!$A$16:$A$141,"&gt;="&amp;MAX(P$7,$J122),Calendar!$A$16:$A$141,"&lt;="&amp;MIN(P$7+4,$K122))*$H122/$G122)))</x:f>
        <x:v>0</x:v>
      </x:c>
      <x:c r="Q122" s="45" t="n">
        <x:f>IF(OR($J122="",$K122=""),"",IF(SUMIFS(Calendar!$C$16:$C$141,Calendar!$A$16:$A$141,"&gt;="&amp;MAX(Q$7,$J122),Calendar!$A$16:$A$141,"&lt;="&amp;MIN(Q$7+4,$K122))=0,0,IF($H122="","EXT",SUMIFS(Calendar!$C$16:$C$141,Calendar!$A$16:$A$141,"&gt;="&amp;MAX(Q$7,$J122),Calendar!$A$16:$A$141,"&lt;="&amp;MIN(Q$7+4,$K122))*$H122/$G122)))</x:f>
        <x:v>0</x:v>
      </x:c>
      <x:c r="R122" s="45" t="n">
        <x:f>IF(OR($J122="",$K122=""),"",IF(SUMIFS(Calendar!$C$16:$C$141,Calendar!$A$16:$A$141,"&gt;="&amp;MAX(R$7,$J122),Calendar!$A$16:$A$141,"&lt;="&amp;MIN(R$7+4,$K122))=0,0,IF($H122="","EXT",SUMIFS(Calendar!$C$16:$C$141,Calendar!$A$16:$A$141,"&gt;="&amp;MAX(R$7,$J122),Calendar!$A$16:$A$141,"&lt;="&amp;MIN(R$7+4,$K122))*$H122/$G122)))</x:f>
        <x:v>0</x:v>
      </x:c>
      <x:c r="S122" s="45" t="n">
        <x:f>IF(OR($J122="",$K122=""),"",IF(SUMIFS(Calendar!$C$16:$C$141,Calendar!$A$16:$A$141,"&gt;="&amp;MAX(S$7,$J122),Calendar!$A$16:$A$141,"&lt;="&amp;MIN(S$7+4,$K122))=0,0,IF($H122="","EXT",SUMIFS(Calendar!$C$16:$C$141,Calendar!$A$16:$A$141,"&gt;="&amp;MAX(S$7,$J122),Calendar!$A$16:$A$141,"&lt;="&amp;MIN(S$7+4,$K122))*$H122/$G122)))</x:f>
        <x:v>0</x:v>
      </x:c>
      <x:c r="T122" s="45" t="n">
        <x:f>IF(OR($J122="",$K122=""),"",IF(SUMIFS(Calendar!$C$16:$C$141,Calendar!$A$16:$A$141,"&gt;="&amp;MAX(T$7,$J122),Calendar!$A$16:$A$141,"&lt;="&amp;MIN(T$7+4,$K122))=0,0,IF($H122="","EXT",SUMIFS(Calendar!$C$16:$C$141,Calendar!$A$16:$A$141,"&gt;="&amp;MAX(T$7,$J122),Calendar!$A$16:$A$141,"&lt;="&amp;MIN(T$7+4,$K122))*$H122/$G122)))</x:f>
        <x:v>0</x:v>
      </x:c>
      <x:c r="U122" s="45" t="n">
        <x:f>IF(OR($J122="",$K122=""),"",IF(SUMIFS(Calendar!$C$16:$C$141,Calendar!$A$16:$A$141,"&gt;="&amp;MAX(U$7,$J122),Calendar!$A$16:$A$141,"&lt;="&amp;MIN(U$7+4,$K122))=0,0,IF($H122="","EXT",SUMIFS(Calendar!$C$16:$C$141,Calendar!$A$16:$A$141,"&gt;="&amp;MAX(U$7,$J122),Calendar!$A$16:$A$141,"&lt;="&amp;MIN(U$7+4,$K122))*$H122/$G122)))</x:f>
        <x:v>3</x:v>
      </x:c>
      <x:c r="V122" s="45" t="n">
        <x:f>IF(OR($J122="",$K122=""),"",IF(SUMIFS(Calendar!$C$16:$C$141,Calendar!$A$16:$A$141,"&gt;="&amp;MAX(V$7,$J122),Calendar!$A$16:$A$141,"&lt;="&amp;MIN(V$7+4,$K122))=0,0,IF($H122="","EXT",SUMIFS(Calendar!$C$16:$C$141,Calendar!$A$16:$A$141,"&gt;="&amp;MAX(V$7,$J122),Calendar!$A$16:$A$141,"&lt;="&amp;MIN(V$7+4,$K122))*$H122/$G122)))</x:f>
        <x:v>0</x:v>
      </x:c>
      <x:c r="W122" s="45" t="n">
        <x:f>IF(OR($J122="",$K122=""),"",IF(SUMIFS(Calendar!$C$16:$C$141,Calendar!$A$16:$A$141,"&gt;="&amp;MAX(W$7,$J122),Calendar!$A$16:$A$141,"&lt;="&amp;MIN(W$7+4,$K122))=0,0,IF($H122="","EXT",SUMIFS(Calendar!$C$16:$C$141,Calendar!$A$16:$A$141,"&gt;="&amp;MAX(W$7,$J122),Calendar!$A$16:$A$141,"&lt;="&amp;MIN(W$7+4,$K122))*$H122/$G122)))</x:f>
        <x:v>0</x:v>
      </x:c>
      <x:c r="X122" s="45" t="n">
        <x:f>IF(OR($J122="",$K122=""),"",IF(SUMIFS(Calendar!$C$16:$C$141,Calendar!$A$16:$A$141,"&gt;="&amp;MAX(X$7,$J122),Calendar!$A$16:$A$141,"&lt;="&amp;MIN(X$7+4,$K122))=0,0,IF($H122="","EXT",SUMIFS(Calendar!$C$16:$C$141,Calendar!$A$16:$A$141,"&gt;="&amp;MAX(X$7,$J122),Calendar!$A$16:$A$141,"&lt;="&amp;MIN(X$7+4,$K122))*$H122/$G122)))</x:f>
        <x:v>0</x:v>
      </x:c>
      <x:c r="Y122" s="45" t="n">
        <x:f>IF(OR($J122="",$K122=""),"",IF(SUMIFS(Calendar!$C$16:$C$141,Calendar!$A$16:$A$141,"&gt;="&amp;MAX(Y$7,$J122),Calendar!$A$16:$A$141,"&lt;="&amp;MIN(Y$7+4,$K122))=0,0,IF($H122="","EXT",SUMIFS(Calendar!$C$16:$C$141,Calendar!$A$16:$A$141,"&gt;="&amp;MAX(Y$7,$J122),Calendar!$A$16:$A$141,"&lt;="&amp;MIN(Y$7+4,$K122))*$H122/$G122)))</x:f>
        <x:v>0</x:v>
      </x:c>
      <x:c r="Z122" s="45" t="n">
        <x:f>IF(OR($J122="",$K122=""),"",IF(SUMIFS(Calendar!$C$16:$C$141,Calendar!$A$16:$A$141,"&gt;="&amp;MAX(Z$7,$J122),Calendar!$A$16:$A$141,"&lt;="&amp;MIN(Z$7+4,$K122))=0,0,IF($H122="","EXT",SUMIFS(Calendar!$C$16:$C$141,Calendar!$A$16:$A$141,"&gt;="&amp;MAX(Z$7,$J122),Calendar!$A$16:$A$141,"&lt;="&amp;MIN(Z$7+4,$K122))*$H122/$G122)))</x:f>
        <x:v>0</x:v>
      </x:c>
      <x:c r="AA122" s="45" t="n">
        <x:f>IF(OR($J122="",$K122=""),"",IF(SUMIFS(Calendar!$C$16:$C$141,Calendar!$A$16:$A$141,"&gt;="&amp;MAX(AA$7,$J122),Calendar!$A$16:$A$141,"&lt;="&amp;MIN(AA$7+4,$K122))=0,0,IF($H122="","EXT",SUMIFS(Calendar!$C$16:$C$141,Calendar!$A$16:$A$141,"&gt;="&amp;MAX(AA$7,$J122),Calendar!$A$16:$A$141,"&lt;="&amp;MIN(AA$7+4,$K122))*$H122/$G122)))</x:f>
        <x:v>0</x:v>
      </x:c>
      <x:c r="AB122" s="45" t="n">
        <x:f>IF(OR($J122="",$K122=""),"",IF(SUMIFS(Calendar!$C$16:$C$141,Calendar!$A$16:$A$141,"&gt;="&amp;MAX(AB$7,$J122),Calendar!$A$16:$A$141,"&lt;="&amp;MIN(AB$7+4,$K122))=0,0,IF($H122="","EXT",SUMIFS(Calendar!$C$16:$C$141,Calendar!$A$16:$A$141,"&gt;="&amp;MAX(AB$7,$J122),Calendar!$A$16:$A$141,"&lt;="&amp;MIN(AB$7+4,$K122))*$H122/$G122)))</x:f>
        <x:v>0</x:v>
      </x:c>
      <x:c r="AC122" s="45" t="n">
        <x:f>IF(OR($J122="",$K122=""),"",IF(SUMIFS(Calendar!$C$16:$C$141,Calendar!$A$16:$A$141,"&gt;="&amp;MAX(AC$7,$J122),Calendar!$A$16:$A$141,"&lt;="&amp;MIN(AC$7+4,$K122))=0,0,IF($H122="","EXT",SUMIFS(Calendar!$C$16:$C$141,Calendar!$A$16:$A$141,"&gt;="&amp;MAX(AC$7,$J122),Calendar!$A$16:$A$141,"&lt;="&amp;MIN(AC$7+4,$K122))*$H122/$G122)))</x:f>
        <x:v>0</x:v>
      </x:c>
      <x:c r="AD122" s="45" t="n">
        <x:f>IF(OR($J122="",$K122=""),"",IF(SUMIFS(Calendar!$C$16:$C$141,Calendar!$A$16:$A$141,"&gt;="&amp;MAX(AD$7,$J122),Calendar!$A$16:$A$141,"&lt;="&amp;MIN(AD$7+4,$K122))=0,0,IF($H122="","EXT",SUMIFS(Calendar!$C$16:$C$141,Calendar!$A$16:$A$141,"&gt;="&amp;MAX(AD$7,$J122),Calendar!$A$16:$A$141,"&lt;="&amp;MIN(AD$7+4,$K122))*$H122/$G122)))</x:f>
        <x:v>0</x:v>
      </x:c>
      <x:c r="AE122" s="45" t="n">
        <x:f>IF(OR($J122="",$K122=""),"",IF(SUMIFS(Calendar!$C$16:$C$141,Calendar!$A$16:$A$141,"&gt;="&amp;MAX(AE$7,$J122),Calendar!$A$16:$A$141,"&lt;="&amp;MIN(AE$7+4,$K122))=0,0,IF($H122="","EXT",SUMIFS(Calendar!$C$16:$C$141,Calendar!$A$16:$A$141,"&gt;="&amp;MAX(AE$7,$J122),Calendar!$A$16:$A$141,"&lt;="&amp;MIN(AE$7+4,$K122))*$H122/$G122)))</x:f>
        <x:v>0</x:v>
      </x:c>
      <x:c r="AF122" s="8" t="n">
        <x:f>IF(OR(M122&lt;&gt;"Scheduled",INDEX('Team and Gates'!$C$7:$C$13,MATCH($D122,'Team and Gates'!$A$7:$A$13,0))=""),"CHECK",SUM(N122:AE122)*INDEX('Team and Gates'!$C$7:$C$13,MATCH($D122,'Team and Gates'!$A$7:$A$13,0)))</x:f>
        <x:v>1080</x:v>
      </x:c>
      <x:c r="AG122" s="46" t="str">
        <x:v>Reproducible SIT evidence, defect disposition and affected-path retesting are recorded.</x:v>
      </x:c>
      <x:c r="AH122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123" ht="45" customHeight="1">
      <x:c r="A123" s="39" t="str">
        <x:v>BA11</x:v>
      </x:c>
      <x:c r="B123" s="39" t="str">
        <x:v>FSD / business</x:v>
      </x:c>
      <x:c r="C123" s="47" t="str">
        <x:v>SIT interim business review and UAT planning</x:v>
      </x:c>
      <x:c r="D123" s="20" t="str">
        <x:v>BA</x:v>
      </x:c>
      <x:c r="E123" s="47" t="str">
        <x:v>BA10</x:v>
      </x:c>
      <x:c r="F123" s="50" t="n">
        <x:v>41</x:v>
      </x:c>
      <x:c r="G123" s="50" t="n">
        <x:v>5</x:v>
      </x:c>
      <x:c r="H123" s="51" t="n">
        <x:v>3</x:v>
      </x:c>
      <x:c r="I123" s="39" t="n">
        <x:f>IF(OR(F123="",G123=""),"",F123+G123-1)</x:f>
        <x:v>45</x:v>
      </x:c>
      <x:c r="J123" s="41" t="n">
        <x:f>IF(OR(F123="",F123&lt;1,F123&gt;Calendar!$B$9),"",INDEX(Calendar!$A$16:$A$141,MATCH(F123,Calendar!$D$16:$D$141,0)))</x:f>
        <x:v>46384</x:v>
      </x:c>
      <x:c r="K123" s="41" t="n">
        <x:f>IF(OR(I123="",I123&lt;1,I123&gt;Calendar!$B$9),"",INDEX(Calendar!$A$16:$A$141,MATCH(I123,Calendar!$D$16:$D$141,0)))</x:f>
        <x:v>46388</x:v>
      </x:c>
      <x:c r="L123" s="53" t="n">
        <x:v>0</x:v>
      </x:c>
      <x:c r="M123" s="39" t="str">
        <x:f>IF(OR(F123="",G123="",H123=""),"Missing input",IF(OR(F123&lt;1,G123&lt;1,I123&gt;Calendar!$B$9),"Outside calendar",IF(F123&lt;MAX(INDEX($I$8:$I$157,MATCH("BA10",$A$8:$A$157,0))+1),"Dependency conflict","Scheduled")))</x:f>
        <x:v>Scheduled</x:v>
      </x:c>
      <x:c r="N123" s="45" t="n">
        <x:f>IF(OR($J123="",$K123=""),"",IF(SUMIFS(Calendar!$C$16:$C$141,Calendar!$A$16:$A$141,"&gt;="&amp;MAX(N$7,$J123),Calendar!$A$16:$A$141,"&lt;="&amp;MIN(N$7+4,$K123))=0,0,IF($H123="","EXT",SUMIFS(Calendar!$C$16:$C$141,Calendar!$A$16:$A$141,"&gt;="&amp;MAX(N$7,$J123),Calendar!$A$16:$A$141,"&lt;="&amp;MIN(N$7+4,$K123))*$H123/$G123)))</x:f>
        <x:v>0</x:v>
      </x:c>
      <x:c r="O123" s="45" t="n">
        <x:f>IF(OR($J123="",$K123=""),"",IF(SUMIFS(Calendar!$C$16:$C$141,Calendar!$A$16:$A$141,"&gt;="&amp;MAX(O$7,$J123),Calendar!$A$16:$A$141,"&lt;="&amp;MIN(O$7+4,$K123))=0,0,IF($H123="","EXT",SUMIFS(Calendar!$C$16:$C$141,Calendar!$A$16:$A$141,"&gt;="&amp;MAX(O$7,$J123),Calendar!$A$16:$A$141,"&lt;="&amp;MIN(O$7+4,$K123))*$H123/$G123)))</x:f>
        <x:v>0</x:v>
      </x:c>
      <x:c r="P123" s="45" t="n">
        <x:f>IF(OR($J123="",$K123=""),"",IF(SUMIFS(Calendar!$C$16:$C$141,Calendar!$A$16:$A$141,"&gt;="&amp;MAX(P$7,$J123),Calendar!$A$16:$A$141,"&lt;="&amp;MIN(P$7+4,$K123))=0,0,IF($H123="","EXT",SUMIFS(Calendar!$C$16:$C$141,Calendar!$A$16:$A$141,"&gt;="&amp;MAX(P$7,$J123),Calendar!$A$16:$A$141,"&lt;="&amp;MIN(P$7+4,$K123))*$H123/$G123)))</x:f>
        <x:v>0</x:v>
      </x:c>
      <x:c r="Q123" s="45" t="n">
        <x:f>IF(OR($J123="",$K123=""),"",IF(SUMIFS(Calendar!$C$16:$C$141,Calendar!$A$16:$A$141,"&gt;="&amp;MAX(Q$7,$J123),Calendar!$A$16:$A$141,"&lt;="&amp;MIN(Q$7+4,$K123))=0,0,IF($H123="","EXT",SUMIFS(Calendar!$C$16:$C$141,Calendar!$A$16:$A$141,"&gt;="&amp;MAX(Q$7,$J123),Calendar!$A$16:$A$141,"&lt;="&amp;MIN(Q$7+4,$K123))*$H123/$G123)))</x:f>
        <x:v>0</x:v>
      </x:c>
      <x:c r="R123" s="45" t="n">
        <x:f>IF(OR($J123="",$K123=""),"",IF(SUMIFS(Calendar!$C$16:$C$141,Calendar!$A$16:$A$141,"&gt;="&amp;MAX(R$7,$J123),Calendar!$A$16:$A$141,"&lt;="&amp;MIN(R$7+4,$K123))=0,0,IF($H123="","EXT",SUMIFS(Calendar!$C$16:$C$141,Calendar!$A$16:$A$141,"&gt;="&amp;MAX(R$7,$J123),Calendar!$A$16:$A$141,"&lt;="&amp;MIN(R$7+4,$K123))*$H123/$G123)))</x:f>
        <x:v>0</x:v>
      </x:c>
      <x:c r="S123" s="45" t="n">
        <x:f>IF(OR($J123="",$K123=""),"",IF(SUMIFS(Calendar!$C$16:$C$141,Calendar!$A$16:$A$141,"&gt;="&amp;MAX(S$7,$J123),Calendar!$A$16:$A$141,"&lt;="&amp;MIN(S$7+4,$K123))=0,0,IF($H123="","EXT",SUMIFS(Calendar!$C$16:$C$141,Calendar!$A$16:$A$141,"&gt;="&amp;MAX(S$7,$J123),Calendar!$A$16:$A$141,"&lt;="&amp;MIN(S$7+4,$K123))*$H123/$G123)))</x:f>
        <x:v>0</x:v>
      </x:c>
      <x:c r="T123" s="45" t="n">
        <x:f>IF(OR($J123="",$K123=""),"",IF(SUMIFS(Calendar!$C$16:$C$141,Calendar!$A$16:$A$141,"&gt;="&amp;MAX(T$7,$J123),Calendar!$A$16:$A$141,"&lt;="&amp;MIN(T$7+4,$K123))=0,0,IF($H123="","EXT",SUMIFS(Calendar!$C$16:$C$141,Calendar!$A$16:$A$141,"&gt;="&amp;MAX(T$7,$J123),Calendar!$A$16:$A$141,"&lt;="&amp;MIN(T$7+4,$K123))*$H123/$G123)))</x:f>
        <x:v>0</x:v>
      </x:c>
      <x:c r="U123" s="45" t="n">
        <x:f>IF(OR($J123="",$K123=""),"",IF(SUMIFS(Calendar!$C$16:$C$141,Calendar!$A$16:$A$141,"&gt;="&amp;MAX(U$7,$J123),Calendar!$A$16:$A$141,"&lt;="&amp;MIN(U$7+4,$K123))=0,0,IF($H123="","EXT",SUMIFS(Calendar!$C$16:$C$141,Calendar!$A$16:$A$141,"&gt;="&amp;MAX(U$7,$J123),Calendar!$A$16:$A$141,"&lt;="&amp;MIN(U$7+4,$K123))*$H123/$G123)))</x:f>
        <x:v>0</x:v>
      </x:c>
      <x:c r="V123" s="45" t="n">
        <x:f>IF(OR($J123="",$K123=""),"",IF(SUMIFS(Calendar!$C$16:$C$141,Calendar!$A$16:$A$141,"&gt;="&amp;MAX(V$7,$J123),Calendar!$A$16:$A$141,"&lt;="&amp;MIN(V$7+4,$K123))=0,0,IF($H123="","EXT",SUMIFS(Calendar!$C$16:$C$141,Calendar!$A$16:$A$141,"&gt;="&amp;MAX(V$7,$J123),Calendar!$A$16:$A$141,"&lt;="&amp;MIN(V$7+4,$K123))*$H123/$G123)))</x:f>
        <x:v>3</x:v>
      </x:c>
      <x:c r="W123" s="45" t="n">
        <x:f>IF(OR($J123="",$K123=""),"",IF(SUMIFS(Calendar!$C$16:$C$141,Calendar!$A$16:$A$141,"&gt;="&amp;MAX(W$7,$J123),Calendar!$A$16:$A$141,"&lt;="&amp;MIN(W$7+4,$K123))=0,0,IF($H123="","EXT",SUMIFS(Calendar!$C$16:$C$141,Calendar!$A$16:$A$141,"&gt;="&amp;MAX(W$7,$J123),Calendar!$A$16:$A$141,"&lt;="&amp;MIN(W$7+4,$K123))*$H123/$G123)))</x:f>
        <x:v>0</x:v>
      </x:c>
      <x:c r="X123" s="45" t="n">
        <x:f>IF(OR($J123="",$K123=""),"",IF(SUMIFS(Calendar!$C$16:$C$141,Calendar!$A$16:$A$141,"&gt;="&amp;MAX(X$7,$J123),Calendar!$A$16:$A$141,"&lt;="&amp;MIN(X$7+4,$K123))=0,0,IF($H123="","EXT",SUMIFS(Calendar!$C$16:$C$141,Calendar!$A$16:$A$141,"&gt;="&amp;MAX(X$7,$J123),Calendar!$A$16:$A$141,"&lt;="&amp;MIN(X$7+4,$K123))*$H123/$G123)))</x:f>
        <x:v>0</x:v>
      </x:c>
      <x:c r="Y123" s="45" t="n">
        <x:f>IF(OR($J123="",$K123=""),"",IF(SUMIFS(Calendar!$C$16:$C$141,Calendar!$A$16:$A$141,"&gt;="&amp;MAX(Y$7,$J123),Calendar!$A$16:$A$141,"&lt;="&amp;MIN(Y$7+4,$K123))=0,0,IF($H123="","EXT",SUMIFS(Calendar!$C$16:$C$141,Calendar!$A$16:$A$141,"&gt;="&amp;MAX(Y$7,$J123),Calendar!$A$16:$A$141,"&lt;="&amp;MIN(Y$7+4,$K123))*$H123/$G123)))</x:f>
        <x:v>0</x:v>
      </x:c>
      <x:c r="Z123" s="45" t="n">
        <x:f>IF(OR($J123="",$K123=""),"",IF(SUMIFS(Calendar!$C$16:$C$141,Calendar!$A$16:$A$141,"&gt;="&amp;MAX(Z$7,$J123),Calendar!$A$16:$A$141,"&lt;="&amp;MIN(Z$7+4,$K123))=0,0,IF($H123="","EXT",SUMIFS(Calendar!$C$16:$C$141,Calendar!$A$16:$A$141,"&gt;="&amp;MAX(Z$7,$J123),Calendar!$A$16:$A$141,"&lt;="&amp;MIN(Z$7+4,$K123))*$H123/$G123)))</x:f>
        <x:v>0</x:v>
      </x:c>
      <x:c r="AA123" s="45" t="n">
        <x:f>IF(OR($J123="",$K123=""),"",IF(SUMIFS(Calendar!$C$16:$C$141,Calendar!$A$16:$A$141,"&gt;="&amp;MAX(AA$7,$J123),Calendar!$A$16:$A$141,"&lt;="&amp;MIN(AA$7+4,$K123))=0,0,IF($H123="","EXT",SUMIFS(Calendar!$C$16:$C$141,Calendar!$A$16:$A$141,"&gt;="&amp;MAX(AA$7,$J123),Calendar!$A$16:$A$141,"&lt;="&amp;MIN(AA$7+4,$K123))*$H123/$G123)))</x:f>
        <x:v>0</x:v>
      </x:c>
      <x:c r="AB123" s="45" t="n">
        <x:f>IF(OR($J123="",$K123=""),"",IF(SUMIFS(Calendar!$C$16:$C$141,Calendar!$A$16:$A$141,"&gt;="&amp;MAX(AB$7,$J123),Calendar!$A$16:$A$141,"&lt;="&amp;MIN(AB$7+4,$K123))=0,0,IF($H123="","EXT",SUMIFS(Calendar!$C$16:$C$141,Calendar!$A$16:$A$141,"&gt;="&amp;MAX(AB$7,$J123),Calendar!$A$16:$A$141,"&lt;="&amp;MIN(AB$7+4,$K123))*$H123/$G123)))</x:f>
        <x:v>0</x:v>
      </x:c>
      <x:c r="AC123" s="45" t="n">
        <x:f>IF(OR($J123="",$K123=""),"",IF(SUMIFS(Calendar!$C$16:$C$141,Calendar!$A$16:$A$141,"&gt;="&amp;MAX(AC$7,$J123),Calendar!$A$16:$A$141,"&lt;="&amp;MIN(AC$7+4,$K123))=0,0,IF($H123="","EXT",SUMIFS(Calendar!$C$16:$C$141,Calendar!$A$16:$A$141,"&gt;="&amp;MAX(AC$7,$J123),Calendar!$A$16:$A$141,"&lt;="&amp;MIN(AC$7+4,$K123))*$H123/$G123)))</x:f>
        <x:v>0</x:v>
      </x:c>
      <x:c r="AD123" s="45" t="n">
        <x:f>IF(OR($J123="",$K123=""),"",IF(SUMIFS(Calendar!$C$16:$C$141,Calendar!$A$16:$A$141,"&gt;="&amp;MAX(AD$7,$J123),Calendar!$A$16:$A$141,"&lt;="&amp;MIN(AD$7+4,$K123))=0,0,IF($H123="","EXT",SUMIFS(Calendar!$C$16:$C$141,Calendar!$A$16:$A$141,"&gt;="&amp;MAX(AD$7,$J123),Calendar!$A$16:$A$141,"&lt;="&amp;MIN(AD$7+4,$K123))*$H123/$G123)))</x:f>
        <x:v>0</x:v>
      </x:c>
      <x:c r="AE123" s="45" t="n">
        <x:f>IF(OR($J123="",$K123=""),"",IF(SUMIFS(Calendar!$C$16:$C$141,Calendar!$A$16:$A$141,"&gt;="&amp;MAX(AE$7,$J123),Calendar!$A$16:$A$141,"&lt;="&amp;MIN(AE$7+4,$K123))=0,0,IF($H123="","EXT",SUMIFS(Calendar!$C$16:$C$141,Calendar!$A$16:$A$141,"&gt;="&amp;MAX(AE$7,$J123),Calendar!$A$16:$A$141,"&lt;="&amp;MIN(AE$7+4,$K123))*$H123/$G123)))</x:f>
        <x:v>0</x:v>
      </x:c>
      <x:c r="AF123" s="8" t="n">
        <x:f>IF(OR(M123&lt;&gt;"Scheduled",INDEX('Team and Gates'!$C$7:$C$13,MATCH($D123,'Team and Gates'!$A$7:$A$13,0))=""),"CHECK",SUM(N123:AE123)*INDEX('Team and Gates'!$C$7:$C$13,MATCH($D123,'Team and Gates'!$A$7:$A$13,0)))</x:f>
        <x:v>1080</x:v>
      </x:c>
      <x:c r="AG123" s="46" t="str">
        <x:v>Reproducible SIT evidence, defect disposition and affected-path retesting are recorded.</x:v>
      </x:c>
      <x:c r="AH123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124" ht="45" customHeight="1">
      <x:c r="A124" s="2" t="str">
        <x:v>BA-FB10</x:v>
      </x:c>
      <x:c r="B124" s="2" t="str">
        <x:v>FSD / business</x:v>
      </x:c>
      <x:c r="C124" s="46" t="str">
        <x:v>Close business gaps and prepare AM UAT scripts</x:v>
      </x:c>
      <x:c r="D124" s="20" t="str">
        <x:v>BA</x:v>
      </x:c>
      <x:c r="E124" s="46" t="str">
        <x:v>BA11</x:v>
      </x:c>
      <x:c r="F124" s="50" t="n">
        <x:v>46</x:v>
      </x:c>
      <x:c r="G124" s="50" t="n">
        <x:v>5</x:v>
      </x:c>
      <x:c r="H124" s="51" t="n">
        <x:v>3</x:v>
      </x:c>
      <x:c r="I124" s="2" t="n">
        <x:f>IF(OR(F124="",G124=""),"",F124+G124-1)</x:f>
        <x:v>50</x:v>
      </x:c>
      <x:c r="J124" s="5" t="n">
        <x:f>IF(OR(F124="",F124&lt;1,F124&gt;Calendar!$B$9),"",INDEX(Calendar!$A$16:$A$141,MATCH(F124,Calendar!$D$16:$D$141,0)))</x:f>
        <x:v>46391</x:v>
      </x:c>
      <x:c r="K124" s="5" t="n">
        <x:f>IF(OR(I124="",I124&lt;1,I124&gt;Calendar!$B$9),"",INDEX(Calendar!$A$16:$A$141,MATCH(I124,Calendar!$D$16:$D$141,0)))</x:f>
        <x:v>46395</x:v>
      </x:c>
      <x:c r="L124" s="53" t="n">
        <x:v>0</x:v>
      </x:c>
      <x:c r="M124" s="2" t="str">
        <x:f>IF(OR(F124="",G124="",H124=""),"Missing input",IF(OR(F124&lt;1,G124&lt;1,I124&gt;Calendar!$B$9),"Outside calendar",IF(F124&lt;MAX(INDEX($I$8:$I$157,MATCH("BA11",$A$8:$A$157,0))+1),"Dependency conflict","Scheduled")))</x:f>
        <x:v>Scheduled</x:v>
      </x:c>
      <x:c r="N124" s="45" t="n">
        <x:f>IF(OR($J124="",$K124=""),"",IF(SUMIFS(Calendar!$C$16:$C$141,Calendar!$A$16:$A$141,"&gt;="&amp;MAX(N$7,$J124),Calendar!$A$16:$A$141,"&lt;="&amp;MIN(N$7+4,$K124))=0,0,IF($H124="","EXT",SUMIFS(Calendar!$C$16:$C$141,Calendar!$A$16:$A$141,"&gt;="&amp;MAX(N$7,$J124),Calendar!$A$16:$A$141,"&lt;="&amp;MIN(N$7+4,$K124))*$H124/$G124)))</x:f>
        <x:v>0</x:v>
      </x:c>
      <x:c r="O124" s="45" t="n">
        <x:f>IF(OR($J124="",$K124=""),"",IF(SUMIFS(Calendar!$C$16:$C$141,Calendar!$A$16:$A$141,"&gt;="&amp;MAX(O$7,$J124),Calendar!$A$16:$A$141,"&lt;="&amp;MIN(O$7+4,$K124))=0,0,IF($H124="","EXT",SUMIFS(Calendar!$C$16:$C$141,Calendar!$A$16:$A$141,"&gt;="&amp;MAX(O$7,$J124),Calendar!$A$16:$A$141,"&lt;="&amp;MIN(O$7+4,$K124))*$H124/$G124)))</x:f>
        <x:v>0</x:v>
      </x:c>
      <x:c r="P124" s="45" t="n">
        <x:f>IF(OR($J124="",$K124=""),"",IF(SUMIFS(Calendar!$C$16:$C$141,Calendar!$A$16:$A$141,"&gt;="&amp;MAX(P$7,$J124),Calendar!$A$16:$A$141,"&lt;="&amp;MIN(P$7+4,$K124))=0,0,IF($H124="","EXT",SUMIFS(Calendar!$C$16:$C$141,Calendar!$A$16:$A$141,"&gt;="&amp;MAX(P$7,$J124),Calendar!$A$16:$A$141,"&lt;="&amp;MIN(P$7+4,$K124))*$H124/$G124)))</x:f>
        <x:v>0</x:v>
      </x:c>
      <x:c r="Q124" s="45" t="n">
        <x:f>IF(OR($J124="",$K124=""),"",IF(SUMIFS(Calendar!$C$16:$C$141,Calendar!$A$16:$A$141,"&gt;="&amp;MAX(Q$7,$J124),Calendar!$A$16:$A$141,"&lt;="&amp;MIN(Q$7+4,$K124))=0,0,IF($H124="","EXT",SUMIFS(Calendar!$C$16:$C$141,Calendar!$A$16:$A$141,"&gt;="&amp;MAX(Q$7,$J124),Calendar!$A$16:$A$141,"&lt;="&amp;MIN(Q$7+4,$K124))*$H124/$G124)))</x:f>
        <x:v>0</x:v>
      </x:c>
      <x:c r="R124" s="45" t="n">
        <x:f>IF(OR($J124="",$K124=""),"",IF(SUMIFS(Calendar!$C$16:$C$141,Calendar!$A$16:$A$141,"&gt;="&amp;MAX(R$7,$J124),Calendar!$A$16:$A$141,"&lt;="&amp;MIN(R$7+4,$K124))=0,0,IF($H124="","EXT",SUMIFS(Calendar!$C$16:$C$141,Calendar!$A$16:$A$141,"&gt;="&amp;MAX(R$7,$J124),Calendar!$A$16:$A$141,"&lt;="&amp;MIN(R$7+4,$K124))*$H124/$G124)))</x:f>
        <x:v>0</x:v>
      </x:c>
      <x:c r="S124" s="45" t="n">
        <x:f>IF(OR($J124="",$K124=""),"",IF(SUMIFS(Calendar!$C$16:$C$141,Calendar!$A$16:$A$141,"&gt;="&amp;MAX(S$7,$J124),Calendar!$A$16:$A$141,"&lt;="&amp;MIN(S$7+4,$K124))=0,0,IF($H124="","EXT",SUMIFS(Calendar!$C$16:$C$141,Calendar!$A$16:$A$141,"&gt;="&amp;MAX(S$7,$J124),Calendar!$A$16:$A$141,"&lt;="&amp;MIN(S$7+4,$K124))*$H124/$G124)))</x:f>
        <x:v>0</x:v>
      </x:c>
      <x:c r="T124" s="45" t="n">
        <x:f>IF(OR($J124="",$K124=""),"",IF(SUMIFS(Calendar!$C$16:$C$141,Calendar!$A$16:$A$141,"&gt;="&amp;MAX(T$7,$J124),Calendar!$A$16:$A$141,"&lt;="&amp;MIN(T$7+4,$K124))=0,0,IF($H124="","EXT",SUMIFS(Calendar!$C$16:$C$141,Calendar!$A$16:$A$141,"&gt;="&amp;MAX(T$7,$J124),Calendar!$A$16:$A$141,"&lt;="&amp;MIN(T$7+4,$K124))*$H124/$G124)))</x:f>
        <x:v>0</x:v>
      </x:c>
      <x:c r="U124" s="45" t="n">
        <x:f>IF(OR($J124="",$K124=""),"",IF(SUMIFS(Calendar!$C$16:$C$141,Calendar!$A$16:$A$141,"&gt;="&amp;MAX(U$7,$J124),Calendar!$A$16:$A$141,"&lt;="&amp;MIN(U$7+4,$K124))=0,0,IF($H124="","EXT",SUMIFS(Calendar!$C$16:$C$141,Calendar!$A$16:$A$141,"&gt;="&amp;MAX(U$7,$J124),Calendar!$A$16:$A$141,"&lt;="&amp;MIN(U$7+4,$K124))*$H124/$G124)))</x:f>
        <x:v>0</x:v>
      </x:c>
      <x:c r="V124" s="45" t="n">
        <x:f>IF(OR($J124="",$K124=""),"",IF(SUMIFS(Calendar!$C$16:$C$141,Calendar!$A$16:$A$141,"&gt;="&amp;MAX(V$7,$J124),Calendar!$A$16:$A$141,"&lt;="&amp;MIN(V$7+4,$K124))=0,0,IF($H124="","EXT",SUMIFS(Calendar!$C$16:$C$141,Calendar!$A$16:$A$141,"&gt;="&amp;MAX(V$7,$J124),Calendar!$A$16:$A$141,"&lt;="&amp;MIN(V$7+4,$K124))*$H124/$G124)))</x:f>
        <x:v>0</x:v>
      </x:c>
      <x:c r="W124" s="45" t="n">
        <x:f>IF(OR($J124="",$K124=""),"",IF(SUMIFS(Calendar!$C$16:$C$141,Calendar!$A$16:$A$141,"&gt;="&amp;MAX(W$7,$J124),Calendar!$A$16:$A$141,"&lt;="&amp;MIN(W$7+4,$K124))=0,0,IF($H124="","EXT",SUMIFS(Calendar!$C$16:$C$141,Calendar!$A$16:$A$141,"&gt;="&amp;MAX(W$7,$J124),Calendar!$A$16:$A$141,"&lt;="&amp;MIN(W$7+4,$K124))*$H124/$G124)))</x:f>
        <x:v>3</x:v>
      </x:c>
      <x:c r="X124" s="45" t="n">
        <x:f>IF(OR($J124="",$K124=""),"",IF(SUMIFS(Calendar!$C$16:$C$141,Calendar!$A$16:$A$141,"&gt;="&amp;MAX(X$7,$J124),Calendar!$A$16:$A$141,"&lt;="&amp;MIN(X$7+4,$K124))=0,0,IF($H124="","EXT",SUMIFS(Calendar!$C$16:$C$141,Calendar!$A$16:$A$141,"&gt;="&amp;MAX(X$7,$J124),Calendar!$A$16:$A$141,"&lt;="&amp;MIN(X$7+4,$K124))*$H124/$G124)))</x:f>
        <x:v>0</x:v>
      </x:c>
      <x:c r="Y124" s="45" t="n">
        <x:f>IF(OR($J124="",$K124=""),"",IF(SUMIFS(Calendar!$C$16:$C$141,Calendar!$A$16:$A$141,"&gt;="&amp;MAX(Y$7,$J124),Calendar!$A$16:$A$141,"&lt;="&amp;MIN(Y$7+4,$K124))=0,0,IF($H124="","EXT",SUMIFS(Calendar!$C$16:$C$141,Calendar!$A$16:$A$141,"&gt;="&amp;MAX(Y$7,$J124),Calendar!$A$16:$A$141,"&lt;="&amp;MIN(Y$7+4,$K124))*$H124/$G124)))</x:f>
        <x:v>0</x:v>
      </x:c>
      <x:c r="Z124" s="45" t="n">
        <x:f>IF(OR($J124="",$K124=""),"",IF(SUMIFS(Calendar!$C$16:$C$141,Calendar!$A$16:$A$141,"&gt;="&amp;MAX(Z$7,$J124),Calendar!$A$16:$A$141,"&lt;="&amp;MIN(Z$7+4,$K124))=0,0,IF($H124="","EXT",SUMIFS(Calendar!$C$16:$C$141,Calendar!$A$16:$A$141,"&gt;="&amp;MAX(Z$7,$J124),Calendar!$A$16:$A$141,"&lt;="&amp;MIN(Z$7+4,$K124))*$H124/$G124)))</x:f>
        <x:v>0</x:v>
      </x:c>
      <x:c r="AA124" s="45" t="n">
        <x:f>IF(OR($J124="",$K124=""),"",IF(SUMIFS(Calendar!$C$16:$C$141,Calendar!$A$16:$A$141,"&gt;="&amp;MAX(AA$7,$J124),Calendar!$A$16:$A$141,"&lt;="&amp;MIN(AA$7+4,$K124))=0,0,IF($H124="","EXT",SUMIFS(Calendar!$C$16:$C$141,Calendar!$A$16:$A$141,"&gt;="&amp;MAX(AA$7,$J124),Calendar!$A$16:$A$141,"&lt;="&amp;MIN(AA$7+4,$K124))*$H124/$G124)))</x:f>
        <x:v>0</x:v>
      </x:c>
      <x:c r="AB124" s="45" t="n">
        <x:f>IF(OR($J124="",$K124=""),"",IF(SUMIFS(Calendar!$C$16:$C$141,Calendar!$A$16:$A$141,"&gt;="&amp;MAX(AB$7,$J124),Calendar!$A$16:$A$141,"&lt;="&amp;MIN(AB$7+4,$K124))=0,0,IF($H124="","EXT",SUMIFS(Calendar!$C$16:$C$141,Calendar!$A$16:$A$141,"&gt;="&amp;MAX(AB$7,$J124),Calendar!$A$16:$A$141,"&lt;="&amp;MIN(AB$7+4,$K124))*$H124/$G124)))</x:f>
        <x:v>0</x:v>
      </x:c>
      <x:c r="AC124" s="45" t="n">
        <x:f>IF(OR($J124="",$K124=""),"",IF(SUMIFS(Calendar!$C$16:$C$141,Calendar!$A$16:$A$141,"&gt;="&amp;MAX(AC$7,$J124),Calendar!$A$16:$A$141,"&lt;="&amp;MIN(AC$7+4,$K124))=0,0,IF($H124="","EXT",SUMIFS(Calendar!$C$16:$C$141,Calendar!$A$16:$A$141,"&gt;="&amp;MAX(AC$7,$J124),Calendar!$A$16:$A$141,"&lt;="&amp;MIN(AC$7+4,$K124))*$H124/$G124)))</x:f>
        <x:v>0</x:v>
      </x:c>
      <x:c r="AD124" s="45" t="n">
        <x:f>IF(OR($J124="",$K124=""),"",IF(SUMIFS(Calendar!$C$16:$C$141,Calendar!$A$16:$A$141,"&gt;="&amp;MAX(AD$7,$J124),Calendar!$A$16:$A$141,"&lt;="&amp;MIN(AD$7+4,$K124))=0,0,IF($H124="","EXT",SUMIFS(Calendar!$C$16:$C$141,Calendar!$A$16:$A$141,"&gt;="&amp;MAX(AD$7,$J124),Calendar!$A$16:$A$141,"&lt;="&amp;MIN(AD$7+4,$K124))*$H124/$G124)))</x:f>
        <x:v>0</x:v>
      </x:c>
      <x:c r="AE124" s="45" t="n">
        <x:f>IF(OR($J124="",$K124=""),"",IF(SUMIFS(Calendar!$C$16:$C$141,Calendar!$A$16:$A$141,"&gt;="&amp;MAX(AE$7,$J124),Calendar!$A$16:$A$141,"&lt;="&amp;MIN(AE$7+4,$K124))=0,0,IF($H124="","EXT",SUMIFS(Calendar!$C$16:$C$141,Calendar!$A$16:$A$141,"&gt;="&amp;MAX(AE$7,$J124),Calendar!$A$16:$A$141,"&lt;="&amp;MIN(AE$7+4,$K124))*$H124/$G124)))</x:f>
        <x:v>0</x:v>
      </x:c>
      <x:c r="AF124" s="8" t="n">
        <x:f>IF(OR(M124&lt;&gt;"Scheduled",INDEX('Team and Gates'!$C$7:$C$13,MATCH($D124,'Team and Gates'!$A$7:$A$13,0))=""),"CHECK",SUM(N124:AE124)*INDEX('Team and Gates'!$C$7:$C$13,MATCH($D124,'Team and Gates'!$A$7:$A$13,0)))</x:f>
        <x:v>1080</x:v>
      </x:c>
      <x:c r="AG124" s="46" t="str">
        <x:v>Record versioned technical/business results, QA feedback, DS/developer fixes and affected-path retests. Business validation remains independent of DS tuning.</x:v>
      </x:c>
      <x:c r="AH124" s="46" t="str">
        <x:v>Two additional weeks of tuning, independent QA and stabilization recovered from shorter preparation/coding.</x:v>
      </x:c>
    </x:row>
    <x:row r="125" ht="45" customHeight="1">
      <x:c r="A125" s="39" t="str">
        <x:v>BA-FB11</x:v>
      </x:c>
      <x:c r="B125" s="39" t="str">
        <x:v>FSD / business</x:v>
      </x:c>
      <x:c r="C125" s="47" t="str">
        <x:v>Confirm UAT data, reviewers and AC coverage</x:v>
      </x:c>
      <x:c r="D125" s="20" t="str">
        <x:v>BA</x:v>
      </x:c>
      <x:c r="E125" s="47" t="str">
        <x:v>BA-FB10</x:v>
      </x:c>
      <x:c r="F125" s="50" t="n">
        <x:v>51</x:v>
      </x:c>
      <x:c r="G125" s="50" t="n">
        <x:v>5</x:v>
      </x:c>
      <x:c r="H125" s="51" t="n">
        <x:v>3</x:v>
      </x:c>
      <x:c r="I125" s="39" t="n">
        <x:f>IF(OR(F125="",G125=""),"",F125+G125-1)</x:f>
        <x:v>55</x:v>
      </x:c>
      <x:c r="J125" s="41" t="n">
        <x:f>IF(OR(F125="",F125&lt;1,F125&gt;Calendar!$B$9),"",INDEX(Calendar!$A$16:$A$141,MATCH(F125,Calendar!$D$16:$D$141,0)))</x:f>
        <x:v>46398</x:v>
      </x:c>
      <x:c r="K125" s="41" t="n">
        <x:f>IF(OR(I125="",I125&lt;1,I125&gt;Calendar!$B$9),"",INDEX(Calendar!$A$16:$A$141,MATCH(I125,Calendar!$D$16:$D$141,0)))</x:f>
        <x:v>46402</x:v>
      </x:c>
      <x:c r="L125" s="53" t="n">
        <x:v>0</x:v>
      </x:c>
      <x:c r="M125" s="39" t="str">
        <x:f>IF(OR(F125="",G125="",H125=""),"Missing input",IF(OR(F125&lt;1,G125&lt;1,I125&gt;Calendar!$B$9),"Outside calendar",IF(F125&lt;MAX(INDEX($I$8:$I$157,MATCH("BA-FB10",$A$8:$A$157,0))+1),"Dependency conflict","Scheduled")))</x:f>
        <x:v>Scheduled</x:v>
      </x:c>
      <x:c r="N125" s="45" t="n">
        <x:f>IF(OR($J125="",$K125=""),"",IF(SUMIFS(Calendar!$C$16:$C$141,Calendar!$A$16:$A$141,"&gt;="&amp;MAX(N$7,$J125),Calendar!$A$16:$A$141,"&lt;="&amp;MIN(N$7+4,$K125))=0,0,IF($H125="","EXT",SUMIFS(Calendar!$C$16:$C$141,Calendar!$A$16:$A$141,"&gt;="&amp;MAX(N$7,$J125),Calendar!$A$16:$A$141,"&lt;="&amp;MIN(N$7+4,$K125))*$H125/$G125)))</x:f>
        <x:v>0</x:v>
      </x:c>
      <x:c r="O125" s="45" t="n">
        <x:f>IF(OR($J125="",$K125=""),"",IF(SUMIFS(Calendar!$C$16:$C$141,Calendar!$A$16:$A$141,"&gt;="&amp;MAX(O$7,$J125),Calendar!$A$16:$A$141,"&lt;="&amp;MIN(O$7+4,$K125))=0,0,IF($H125="","EXT",SUMIFS(Calendar!$C$16:$C$141,Calendar!$A$16:$A$141,"&gt;="&amp;MAX(O$7,$J125),Calendar!$A$16:$A$141,"&lt;="&amp;MIN(O$7+4,$K125))*$H125/$G125)))</x:f>
        <x:v>0</x:v>
      </x:c>
      <x:c r="P125" s="45" t="n">
        <x:f>IF(OR($J125="",$K125=""),"",IF(SUMIFS(Calendar!$C$16:$C$141,Calendar!$A$16:$A$141,"&gt;="&amp;MAX(P$7,$J125),Calendar!$A$16:$A$141,"&lt;="&amp;MIN(P$7+4,$K125))=0,0,IF($H125="","EXT",SUMIFS(Calendar!$C$16:$C$141,Calendar!$A$16:$A$141,"&gt;="&amp;MAX(P$7,$J125),Calendar!$A$16:$A$141,"&lt;="&amp;MIN(P$7+4,$K125))*$H125/$G125)))</x:f>
        <x:v>0</x:v>
      </x:c>
      <x:c r="Q125" s="45" t="n">
        <x:f>IF(OR($J125="",$K125=""),"",IF(SUMIFS(Calendar!$C$16:$C$141,Calendar!$A$16:$A$141,"&gt;="&amp;MAX(Q$7,$J125),Calendar!$A$16:$A$141,"&lt;="&amp;MIN(Q$7+4,$K125))=0,0,IF($H125="","EXT",SUMIFS(Calendar!$C$16:$C$141,Calendar!$A$16:$A$141,"&gt;="&amp;MAX(Q$7,$J125),Calendar!$A$16:$A$141,"&lt;="&amp;MIN(Q$7+4,$K125))*$H125/$G125)))</x:f>
        <x:v>0</x:v>
      </x:c>
      <x:c r="R125" s="45" t="n">
        <x:f>IF(OR($J125="",$K125=""),"",IF(SUMIFS(Calendar!$C$16:$C$141,Calendar!$A$16:$A$141,"&gt;="&amp;MAX(R$7,$J125),Calendar!$A$16:$A$141,"&lt;="&amp;MIN(R$7+4,$K125))=0,0,IF($H125="","EXT",SUMIFS(Calendar!$C$16:$C$141,Calendar!$A$16:$A$141,"&gt;="&amp;MAX(R$7,$J125),Calendar!$A$16:$A$141,"&lt;="&amp;MIN(R$7+4,$K125))*$H125/$G125)))</x:f>
        <x:v>0</x:v>
      </x:c>
      <x:c r="S125" s="45" t="n">
        <x:f>IF(OR($J125="",$K125=""),"",IF(SUMIFS(Calendar!$C$16:$C$141,Calendar!$A$16:$A$141,"&gt;="&amp;MAX(S$7,$J125),Calendar!$A$16:$A$141,"&lt;="&amp;MIN(S$7+4,$K125))=0,0,IF($H125="","EXT",SUMIFS(Calendar!$C$16:$C$141,Calendar!$A$16:$A$141,"&gt;="&amp;MAX(S$7,$J125),Calendar!$A$16:$A$141,"&lt;="&amp;MIN(S$7+4,$K125))*$H125/$G125)))</x:f>
        <x:v>0</x:v>
      </x:c>
      <x:c r="T125" s="45" t="n">
        <x:f>IF(OR($J125="",$K125=""),"",IF(SUMIFS(Calendar!$C$16:$C$141,Calendar!$A$16:$A$141,"&gt;="&amp;MAX(T$7,$J125),Calendar!$A$16:$A$141,"&lt;="&amp;MIN(T$7+4,$K125))=0,0,IF($H125="","EXT",SUMIFS(Calendar!$C$16:$C$141,Calendar!$A$16:$A$141,"&gt;="&amp;MAX(T$7,$J125),Calendar!$A$16:$A$141,"&lt;="&amp;MIN(T$7+4,$K125))*$H125/$G125)))</x:f>
        <x:v>0</x:v>
      </x:c>
      <x:c r="U125" s="45" t="n">
        <x:f>IF(OR($J125="",$K125=""),"",IF(SUMIFS(Calendar!$C$16:$C$141,Calendar!$A$16:$A$141,"&gt;="&amp;MAX(U$7,$J125),Calendar!$A$16:$A$141,"&lt;="&amp;MIN(U$7+4,$K125))=0,0,IF($H125="","EXT",SUMIFS(Calendar!$C$16:$C$141,Calendar!$A$16:$A$141,"&gt;="&amp;MAX(U$7,$J125),Calendar!$A$16:$A$141,"&lt;="&amp;MIN(U$7+4,$K125))*$H125/$G125)))</x:f>
        <x:v>0</x:v>
      </x:c>
      <x:c r="V125" s="45" t="n">
        <x:f>IF(OR($J125="",$K125=""),"",IF(SUMIFS(Calendar!$C$16:$C$141,Calendar!$A$16:$A$141,"&gt;="&amp;MAX(V$7,$J125),Calendar!$A$16:$A$141,"&lt;="&amp;MIN(V$7+4,$K125))=0,0,IF($H125="","EXT",SUMIFS(Calendar!$C$16:$C$141,Calendar!$A$16:$A$141,"&gt;="&amp;MAX(V$7,$J125),Calendar!$A$16:$A$141,"&lt;="&amp;MIN(V$7+4,$K125))*$H125/$G125)))</x:f>
        <x:v>0</x:v>
      </x:c>
      <x:c r="W125" s="45" t="n">
        <x:f>IF(OR($J125="",$K125=""),"",IF(SUMIFS(Calendar!$C$16:$C$141,Calendar!$A$16:$A$141,"&gt;="&amp;MAX(W$7,$J125),Calendar!$A$16:$A$141,"&lt;="&amp;MIN(W$7+4,$K125))=0,0,IF($H125="","EXT",SUMIFS(Calendar!$C$16:$C$141,Calendar!$A$16:$A$141,"&gt;="&amp;MAX(W$7,$J125),Calendar!$A$16:$A$141,"&lt;="&amp;MIN(W$7+4,$K125))*$H125/$G125)))</x:f>
        <x:v>0</x:v>
      </x:c>
      <x:c r="X125" s="45" t="n">
        <x:f>IF(OR($J125="",$K125=""),"",IF(SUMIFS(Calendar!$C$16:$C$141,Calendar!$A$16:$A$141,"&gt;="&amp;MAX(X$7,$J125),Calendar!$A$16:$A$141,"&lt;="&amp;MIN(X$7+4,$K125))=0,0,IF($H125="","EXT",SUMIFS(Calendar!$C$16:$C$141,Calendar!$A$16:$A$141,"&gt;="&amp;MAX(X$7,$J125),Calendar!$A$16:$A$141,"&lt;="&amp;MIN(X$7+4,$K125))*$H125/$G125)))</x:f>
        <x:v>3</x:v>
      </x:c>
      <x:c r="Y125" s="45" t="n">
        <x:f>IF(OR($J125="",$K125=""),"",IF(SUMIFS(Calendar!$C$16:$C$141,Calendar!$A$16:$A$141,"&gt;="&amp;MAX(Y$7,$J125),Calendar!$A$16:$A$141,"&lt;="&amp;MIN(Y$7+4,$K125))=0,0,IF($H125="","EXT",SUMIFS(Calendar!$C$16:$C$141,Calendar!$A$16:$A$141,"&gt;="&amp;MAX(Y$7,$J125),Calendar!$A$16:$A$141,"&lt;="&amp;MIN(Y$7+4,$K125))*$H125/$G125)))</x:f>
        <x:v>0</x:v>
      </x:c>
      <x:c r="Z125" s="45" t="n">
        <x:f>IF(OR($J125="",$K125=""),"",IF(SUMIFS(Calendar!$C$16:$C$141,Calendar!$A$16:$A$141,"&gt;="&amp;MAX(Z$7,$J125),Calendar!$A$16:$A$141,"&lt;="&amp;MIN(Z$7+4,$K125))=0,0,IF($H125="","EXT",SUMIFS(Calendar!$C$16:$C$141,Calendar!$A$16:$A$141,"&gt;="&amp;MAX(Z$7,$J125),Calendar!$A$16:$A$141,"&lt;="&amp;MIN(Z$7+4,$K125))*$H125/$G125)))</x:f>
        <x:v>0</x:v>
      </x:c>
      <x:c r="AA125" s="45" t="n">
        <x:f>IF(OR($J125="",$K125=""),"",IF(SUMIFS(Calendar!$C$16:$C$141,Calendar!$A$16:$A$141,"&gt;="&amp;MAX(AA$7,$J125),Calendar!$A$16:$A$141,"&lt;="&amp;MIN(AA$7+4,$K125))=0,0,IF($H125="","EXT",SUMIFS(Calendar!$C$16:$C$141,Calendar!$A$16:$A$141,"&gt;="&amp;MAX(AA$7,$J125),Calendar!$A$16:$A$141,"&lt;="&amp;MIN(AA$7+4,$K125))*$H125/$G125)))</x:f>
        <x:v>0</x:v>
      </x:c>
      <x:c r="AB125" s="45" t="n">
        <x:f>IF(OR($J125="",$K125=""),"",IF(SUMIFS(Calendar!$C$16:$C$141,Calendar!$A$16:$A$141,"&gt;="&amp;MAX(AB$7,$J125),Calendar!$A$16:$A$141,"&lt;="&amp;MIN(AB$7+4,$K125))=0,0,IF($H125="","EXT",SUMIFS(Calendar!$C$16:$C$141,Calendar!$A$16:$A$141,"&gt;="&amp;MAX(AB$7,$J125),Calendar!$A$16:$A$141,"&lt;="&amp;MIN(AB$7+4,$K125))*$H125/$G125)))</x:f>
        <x:v>0</x:v>
      </x:c>
      <x:c r="AC125" s="45" t="n">
        <x:f>IF(OR($J125="",$K125=""),"",IF(SUMIFS(Calendar!$C$16:$C$141,Calendar!$A$16:$A$141,"&gt;="&amp;MAX(AC$7,$J125),Calendar!$A$16:$A$141,"&lt;="&amp;MIN(AC$7+4,$K125))=0,0,IF($H125="","EXT",SUMIFS(Calendar!$C$16:$C$141,Calendar!$A$16:$A$141,"&gt;="&amp;MAX(AC$7,$J125),Calendar!$A$16:$A$141,"&lt;="&amp;MIN(AC$7+4,$K125))*$H125/$G125)))</x:f>
        <x:v>0</x:v>
      </x:c>
      <x:c r="AD125" s="45" t="n">
        <x:f>IF(OR($J125="",$K125=""),"",IF(SUMIFS(Calendar!$C$16:$C$141,Calendar!$A$16:$A$141,"&gt;="&amp;MAX(AD$7,$J125),Calendar!$A$16:$A$141,"&lt;="&amp;MIN(AD$7+4,$K125))=0,0,IF($H125="","EXT",SUMIFS(Calendar!$C$16:$C$141,Calendar!$A$16:$A$141,"&gt;="&amp;MAX(AD$7,$J125),Calendar!$A$16:$A$141,"&lt;="&amp;MIN(AD$7+4,$K125))*$H125/$G125)))</x:f>
        <x:v>0</x:v>
      </x:c>
      <x:c r="AE125" s="45" t="n">
        <x:f>IF(OR($J125="",$K125=""),"",IF(SUMIFS(Calendar!$C$16:$C$141,Calendar!$A$16:$A$141,"&gt;="&amp;MAX(AE$7,$J125),Calendar!$A$16:$A$141,"&lt;="&amp;MIN(AE$7+4,$K125))=0,0,IF($H125="","EXT",SUMIFS(Calendar!$C$16:$C$141,Calendar!$A$16:$A$141,"&gt;="&amp;MAX(AE$7,$J125),Calendar!$A$16:$A$141,"&lt;="&amp;MIN(AE$7+4,$K125))*$H125/$G125)))</x:f>
        <x:v>0</x:v>
      </x:c>
      <x:c r="AF125" s="8" t="n">
        <x:f>IF(OR(M125&lt;&gt;"Scheduled",INDEX('Team and Gates'!$C$7:$C$13,MATCH($D125,'Team and Gates'!$A$7:$A$13,0))=""),"CHECK",SUM(N125:AE125)*INDEX('Team and Gates'!$C$7:$C$13,MATCH($D125,'Team and Gates'!$A$7:$A$13,0)))</x:f>
        <x:v>1080</x:v>
      </x:c>
      <x:c r="AG125" s="46" t="str">
        <x:v>Record versioned technical/business results, QA feedback, DS/developer fixes and affected-path retests. Business validation remains independent of DS tuning.</x:v>
      </x:c>
      <x:c r="AH125" s="46" t="str">
        <x:v>Two additional weeks of tuning, independent QA and stabilization recovered from shorter preparation/coding.</x:v>
      </x:c>
    </x:row>
    <x:row r="126" ht="45" customHeight="1">
      <x:c r="A126" s="2" t="str">
        <x:v>BA12</x:v>
      </x:c>
      <x:c r="B126" s="2" t="str">
        <x:v>FSD / business</x:v>
      </x:c>
      <x:c r="C126" s="46" t="str">
        <x:v>Close SIT business gaps; prepare UAT scripts, users and data</x:v>
      </x:c>
      <x:c r="D126" s="20" t="str">
        <x:v>BA</x:v>
      </x:c>
      <x:c r="E126" s="46" t="str">
        <x:v>BA11, Q11, U11, S11, A11, B11, F11, BA-FB11</x:v>
      </x:c>
      <x:c r="F126" s="50" t="n">
        <x:v>56</x:v>
      </x:c>
      <x:c r="G126" s="50" t="n">
        <x:v>5</x:v>
      </x:c>
      <x:c r="H126" s="51" t="n">
        <x:v>4</x:v>
      </x:c>
      <x:c r="I126" s="2" t="n">
        <x:f>IF(OR(F126="",G126=""),"",F126+G126-1)</x:f>
        <x:v>60</x:v>
      </x:c>
      <x:c r="J126" s="5" t="n">
        <x:f>IF(OR(F126="",F126&lt;1,F126&gt;Calendar!$B$9),"",INDEX(Calendar!$A$16:$A$141,MATCH(F126,Calendar!$D$16:$D$141,0)))</x:f>
        <x:v>46405</x:v>
      </x:c>
      <x:c r="K126" s="5" t="n">
        <x:f>IF(OR(I126="",I126&lt;1,I126&gt;Calendar!$B$9),"",INDEX(Calendar!$A$16:$A$141,MATCH(I126,Calendar!$D$16:$D$141,0)))</x:f>
        <x:v>46409</x:v>
      </x:c>
      <x:c r="L126" s="53" t="n">
        <x:v>0</x:v>
      </x:c>
      <x:c r="M126" s="2" t="str">
        <x:f>IF(OR(F126="",G126="",H126=""),"Missing input",IF(OR(F126&lt;1,G126&lt;1,I126&gt;Calendar!$B$9),"Outside calendar",IF(F126&lt;MAX(INDEX($I$8:$I$157,MATCH("BA11",$A$8:$A$157,0))+1,INDEX($I$8:$I$157,MATCH("Q11",$A$8:$A$157,0))+1,INDEX($I$8:$I$157,MATCH("U11",$A$8:$A$157,0))+1,INDEX($I$8:$I$157,MATCH("S11",$A$8:$A$157,0))+1,INDEX($I$8:$I$157,MATCH("A11",$A$8:$A$157,0))+1,INDEX($I$8:$I$157,MATCH("B11",$A$8:$A$157,0))+1,INDEX($I$8:$I$157,MATCH("F11",$A$8:$A$157,0))+1,INDEX($I$8:$I$157,MATCH("BA-FB11",$A$8:$A$157,0))+1),"Dependency conflict","Scheduled")))</x:f>
        <x:v>Scheduled</x:v>
      </x:c>
      <x:c r="N126" s="45" t="n">
        <x:f>IF(OR($J126="",$K126=""),"",IF(SUMIFS(Calendar!$C$16:$C$141,Calendar!$A$16:$A$141,"&gt;="&amp;MAX(N$7,$J126),Calendar!$A$16:$A$141,"&lt;="&amp;MIN(N$7+4,$K126))=0,0,IF($H126="","EXT",SUMIFS(Calendar!$C$16:$C$141,Calendar!$A$16:$A$141,"&gt;="&amp;MAX(N$7,$J126),Calendar!$A$16:$A$141,"&lt;="&amp;MIN(N$7+4,$K126))*$H126/$G126)))</x:f>
        <x:v>0</x:v>
      </x:c>
      <x:c r="O126" s="45" t="n">
        <x:f>IF(OR($J126="",$K126=""),"",IF(SUMIFS(Calendar!$C$16:$C$141,Calendar!$A$16:$A$141,"&gt;="&amp;MAX(O$7,$J126),Calendar!$A$16:$A$141,"&lt;="&amp;MIN(O$7+4,$K126))=0,0,IF($H126="","EXT",SUMIFS(Calendar!$C$16:$C$141,Calendar!$A$16:$A$141,"&gt;="&amp;MAX(O$7,$J126),Calendar!$A$16:$A$141,"&lt;="&amp;MIN(O$7+4,$K126))*$H126/$G126)))</x:f>
        <x:v>0</x:v>
      </x:c>
      <x:c r="P126" s="45" t="n">
        <x:f>IF(OR($J126="",$K126=""),"",IF(SUMIFS(Calendar!$C$16:$C$141,Calendar!$A$16:$A$141,"&gt;="&amp;MAX(P$7,$J126),Calendar!$A$16:$A$141,"&lt;="&amp;MIN(P$7+4,$K126))=0,0,IF($H126="","EXT",SUMIFS(Calendar!$C$16:$C$141,Calendar!$A$16:$A$141,"&gt;="&amp;MAX(P$7,$J126),Calendar!$A$16:$A$141,"&lt;="&amp;MIN(P$7+4,$K126))*$H126/$G126)))</x:f>
        <x:v>0</x:v>
      </x:c>
      <x:c r="Q126" s="45" t="n">
        <x:f>IF(OR($J126="",$K126=""),"",IF(SUMIFS(Calendar!$C$16:$C$141,Calendar!$A$16:$A$141,"&gt;="&amp;MAX(Q$7,$J126),Calendar!$A$16:$A$141,"&lt;="&amp;MIN(Q$7+4,$K126))=0,0,IF($H126="","EXT",SUMIFS(Calendar!$C$16:$C$141,Calendar!$A$16:$A$141,"&gt;="&amp;MAX(Q$7,$J126),Calendar!$A$16:$A$141,"&lt;="&amp;MIN(Q$7+4,$K126))*$H126/$G126)))</x:f>
        <x:v>0</x:v>
      </x:c>
      <x:c r="R126" s="45" t="n">
        <x:f>IF(OR($J126="",$K126=""),"",IF(SUMIFS(Calendar!$C$16:$C$141,Calendar!$A$16:$A$141,"&gt;="&amp;MAX(R$7,$J126),Calendar!$A$16:$A$141,"&lt;="&amp;MIN(R$7+4,$K126))=0,0,IF($H126="","EXT",SUMIFS(Calendar!$C$16:$C$141,Calendar!$A$16:$A$141,"&gt;="&amp;MAX(R$7,$J126),Calendar!$A$16:$A$141,"&lt;="&amp;MIN(R$7+4,$K126))*$H126/$G126)))</x:f>
        <x:v>0</x:v>
      </x:c>
      <x:c r="S126" s="45" t="n">
        <x:f>IF(OR($J126="",$K126=""),"",IF(SUMIFS(Calendar!$C$16:$C$141,Calendar!$A$16:$A$141,"&gt;="&amp;MAX(S$7,$J126),Calendar!$A$16:$A$141,"&lt;="&amp;MIN(S$7+4,$K126))=0,0,IF($H126="","EXT",SUMIFS(Calendar!$C$16:$C$141,Calendar!$A$16:$A$141,"&gt;="&amp;MAX(S$7,$J126),Calendar!$A$16:$A$141,"&lt;="&amp;MIN(S$7+4,$K126))*$H126/$G126)))</x:f>
        <x:v>0</x:v>
      </x:c>
      <x:c r="T126" s="45" t="n">
        <x:f>IF(OR($J126="",$K126=""),"",IF(SUMIFS(Calendar!$C$16:$C$141,Calendar!$A$16:$A$141,"&gt;="&amp;MAX(T$7,$J126),Calendar!$A$16:$A$141,"&lt;="&amp;MIN(T$7+4,$K126))=0,0,IF($H126="","EXT",SUMIFS(Calendar!$C$16:$C$141,Calendar!$A$16:$A$141,"&gt;="&amp;MAX(T$7,$J126),Calendar!$A$16:$A$141,"&lt;="&amp;MIN(T$7+4,$K126))*$H126/$G126)))</x:f>
        <x:v>0</x:v>
      </x:c>
      <x:c r="U126" s="45" t="n">
        <x:f>IF(OR($J126="",$K126=""),"",IF(SUMIFS(Calendar!$C$16:$C$141,Calendar!$A$16:$A$141,"&gt;="&amp;MAX(U$7,$J126),Calendar!$A$16:$A$141,"&lt;="&amp;MIN(U$7+4,$K126))=0,0,IF($H126="","EXT",SUMIFS(Calendar!$C$16:$C$141,Calendar!$A$16:$A$141,"&gt;="&amp;MAX(U$7,$J126),Calendar!$A$16:$A$141,"&lt;="&amp;MIN(U$7+4,$K126))*$H126/$G126)))</x:f>
        <x:v>0</x:v>
      </x:c>
      <x:c r="V126" s="45" t="n">
        <x:f>IF(OR($J126="",$K126=""),"",IF(SUMIFS(Calendar!$C$16:$C$141,Calendar!$A$16:$A$141,"&gt;="&amp;MAX(V$7,$J126),Calendar!$A$16:$A$141,"&lt;="&amp;MIN(V$7+4,$K126))=0,0,IF($H126="","EXT",SUMIFS(Calendar!$C$16:$C$141,Calendar!$A$16:$A$141,"&gt;="&amp;MAX(V$7,$J126),Calendar!$A$16:$A$141,"&lt;="&amp;MIN(V$7+4,$K126))*$H126/$G126)))</x:f>
        <x:v>0</x:v>
      </x:c>
      <x:c r="W126" s="45" t="n">
        <x:f>IF(OR($J126="",$K126=""),"",IF(SUMIFS(Calendar!$C$16:$C$141,Calendar!$A$16:$A$141,"&gt;="&amp;MAX(W$7,$J126),Calendar!$A$16:$A$141,"&lt;="&amp;MIN(W$7+4,$K126))=0,0,IF($H126="","EXT",SUMIFS(Calendar!$C$16:$C$141,Calendar!$A$16:$A$141,"&gt;="&amp;MAX(W$7,$J126),Calendar!$A$16:$A$141,"&lt;="&amp;MIN(W$7+4,$K126))*$H126/$G126)))</x:f>
        <x:v>0</x:v>
      </x:c>
      <x:c r="X126" s="45" t="n">
        <x:f>IF(OR($J126="",$K126=""),"",IF(SUMIFS(Calendar!$C$16:$C$141,Calendar!$A$16:$A$141,"&gt;="&amp;MAX(X$7,$J126),Calendar!$A$16:$A$141,"&lt;="&amp;MIN(X$7+4,$K126))=0,0,IF($H126="","EXT",SUMIFS(Calendar!$C$16:$C$141,Calendar!$A$16:$A$141,"&gt;="&amp;MAX(X$7,$J126),Calendar!$A$16:$A$141,"&lt;="&amp;MIN(X$7+4,$K126))*$H126/$G126)))</x:f>
        <x:v>0</x:v>
      </x:c>
      <x:c r="Y126" s="45" t="n">
        <x:f>IF(OR($J126="",$K126=""),"",IF(SUMIFS(Calendar!$C$16:$C$141,Calendar!$A$16:$A$141,"&gt;="&amp;MAX(Y$7,$J126),Calendar!$A$16:$A$141,"&lt;="&amp;MIN(Y$7+4,$K126))=0,0,IF($H126="","EXT",SUMIFS(Calendar!$C$16:$C$141,Calendar!$A$16:$A$141,"&gt;="&amp;MAX(Y$7,$J126),Calendar!$A$16:$A$141,"&lt;="&amp;MIN(Y$7+4,$K126))*$H126/$G126)))</x:f>
        <x:v>4</x:v>
      </x:c>
      <x:c r="Z126" s="45" t="n">
        <x:f>IF(OR($J126="",$K126=""),"",IF(SUMIFS(Calendar!$C$16:$C$141,Calendar!$A$16:$A$141,"&gt;="&amp;MAX(Z$7,$J126),Calendar!$A$16:$A$141,"&lt;="&amp;MIN(Z$7+4,$K126))=0,0,IF($H126="","EXT",SUMIFS(Calendar!$C$16:$C$141,Calendar!$A$16:$A$141,"&gt;="&amp;MAX(Z$7,$J126),Calendar!$A$16:$A$141,"&lt;="&amp;MIN(Z$7+4,$K126))*$H126/$G126)))</x:f>
        <x:v>0</x:v>
      </x:c>
      <x:c r="AA126" s="45" t="n">
        <x:f>IF(OR($J126="",$K126=""),"",IF(SUMIFS(Calendar!$C$16:$C$141,Calendar!$A$16:$A$141,"&gt;="&amp;MAX(AA$7,$J126),Calendar!$A$16:$A$141,"&lt;="&amp;MIN(AA$7+4,$K126))=0,0,IF($H126="","EXT",SUMIFS(Calendar!$C$16:$C$141,Calendar!$A$16:$A$141,"&gt;="&amp;MAX(AA$7,$J126),Calendar!$A$16:$A$141,"&lt;="&amp;MIN(AA$7+4,$K126))*$H126/$G126)))</x:f>
        <x:v>0</x:v>
      </x:c>
      <x:c r="AB126" s="45" t="n">
        <x:f>IF(OR($J126="",$K126=""),"",IF(SUMIFS(Calendar!$C$16:$C$141,Calendar!$A$16:$A$141,"&gt;="&amp;MAX(AB$7,$J126),Calendar!$A$16:$A$141,"&lt;="&amp;MIN(AB$7+4,$K126))=0,0,IF($H126="","EXT",SUMIFS(Calendar!$C$16:$C$141,Calendar!$A$16:$A$141,"&gt;="&amp;MAX(AB$7,$J126),Calendar!$A$16:$A$141,"&lt;="&amp;MIN(AB$7+4,$K126))*$H126/$G126)))</x:f>
        <x:v>0</x:v>
      </x:c>
      <x:c r="AC126" s="45" t="n">
        <x:f>IF(OR($J126="",$K126=""),"",IF(SUMIFS(Calendar!$C$16:$C$141,Calendar!$A$16:$A$141,"&gt;="&amp;MAX(AC$7,$J126),Calendar!$A$16:$A$141,"&lt;="&amp;MIN(AC$7+4,$K126))=0,0,IF($H126="","EXT",SUMIFS(Calendar!$C$16:$C$141,Calendar!$A$16:$A$141,"&gt;="&amp;MAX(AC$7,$J126),Calendar!$A$16:$A$141,"&lt;="&amp;MIN(AC$7+4,$K126))*$H126/$G126)))</x:f>
        <x:v>0</x:v>
      </x:c>
      <x:c r="AD126" s="45" t="n">
        <x:f>IF(OR($J126="",$K126=""),"",IF(SUMIFS(Calendar!$C$16:$C$141,Calendar!$A$16:$A$141,"&gt;="&amp;MAX(AD$7,$J126),Calendar!$A$16:$A$141,"&lt;="&amp;MIN(AD$7+4,$K126))=0,0,IF($H126="","EXT",SUMIFS(Calendar!$C$16:$C$141,Calendar!$A$16:$A$141,"&gt;="&amp;MAX(AD$7,$J126),Calendar!$A$16:$A$141,"&lt;="&amp;MIN(AD$7+4,$K126))*$H126/$G126)))</x:f>
        <x:v>0</x:v>
      </x:c>
      <x:c r="AE126" s="45" t="n">
        <x:f>IF(OR($J126="",$K126=""),"",IF(SUMIFS(Calendar!$C$16:$C$141,Calendar!$A$16:$A$141,"&gt;="&amp;MAX(AE$7,$J126),Calendar!$A$16:$A$141,"&lt;="&amp;MIN(AE$7+4,$K126))=0,0,IF($H126="","EXT",SUMIFS(Calendar!$C$16:$C$141,Calendar!$A$16:$A$141,"&gt;="&amp;MAX(AE$7,$J126),Calendar!$A$16:$A$141,"&lt;="&amp;MIN(AE$7+4,$K126))*$H126/$G126)))</x:f>
        <x:v>0</x:v>
      </x:c>
      <x:c r="AF126" s="8" t="n">
        <x:f>IF(OR(M126&lt;&gt;"Scheduled",INDEX('Team and Gates'!$C$7:$C$13,MATCH($D126,'Team and Gates'!$A$7:$A$13,0))=""),"CHECK",SUM(N126:AE126)*INDEX('Team and Gates'!$C$7:$C$13,MATCH($D126,'Team and Gates'!$A$7:$A$13,0)))</x:f>
        <x:v>1440</x:v>
      </x:c>
      <x:c r="AG126" s="46" t="str">
        <x:v>SIT evidence, defect retests and UAT-readiness artifacts are recorded; formal AM UAT is after the holiday.</x:v>
      </x:c>
      <x:c r="AH126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127" ht="45" customHeight="1">
      <x:c r="A127" s="39" t="str">
        <x:v>BA13</x:v>
      </x:c>
      <x:c r="B127" s="39" t="str">
        <x:v>FSD / business</x:v>
      </x:c>
      <x:c r="C127" s="47" t="str">
        <x:v>Coordinate SIT SIGNOFF and UAT entry/readiness review</x:v>
      </x:c>
      <x:c r="D127" s="20" t="str">
        <x:v>BA</x:v>
      </x:c>
      <x:c r="E127" s="47" t="str">
        <x:v>BA12</x:v>
      </x:c>
      <x:c r="F127" s="50" t="n">
        <x:v>61</x:v>
      </x:c>
      <x:c r="G127" s="50" t="n">
        <x:v>5</x:v>
      </x:c>
      <x:c r="H127" s="51" t="n">
        <x:v>4</x:v>
      </x:c>
      <x:c r="I127" s="39" t="n">
        <x:f>IF(OR(F127="",G127=""),"",F127+G127-1)</x:f>
        <x:v>65</x:v>
      </x:c>
      <x:c r="J127" s="41" t="n">
        <x:f>IF(OR(F127="",F127&lt;1,F127&gt;Calendar!$B$9),"",INDEX(Calendar!$A$16:$A$141,MATCH(F127,Calendar!$D$16:$D$141,0)))</x:f>
        <x:v>46412</x:v>
      </x:c>
      <x:c r="K127" s="41" t="n">
        <x:f>IF(OR(I127="",I127&lt;1,I127&gt;Calendar!$B$9),"",INDEX(Calendar!$A$16:$A$141,MATCH(I127,Calendar!$D$16:$D$141,0)))</x:f>
        <x:v>46416</x:v>
      </x:c>
      <x:c r="L127" s="53" t="n">
        <x:v>0</x:v>
      </x:c>
      <x:c r="M127" s="39" t="str">
        <x:f>IF(OR(F127="",G127="",H127=""),"Missing input",IF(OR(F127&lt;1,G127&lt;1,I127&gt;Calendar!$B$9),"Outside calendar",IF(F127&lt;MAX(INDEX($I$8:$I$157,MATCH("BA12",$A$8:$A$157,0))+1),"Dependency conflict","Scheduled")))</x:f>
        <x:v>Scheduled</x:v>
      </x:c>
      <x:c r="N127" s="45" t="n">
        <x:f>IF(OR($J127="",$K127=""),"",IF(SUMIFS(Calendar!$C$16:$C$141,Calendar!$A$16:$A$141,"&gt;="&amp;MAX(N$7,$J127),Calendar!$A$16:$A$141,"&lt;="&amp;MIN(N$7+4,$K127))=0,0,IF($H127="","EXT",SUMIFS(Calendar!$C$16:$C$141,Calendar!$A$16:$A$141,"&gt;="&amp;MAX(N$7,$J127),Calendar!$A$16:$A$141,"&lt;="&amp;MIN(N$7+4,$K127))*$H127/$G127)))</x:f>
        <x:v>0</x:v>
      </x:c>
      <x:c r="O127" s="45" t="n">
        <x:f>IF(OR($J127="",$K127=""),"",IF(SUMIFS(Calendar!$C$16:$C$141,Calendar!$A$16:$A$141,"&gt;="&amp;MAX(O$7,$J127),Calendar!$A$16:$A$141,"&lt;="&amp;MIN(O$7+4,$K127))=0,0,IF($H127="","EXT",SUMIFS(Calendar!$C$16:$C$141,Calendar!$A$16:$A$141,"&gt;="&amp;MAX(O$7,$J127),Calendar!$A$16:$A$141,"&lt;="&amp;MIN(O$7+4,$K127))*$H127/$G127)))</x:f>
        <x:v>0</x:v>
      </x:c>
      <x:c r="P127" s="45" t="n">
        <x:f>IF(OR($J127="",$K127=""),"",IF(SUMIFS(Calendar!$C$16:$C$141,Calendar!$A$16:$A$141,"&gt;="&amp;MAX(P$7,$J127),Calendar!$A$16:$A$141,"&lt;="&amp;MIN(P$7+4,$K127))=0,0,IF($H127="","EXT",SUMIFS(Calendar!$C$16:$C$141,Calendar!$A$16:$A$141,"&gt;="&amp;MAX(P$7,$J127),Calendar!$A$16:$A$141,"&lt;="&amp;MIN(P$7+4,$K127))*$H127/$G127)))</x:f>
        <x:v>0</x:v>
      </x:c>
      <x:c r="Q127" s="45" t="n">
        <x:f>IF(OR($J127="",$K127=""),"",IF(SUMIFS(Calendar!$C$16:$C$141,Calendar!$A$16:$A$141,"&gt;="&amp;MAX(Q$7,$J127),Calendar!$A$16:$A$141,"&lt;="&amp;MIN(Q$7+4,$K127))=0,0,IF($H127="","EXT",SUMIFS(Calendar!$C$16:$C$141,Calendar!$A$16:$A$141,"&gt;="&amp;MAX(Q$7,$J127),Calendar!$A$16:$A$141,"&lt;="&amp;MIN(Q$7+4,$K127))*$H127/$G127)))</x:f>
        <x:v>0</x:v>
      </x:c>
      <x:c r="R127" s="45" t="n">
        <x:f>IF(OR($J127="",$K127=""),"",IF(SUMIFS(Calendar!$C$16:$C$141,Calendar!$A$16:$A$141,"&gt;="&amp;MAX(R$7,$J127),Calendar!$A$16:$A$141,"&lt;="&amp;MIN(R$7+4,$K127))=0,0,IF($H127="","EXT",SUMIFS(Calendar!$C$16:$C$141,Calendar!$A$16:$A$141,"&gt;="&amp;MAX(R$7,$J127),Calendar!$A$16:$A$141,"&lt;="&amp;MIN(R$7+4,$K127))*$H127/$G127)))</x:f>
        <x:v>0</x:v>
      </x:c>
      <x:c r="S127" s="45" t="n">
        <x:f>IF(OR($J127="",$K127=""),"",IF(SUMIFS(Calendar!$C$16:$C$141,Calendar!$A$16:$A$141,"&gt;="&amp;MAX(S$7,$J127),Calendar!$A$16:$A$141,"&lt;="&amp;MIN(S$7+4,$K127))=0,0,IF($H127="","EXT",SUMIFS(Calendar!$C$16:$C$141,Calendar!$A$16:$A$141,"&gt;="&amp;MAX(S$7,$J127),Calendar!$A$16:$A$141,"&lt;="&amp;MIN(S$7+4,$K127))*$H127/$G127)))</x:f>
        <x:v>0</x:v>
      </x:c>
      <x:c r="T127" s="45" t="n">
        <x:f>IF(OR($J127="",$K127=""),"",IF(SUMIFS(Calendar!$C$16:$C$141,Calendar!$A$16:$A$141,"&gt;="&amp;MAX(T$7,$J127),Calendar!$A$16:$A$141,"&lt;="&amp;MIN(T$7+4,$K127))=0,0,IF($H127="","EXT",SUMIFS(Calendar!$C$16:$C$141,Calendar!$A$16:$A$141,"&gt;="&amp;MAX(T$7,$J127),Calendar!$A$16:$A$141,"&lt;="&amp;MIN(T$7+4,$K127))*$H127/$G127)))</x:f>
        <x:v>0</x:v>
      </x:c>
      <x:c r="U127" s="45" t="n">
        <x:f>IF(OR($J127="",$K127=""),"",IF(SUMIFS(Calendar!$C$16:$C$141,Calendar!$A$16:$A$141,"&gt;="&amp;MAX(U$7,$J127),Calendar!$A$16:$A$141,"&lt;="&amp;MIN(U$7+4,$K127))=0,0,IF($H127="","EXT",SUMIFS(Calendar!$C$16:$C$141,Calendar!$A$16:$A$141,"&gt;="&amp;MAX(U$7,$J127),Calendar!$A$16:$A$141,"&lt;="&amp;MIN(U$7+4,$K127))*$H127/$G127)))</x:f>
        <x:v>0</x:v>
      </x:c>
      <x:c r="V127" s="45" t="n">
        <x:f>IF(OR($J127="",$K127=""),"",IF(SUMIFS(Calendar!$C$16:$C$141,Calendar!$A$16:$A$141,"&gt;="&amp;MAX(V$7,$J127),Calendar!$A$16:$A$141,"&lt;="&amp;MIN(V$7+4,$K127))=0,0,IF($H127="","EXT",SUMIFS(Calendar!$C$16:$C$141,Calendar!$A$16:$A$141,"&gt;="&amp;MAX(V$7,$J127),Calendar!$A$16:$A$141,"&lt;="&amp;MIN(V$7+4,$K127))*$H127/$G127)))</x:f>
        <x:v>0</x:v>
      </x:c>
      <x:c r="W127" s="45" t="n">
        <x:f>IF(OR($J127="",$K127=""),"",IF(SUMIFS(Calendar!$C$16:$C$141,Calendar!$A$16:$A$141,"&gt;="&amp;MAX(W$7,$J127),Calendar!$A$16:$A$141,"&lt;="&amp;MIN(W$7+4,$K127))=0,0,IF($H127="","EXT",SUMIFS(Calendar!$C$16:$C$141,Calendar!$A$16:$A$141,"&gt;="&amp;MAX(W$7,$J127),Calendar!$A$16:$A$141,"&lt;="&amp;MIN(W$7+4,$K127))*$H127/$G127)))</x:f>
        <x:v>0</x:v>
      </x:c>
      <x:c r="X127" s="45" t="n">
        <x:f>IF(OR($J127="",$K127=""),"",IF(SUMIFS(Calendar!$C$16:$C$141,Calendar!$A$16:$A$141,"&gt;="&amp;MAX(X$7,$J127),Calendar!$A$16:$A$141,"&lt;="&amp;MIN(X$7+4,$K127))=0,0,IF($H127="","EXT",SUMIFS(Calendar!$C$16:$C$141,Calendar!$A$16:$A$141,"&gt;="&amp;MAX(X$7,$J127),Calendar!$A$16:$A$141,"&lt;="&amp;MIN(X$7+4,$K127))*$H127/$G127)))</x:f>
        <x:v>0</x:v>
      </x:c>
      <x:c r="Y127" s="45" t="n">
        <x:f>IF(OR($J127="",$K127=""),"",IF(SUMIFS(Calendar!$C$16:$C$141,Calendar!$A$16:$A$141,"&gt;="&amp;MAX(Y$7,$J127),Calendar!$A$16:$A$141,"&lt;="&amp;MIN(Y$7+4,$K127))=0,0,IF($H127="","EXT",SUMIFS(Calendar!$C$16:$C$141,Calendar!$A$16:$A$141,"&gt;="&amp;MAX(Y$7,$J127),Calendar!$A$16:$A$141,"&lt;="&amp;MIN(Y$7+4,$K127))*$H127/$G127)))</x:f>
        <x:v>0</x:v>
      </x:c>
      <x:c r="Z127" s="45" t="n">
        <x:f>IF(OR($J127="",$K127=""),"",IF(SUMIFS(Calendar!$C$16:$C$141,Calendar!$A$16:$A$141,"&gt;="&amp;MAX(Z$7,$J127),Calendar!$A$16:$A$141,"&lt;="&amp;MIN(Z$7+4,$K127))=0,0,IF($H127="","EXT",SUMIFS(Calendar!$C$16:$C$141,Calendar!$A$16:$A$141,"&gt;="&amp;MAX(Z$7,$J127),Calendar!$A$16:$A$141,"&lt;="&amp;MIN(Z$7+4,$K127))*$H127/$G127)))</x:f>
        <x:v>4</x:v>
      </x:c>
      <x:c r="AA127" s="45" t="n">
        <x:f>IF(OR($J127="",$K127=""),"",IF(SUMIFS(Calendar!$C$16:$C$141,Calendar!$A$16:$A$141,"&gt;="&amp;MAX(AA$7,$J127),Calendar!$A$16:$A$141,"&lt;="&amp;MIN(AA$7+4,$K127))=0,0,IF($H127="","EXT",SUMIFS(Calendar!$C$16:$C$141,Calendar!$A$16:$A$141,"&gt;="&amp;MAX(AA$7,$J127),Calendar!$A$16:$A$141,"&lt;="&amp;MIN(AA$7+4,$K127))*$H127/$G127)))</x:f>
        <x:v>0</x:v>
      </x:c>
      <x:c r="AB127" s="45" t="n">
        <x:f>IF(OR($J127="",$K127=""),"",IF(SUMIFS(Calendar!$C$16:$C$141,Calendar!$A$16:$A$141,"&gt;="&amp;MAX(AB$7,$J127),Calendar!$A$16:$A$141,"&lt;="&amp;MIN(AB$7+4,$K127))=0,0,IF($H127="","EXT",SUMIFS(Calendar!$C$16:$C$141,Calendar!$A$16:$A$141,"&gt;="&amp;MAX(AB$7,$J127),Calendar!$A$16:$A$141,"&lt;="&amp;MIN(AB$7+4,$K127))*$H127/$G127)))</x:f>
        <x:v>0</x:v>
      </x:c>
      <x:c r="AC127" s="45" t="n">
        <x:f>IF(OR($J127="",$K127=""),"",IF(SUMIFS(Calendar!$C$16:$C$141,Calendar!$A$16:$A$141,"&gt;="&amp;MAX(AC$7,$J127),Calendar!$A$16:$A$141,"&lt;="&amp;MIN(AC$7+4,$K127))=0,0,IF($H127="","EXT",SUMIFS(Calendar!$C$16:$C$141,Calendar!$A$16:$A$141,"&gt;="&amp;MAX(AC$7,$J127),Calendar!$A$16:$A$141,"&lt;="&amp;MIN(AC$7+4,$K127))*$H127/$G127)))</x:f>
        <x:v>0</x:v>
      </x:c>
      <x:c r="AD127" s="45" t="n">
        <x:f>IF(OR($J127="",$K127=""),"",IF(SUMIFS(Calendar!$C$16:$C$141,Calendar!$A$16:$A$141,"&gt;="&amp;MAX(AD$7,$J127),Calendar!$A$16:$A$141,"&lt;="&amp;MIN(AD$7+4,$K127))=0,0,IF($H127="","EXT",SUMIFS(Calendar!$C$16:$C$141,Calendar!$A$16:$A$141,"&gt;="&amp;MAX(AD$7,$J127),Calendar!$A$16:$A$141,"&lt;="&amp;MIN(AD$7+4,$K127))*$H127/$G127)))</x:f>
        <x:v>0</x:v>
      </x:c>
      <x:c r="AE127" s="45" t="n">
        <x:f>IF(OR($J127="",$K127=""),"",IF(SUMIFS(Calendar!$C$16:$C$141,Calendar!$A$16:$A$141,"&gt;="&amp;MAX(AE$7,$J127),Calendar!$A$16:$A$141,"&lt;="&amp;MIN(AE$7+4,$K127))=0,0,IF($H127="","EXT",SUMIFS(Calendar!$C$16:$C$141,Calendar!$A$16:$A$141,"&gt;="&amp;MAX(AE$7,$J127),Calendar!$A$16:$A$141,"&lt;="&amp;MIN(AE$7+4,$K127))*$H127/$G127)))</x:f>
        <x:v>0</x:v>
      </x:c>
      <x:c r="AF127" s="8" t="n">
        <x:f>IF(OR(M127&lt;&gt;"Scheduled",INDEX('Team and Gates'!$C$7:$C$13,MATCH($D127,'Team and Gates'!$A$7:$A$13,0))=""),"CHECK",SUM(N127:AE127)*INDEX('Team and Gates'!$C$7:$C$13,MATCH($D127,'Team and Gates'!$A$7:$A$13,0)))</x:f>
        <x:v>1440</x:v>
      </x:c>
      <x:c r="AG127" s="46" t="str">
        <x:v>SIT evidence, defect retests and UAT-readiness artifacts are recorded; formal AM UAT is after the holiday.</x:v>
      </x:c>
      <x:c r="AH127" s="46" t="str">
        <x:v>Protect extended SIT, tuning and post-holiday UAT time. If quality gates slip, reduce scope or replan; do not assume more AI coding fixes quality. BA prepares FSD and default Cases; business owner provides formal signoff.</x:v>
      </x:c>
    </x:row>
    <x:row r="128" ht="45" customHeight="1">
      <x:c r="A128" s="2" t="str">
        <x:v>BA14</x:v>
      </x:c>
      <x:c r="B128" s="2" t="str">
        <x:v>FSD / business</x:v>
      </x:c>
      <x:c r="C128" s="46" t="str">
        <x:v>Confirm UAT deployment, AM availability and February scripts</x:v>
      </x:c>
      <x:c r="D128" s="20" t="str">
        <x:v>BA</x:v>
      </x:c>
      <x:c r="E128" s="46" t="str">
        <x:v>BA13</x:v>
      </x:c>
      <x:c r="F128" s="50" t="n">
        <x:v>66</x:v>
      </x:c>
      <x:c r="G128" s="50" t="n">
        <x:v>2</x:v>
      </x:c>
      <x:c r="H128" s="51" t="n">
        <x:v>1</x:v>
      </x:c>
      <x:c r="I128" s="2" t="n">
        <x:f>IF(OR(F128="",G128=""),"",F128+G128-1)</x:f>
        <x:v>67</x:v>
      </x:c>
      <x:c r="J128" s="5" t="n">
        <x:f>IF(OR(F128="",F128&lt;1,F128&gt;Calendar!$B$9),"",INDEX(Calendar!$A$16:$A$141,MATCH(F128,Calendar!$D$16:$D$141,0)))</x:f>
        <x:v>46419</x:v>
      </x:c>
      <x:c r="K128" s="5" t="n">
        <x:f>IF(OR(I128="",I128&lt;1,I128&gt;Calendar!$B$9),"",INDEX(Calendar!$A$16:$A$141,MATCH(I128,Calendar!$D$16:$D$141,0)))</x:f>
        <x:v>46420</x:v>
      </x:c>
      <x:c r="L128" s="53" t="n">
        <x:v>0</x:v>
      </x:c>
      <x:c r="M128" s="2" t="str">
        <x:f>IF(OR(F128="",G128="",H128=""),"Missing input",IF(OR(F128&lt;1,G128&lt;1,I128&gt;Calendar!$B$9),"Outside calendar",IF(F128&lt;MAX(INDEX($I$8:$I$157,MATCH("BA13",$A$8:$A$157,0))+1),"Dependency conflict","Scheduled")))</x:f>
        <x:v>Scheduled</x:v>
      </x:c>
      <x:c r="N128" s="45" t="n">
        <x:f>IF(OR($J128="",$K128=""),"",IF(SUMIFS(Calendar!$C$16:$C$141,Calendar!$A$16:$A$141,"&gt;="&amp;MAX(N$7,$J128),Calendar!$A$16:$A$141,"&lt;="&amp;MIN(N$7+4,$K128))=0,0,IF($H128="","EXT",SUMIFS(Calendar!$C$16:$C$141,Calendar!$A$16:$A$141,"&gt;="&amp;MAX(N$7,$J128),Calendar!$A$16:$A$141,"&lt;="&amp;MIN(N$7+4,$K128))*$H128/$G128)))</x:f>
        <x:v>0</x:v>
      </x:c>
      <x:c r="O128" s="45" t="n">
        <x:f>IF(OR($J128="",$K128=""),"",IF(SUMIFS(Calendar!$C$16:$C$141,Calendar!$A$16:$A$141,"&gt;="&amp;MAX(O$7,$J128),Calendar!$A$16:$A$141,"&lt;="&amp;MIN(O$7+4,$K128))=0,0,IF($H128="","EXT",SUMIFS(Calendar!$C$16:$C$141,Calendar!$A$16:$A$141,"&gt;="&amp;MAX(O$7,$J128),Calendar!$A$16:$A$141,"&lt;="&amp;MIN(O$7+4,$K128))*$H128/$G128)))</x:f>
        <x:v>0</x:v>
      </x:c>
      <x:c r="P128" s="45" t="n">
        <x:f>IF(OR($J128="",$K128=""),"",IF(SUMIFS(Calendar!$C$16:$C$141,Calendar!$A$16:$A$141,"&gt;="&amp;MAX(P$7,$J128),Calendar!$A$16:$A$141,"&lt;="&amp;MIN(P$7+4,$K128))=0,0,IF($H128="","EXT",SUMIFS(Calendar!$C$16:$C$141,Calendar!$A$16:$A$141,"&gt;="&amp;MAX(P$7,$J128),Calendar!$A$16:$A$141,"&lt;="&amp;MIN(P$7+4,$K128))*$H128/$G128)))</x:f>
        <x:v>0</x:v>
      </x:c>
      <x:c r="Q128" s="45" t="n">
        <x:f>IF(OR($J128="",$K128=""),"",IF(SUMIFS(Calendar!$C$16:$C$141,Calendar!$A$16:$A$141,"&gt;="&amp;MAX(Q$7,$J128),Calendar!$A$16:$A$141,"&lt;="&amp;MIN(Q$7+4,$K128))=0,0,IF($H128="","EXT",SUMIFS(Calendar!$C$16:$C$141,Calendar!$A$16:$A$141,"&gt;="&amp;MAX(Q$7,$J128),Calendar!$A$16:$A$141,"&lt;="&amp;MIN(Q$7+4,$K128))*$H128/$G128)))</x:f>
        <x:v>0</x:v>
      </x:c>
      <x:c r="R128" s="45" t="n">
        <x:f>IF(OR($J128="",$K128=""),"",IF(SUMIFS(Calendar!$C$16:$C$141,Calendar!$A$16:$A$141,"&gt;="&amp;MAX(R$7,$J128),Calendar!$A$16:$A$141,"&lt;="&amp;MIN(R$7+4,$K128))=0,0,IF($H128="","EXT",SUMIFS(Calendar!$C$16:$C$141,Calendar!$A$16:$A$141,"&gt;="&amp;MAX(R$7,$J128),Calendar!$A$16:$A$141,"&lt;="&amp;MIN(R$7+4,$K128))*$H128/$G128)))</x:f>
        <x:v>0</x:v>
      </x:c>
      <x:c r="S128" s="45" t="n">
        <x:f>IF(OR($J128="",$K128=""),"",IF(SUMIFS(Calendar!$C$16:$C$141,Calendar!$A$16:$A$141,"&gt;="&amp;MAX(S$7,$J128),Calendar!$A$16:$A$141,"&lt;="&amp;MIN(S$7+4,$K128))=0,0,IF($H128="","EXT",SUMIFS(Calendar!$C$16:$C$141,Calendar!$A$16:$A$141,"&gt;="&amp;MAX(S$7,$J128),Calendar!$A$16:$A$141,"&lt;="&amp;MIN(S$7+4,$K128))*$H128/$G128)))</x:f>
        <x:v>0</x:v>
      </x:c>
      <x:c r="T128" s="45" t="n">
        <x:f>IF(OR($J128="",$K128=""),"",IF(SUMIFS(Calendar!$C$16:$C$141,Calendar!$A$16:$A$141,"&gt;="&amp;MAX(T$7,$J128),Calendar!$A$16:$A$141,"&lt;="&amp;MIN(T$7+4,$K128))=0,0,IF($H128="","EXT",SUMIFS(Calendar!$C$16:$C$141,Calendar!$A$16:$A$141,"&gt;="&amp;MAX(T$7,$J128),Calendar!$A$16:$A$141,"&lt;="&amp;MIN(T$7+4,$K128))*$H128/$G128)))</x:f>
        <x:v>0</x:v>
      </x:c>
      <x:c r="U128" s="45" t="n">
        <x:f>IF(OR($J128="",$K128=""),"",IF(SUMIFS(Calendar!$C$16:$C$141,Calendar!$A$16:$A$141,"&gt;="&amp;MAX(U$7,$J128),Calendar!$A$16:$A$141,"&lt;="&amp;MIN(U$7+4,$K128))=0,0,IF($H128="","EXT",SUMIFS(Calendar!$C$16:$C$141,Calendar!$A$16:$A$141,"&gt;="&amp;MAX(U$7,$J128),Calendar!$A$16:$A$141,"&lt;="&amp;MIN(U$7+4,$K128))*$H128/$G128)))</x:f>
        <x:v>0</x:v>
      </x:c>
      <x:c r="V128" s="45" t="n">
        <x:f>IF(OR($J128="",$K128=""),"",IF(SUMIFS(Calendar!$C$16:$C$141,Calendar!$A$16:$A$141,"&gt;="&amp;MAX(V$7,$J128),Calendar!$A$16:$A$141,"&lt;="&amp;MIN(V$7+4,$K128))=0,0,IF($H128="","EXT",SUMIFS(Calendar!$C$16:$C$141,Calendar!$A$16:$A$141,"&gt;="&amp;MAX(V$7,$J128),Calendar!$A$16:$A$141,"&lt;="&amp;MIN(V$7+4,$K128))*$H128/$G128)))</x:f>
        <x:v>0</x:v>
      </x:c>
      <x:c r="W128" s="45" t="n">
        <x:f>IF(OR($J128="",$K128=""),"",IF(SUMIFS(Calendar!$C$16:$C$141,Calendar!$A$16:$A$141,"&gt;="&amp;MAX(W$7,$J128),Calendar!$A$16:$A$141,"&lt;="&amp;MIN(W$7+4,$K128))=0,0,IF($H128="","EXT",SUMIFS(Calendar!$C$16:$C$141,Calendar!$A$16:$A$141,"&gt;="&amp;MAX(W$7,$J128),Calendar!$A$16:$A$141,"&lt;="&amp;MIN(W$7+4,$K128))*$H128/$G128)))</x:f>
        <x:v>0</x:v>
      </x:c>
      <x:c r="X128" s="45" t="n">
        <x:f>IF(OR($J128="",$K128=""),"",IF(SUMIFS(Calendar!$C$16:$C$141,Calendar!$A$16:$A$141,"&gt;="&amp;MAX(X$7,$J128),Calendar!$A$16:$A$141,"&lt;="&amp;MIN(X$7+4,$K128))=0,0,IF($H128="","EXT",SUMIFS(Calendar!$C$16:$C$141,Calendar!$A$16:$A$141,"&gt;="&amp;MAX(X$7,$J128),Calendar!$A$16:$A$141,"&lt;="&amp;MIN(X$7+4,$K128))*$H128/$G128)))</x:f>
        <x:v>0</x:v>
      </x:c>
      <x:c r="Y128" s="45" t="n">
        <x:f>IF(OR($J128="",$K128=""),"",IF(SUMIFS(Calendar!$C$16:$C$141,Calendar!$A$16:$A$141,"&gt;="&amp;MAX(Y$7,$J128),Calendar!$A$16:$A$141,"&lt;="&amp;MIN(Y$7+4,$K128))=0,0,IF($H128="","EXT",SUMIFS(Calendar!$C$16:$C$141,Calendar!$A$16:$A$141,"&gt;="&amp;MAX(Y$7,$J128),Calendar!$A$16:$A$141,"&lt;="&amp;MIN(Y$7+4,$K128))*$H128/$G128)))</x:f>
        <x:v>0</x:v>
      </x:c>
      <x:c r="Z128" s="45" t="n">
        <x:f>IF(OR($J128="",$K128=""),"",IF(SUMIFS(Calendar!$C$16:$C$141,Calendar!$A$16:$A$141,"&gt;="&amp;MAX(Z$7,$J128),Calendar!$A$16:$A$141,"&lt;="&amp;MIN(Z$7+4,$K128))=0,0,IF($H128="","EXT",SUMIFS(Calendar!$C$16:$C$141,Calendar!$A$16:$A$141,"&gt;="&amp;MAX(Z$7,$J128),Calendar!$A$16:$A$141,"&lt;="&amp;MIN(Z$7+4,$K128))*$H128/$G128)))</x:f>
        <x:v>0</x:v>
      </x:c>
      <x:c r="AA128" s="45" t="n">
        <x:f>IF(OR($J128="",$K128=""),"",IF(SUMIFS(Calendar!$C$16:$C$141,Calendar!$A$16:$A$141,"&gt;="&amp;MAX(AA$7,$J128),Calendar!$A$16:$A$141,"&lt;="&amp;MIN(AA$7+4,$K128))=0,0,IF($H128="","EXT",SUMIFS(Calendar!$C$16:$C$141,Calendar!$A$16:$A$141,"&gt;="&amp;MAX(AA$7,$J128),Calendar!$A$16:$A$141,"&lt;="&amp;MIN(AA$7+4,$K128))*$H128/$G128)))</x:f>
        <x:v>1</x:v>
      </x:c>
      <x:c r="AB128" s="45" t="n">
        <x:f>IF(OR($J128="",$K128=""),"",IF(SUMIFS(Calendar!$C$16:$C$141,Calendar!$A$16:$A$141,"&gt;="&amp;MAX(AB$7,$J128),Calendar!$A$16:$A$141,"&lt;="&amp;MIN(AB$7+4,$K128))=0,0,IF($H128="","EXT",SUMIFS(Calendar!$C$16:$C$141,Calendar!$A$16:$A$141,"&gt;="&amp;MAX(AB$7,$J128),Calendar!$A$16:$A$141,"&lt;="&amp;MIN(AB$7+4,$K128))*$H128/$G128)))</x:f>
        <x:v>0</x:v>
      </x:c>
      <x:c r="AC128" s="45" t="n">
        <x:f>IF(OR($J128="",$K128=""),"",IF(SUMIFS(Calendar!$C$16:$C$141,Calendar!$A$16:$A$141,"&gt;="&amp;MAX(AC$7,$J128),Calendar!$A$16:$A$141,"&lt;="&amp;MIN(AC$7+4,$K128))=0,0,IF($H128="","EXT",SUMIFS(Calendar!$C$16:$C$141,Calendar!$A$16:$A$141,"&gt;="&amp;MAX(AC$7,$J128),Calendar!$A$16:$A$141,"&lt;="&amp;MIN(AC$7+4,$K128))*$H128/$G128)))</x:f>
        <x:v>0</x:v>
      </x:c>
      <x:c r="AD128" s="45" t="n">
        <x:f>IF(OR($J128="",$K128=""),"",IF(SUMIFS(Calendar!$C$16:$C$141,Calendar!$A$16:$A$141,"&gt;="&amp;MAX(AD$7,$J128),Calendar!$A$16:$A$141,"&lt;="&amp;MIN(AD$7+4,$K128))=0,0,IF($H128="","EXT",SUMIFS(Calendar!$C$16:$C$141,Calendar!$A$16:$A$141,"&gt;="&amp;MAX(AD$7,$J128),Calendar!$A$16:$A$141,"&lt;="&amp;MIN(AD$7+4,$K128))*$H128/$G128)))</x:f>
        <x:v>0</x:v>
      </x:c>
      <x:c r="AE128" s="45" t="n">
        <x:f>IF(OR($J128="",$K128=""),"",IF(SUMIFS(Calendar!$C$16:$C$141,Calendar!$A$16:$A$141,"&gt;="&amp;MAX(AE$7,$J128),Calendar!$A$16:$A$141,"&lt;="&amp;MIN(AE$7+4,$K128))=0,0,IF($H128="","EXT",SUMIFS(Calendar!$C$16:$C$141,Calendar!$A$16:$A$141,"&gt;="&amp;MAX(AE$7,$J128),Calendar!$A$16:$A$141,"&lt;="&amp;MIN(AE$7+4,$K128))*$H128/$G128)))</x:f>
        <x:v>0</x:v>
      </x:c>
      <x:c r="AF128" s="8" t="n">
        <x:f>IF(OR(M128&lt;&gt;"Scheduled",INDEX('Team and Gates'!$C$7:$C$13,MATCH($D128,'Team and Gates'!$A$7:$A$13,0))=""),"CHECK",SUM(N128:AE128)*INDEX('Team and Gates'!$C$7:$C$13,MATCH($D128,'Team and Gates'!$A$7:$A$13,0)))</x:f>
        <x:v>360</x:v>
      </x:c>
      <x:c r="AG128" s="46" t="str">
        <x:v>Qualified release artifacts, operational checks and named handover evidence are recorded.</x:v>
      </x:c>
      <x:c r="AH128" s="46" t="str">
        <x:v> BA prepares FSD and default Cases; business owner provides formal signoff.</x:v>
      </x:c>
    </x:row>
    <x:row r="129" ht="45" customHeight="1">
      <x:c r="A129" s="39" t="str">
        <x:v>BA16</x:v>
      </x:c>
      <x:c r="B129" s="39" t="str">
        <x:v>FSD / business</x:v>
      </x:c>
      <x:c r="C129" s="47" t="str">
        <x:v>Coordinate AM UAT cycle 1 and triage acceptance defects</x:v>
      </x:c>
      <x:c r="D129" s="20" t="str">
        <x:v>BA</x:v>
      </x:c>
      <x:c r="E129" s="47" t="str">
        <x:v>BA14</x:v>
      </x:c>
      <x:c r="F129" s="50" t="n">
        <x:v>68</x:v>
      </x:c>
      <x:c r="G129" s="50" t="n">
        <x:v>5</x:v>
      </x:c>
      <x:c r="H129" s="51" t="n">
        <x:v>3</x:v>
      </x:c>
      <x:c r="I129" s="39" t="n">
        <x:f>IF(OR(F129="",G129=""),"",F129+G129-1)</x:f>
        <x:v>72</x:v>
      </x:c>
      <x:c r="J129" s="41" t="n">
        <x:f>IF(OR(F129="",F129&lt;1,F129&gt;Calendar!$B$9),"",INDEX(Calendar!$A$16:$A$141,MATCH(F129,Calendar!$D$16:$D$141,0)))</x:f>
        <x:v>46433</x:v>
      </x:c>
      <x:c r="K129" s="41" t="n">
        <x:f>IF(OR(I129="",I129&lt;1,I129&gt;Calendar!$B$9),"",INDEX(Calendar!$A$16:$A$141,MATCH(I129,Calendar!$D$16:$D$141,0)))</x:f>
        <x:v>46437</x:v>
      </x:c>
      <x:c r="L129" s="53" t="n">
        <x:v>0</x:v>
      </x:c>
      <x:c r="M129" s="39" t="str">
        <x:f>IF(OR(F129="",G129="",H129=""),"Missing input",IF(OR(F129&lt;1,G129&lt;1,I129&gt;Calendar!$B$9),"Outside calendar",IF(F129&lt;MAX(INDEX($I$8:$I$157,MATCH("BA14",$A$8:$A$157,0))+1),"Dependency conflict","Scheduled")))</x:f>
        <x:v>Scheduled</x:v>
      </x:c>
      <x:c r="N129" s="45" t="n">
        <x:f>IF(OR($J129="",$K129=""),"",IF(SUMIFS(Calendar!$C$16:$C$141,Calendar!$A$16:$A$141,"&gt;="&amp;MAX(N$7,$J129),Calendar!$A$16:$A$141,"&lt;="&amp;MIN(N$7+4,$K129))=0,0,IF($H129="","EXT",SUMIFS(Calendar!$C$16:$C$141,Calendar!$A$16:$A$141,"&gt;="&amp;MAX(N$7,$J129),Calendar!$A$16:$A$141,"&lt;="&amp;MIN(N$7+4,$K129))*$H129/$G129)))</x:f>
        <x:v>0</x:v>
      </x:c>
      <x:c r="O129" s="45" t="n">
        <x:f>IF(OR($J129="",$K129=""),"",IF(SUMIFS(Calendar!$C$16:$C$141,Calendar!$A$16:$A$141,"&gt;="&amp;MAX(O$7,$J129),Calendar!$A$16:$A$141,"&lt;="&amp;MIN(O$7+4,$K129))=0,0,IF($H129="","EXT",SUMIFS(Calendar!$C$16:$C$141,Calendar!$A$16:$A$141,"&gt;="&amp;MAX(O$7,$J129),Calendar!$A$16:$A$141,"&lt;="&amp;MIN(O$7+4,$K129))*$H129/$G129)))</x:f>
        <x:v>0</x:v>
      </x:c>
      <x:c r="P129" s="45" t="n">
        <x:f>IF(OR($J129="",$K129=""),"",IF(SUMIFS(Calendar!$C$16:$C$141,Calendar!$A$16:$A$141,"&gt;="&amp;MAX(P$7,$J129),Calendar!$A$16:$A$141,"&lt;="&amp;MIN(P$7+4,$K129))=0,0,IF($H129="","EXT",SUMIFS(Calendar!$C$16:$C$141,Calendar!$A$16:$A$141,"&gt;="&amp;MAX(P$7,$J129),Calendar!$A$16:$A$141,"&lt;="&amp;MIN(P$7+4,$K129))*$H129/$G129)))</x:f>
        <x:v>0</x:v>
      </x:c>
      <x:c r="Q129" s="45" t="n">
        <x:f>IF(OR($J129="",$K129=""),"",IF(SUMIFS(Calendar!$C$16:$C$141,Calendar!$A$16:$A$141,"&gt;="&amp;MAX(Q$7,$J129),Calendar!$A$16:$A$141,"&lt;="&amp;MIN(Q$7+4,$K129))=0,0,IF($H129="","EXT",SUMIFS(Calendar!$C$16:$C$141,Calendar!$A$16:$A$141,"&gt;="&amp;MAX(Q$7,$J129),Calendar!$A$16:$A$141,"&lt;="&amp;MIN(Q$7+4,$K129))*$H129/$G129)))</x:f>
        <x:v>0</x:v>
      </x:c>
      <x:c r="R129" s="45" t="n">
        <x:f>IF(OR($J129="",$K129=""),"",IF(SUMIFS(Calendar!$C$16:$C$141,Calendar!$A$16:$A$141,"&gt;="&amp;MAX(R$7,$J129),Calendar!$A$16:$A$141,"&lt;="&amp;MIN(R$7+4,$K129))=0,0,IF($H129="","EXT",SUMIFS(Calendar!$C$16:$C$141,Calendar!$A$16:$A$141,"&gt;="&amp;MAX(R$7,$J129),Calendar!$A$16:$A$141,"&lt;="&amp;MIN(R$7+4,$K129))*$H129/$G129)))</x:f>
        <x:v>0</x:v>
      </x:c>
      <x:c r="S129" s="45" t="n">
        <x:f>IF(OR($J129="",$K129=""),"",IF(SUMIFS(Calendar!$C$16:$C$141,Calendar!$A$16:$A$141,"&gt;="&amp;MAX(S$7,$J129),Calendar!$A$16:$A$141,"&lt;="&amp;MIN(S$7+4,$K129))=0,0,IF($H129="","EXT",SUMIFS(Calendar!$C$16:$C$141,Calendar!$A$16:$A$141,"&gt;="&amp;MAX(S$7,$J129),Calendar!$A$16:$A$141,"&lt;="&amp;MIN(S$7+4,$K129))*$H129/$G129)))</x:f>
        <x:v>0</x:v>
      </x:c>
      <x:c r="T129" s="45" t="n">
        <x:f>IF(OR($J129="",$K129=""),"",IF(SUMIFS(Calendar!$C$16:$C$141,Calendar!$A$16:$A$141,"&gt;="&amp;MAX(T$7,$J129),Calendar!$A$16:$A$141,"&lt;="&amp;MIN(T$7+4,$K129))=0,0,IF($H129="","EXT",SUMIFS(Calendar!$C$16:$C$141,Calendar!$A$16:$A$141,"&gt;="&amp;MAX(T$7,$J129),Calendar!$A$16:$A$141,"&lt;="&amp;MIN(T$7+4,$K129))*$H129/$G129)))</x:f>
        <x:v>0</x:v>
      </x:c>
      <x:c r="U129" s="45" t="n">
        <x:f>IF(OR($J129="",$K129=""),"",IF(SUMIFS(Calendar!$C$16:$C$141,Calendar!$A$16:$A$141,"&gt;="&amp;MAX(U$7,$J129),Calendar!$A$16:$A$141,"&lt;="&amp;MIN(U$7+4,$K129))=0,0,IF($H129="","EXT",SUMIFS(Calendar!$C$16:$C$141,Calendar!$A$16:$A$141,"&gt;="&amp;MAX(U$7,$J129),Calendar!$A$16:$A$141,"&lt;="&amp;MIN(U$7+4,$K129))*$H129/$G129)))</x:f>
        <x:v>0</x:v>
      </x:c>
      <x:c r="V129" s="45" t="n">
        <x:f>IF(OR($J129="",$K129=""),"",IF(SUMIFS(Calendar!$C$16:$C$141,Calendar!$A$16:$A$141,"&gt;="&amp;MAX(V$7,$J129),Calendar!$A$16:$A$141,"&lt;="&amp;MIN(V$7+4,$K129))=0,0,IF($H129="","EXT",SUMIFS(Calendar!$C$16:$C$141,Calendar!$A$16:$A$141,"&gt;="&amp;MAX(V$7,$J129),Calendar!$A$16:$A$141,"&lt;="&amp;MIN(V$7+4,$K129))*$H129/$G129)))</x:f>
        <x:v>0</x:v>
      </x:c>
      <x:c r="W129" s="45" t="n">
        <x:f>IF(OR($J129="",$K129=""),"",IF(SUMIFS(Calendar!$C$16:$C$141,Calendar!$A$16:$A$141,"&gt;="&amp;MAX(W$7,$J129),Calendar!$A$16:$A$141,"&lt;="&amp;MIN(W$7+4,$K129))=0,0,IF($H129="","EXT",SUMIFS(Calendar!$C$16:$C$141,Calendar!$A$16:$A$141,"&gt;="&amp;MAX(W$7,$J129),Calendar!$A$16:$A$141,"&lt;="&amp;MIN(W$7+4,$K129))*$H129/$G129)))</x:f>
        <x:v>0</x:v>
      </x:c>
      <x:c r="X129" s="45" t="n">
        <x:f>IF(OR($J129="",$K129=""),"",IF(SUMIFS(Calendar!$C$16:$C$141,Calendar!$A$16:$A$141,"&gt;="&amp;MAX(X$7,$J129),Calendar!$A$16:$A$141,"&lt;="&amp;MIN(X$7+4,$K129))=0,0,IF($H129="","EXT",SUMIFS(Calendar!$C$16:$C$141,Calendar!$A$16:$A$141,"&gt;="&amp;MAX(X$7,$J129),Calendar!$A$16:$A$141,"&lt;="&amp;MIN(X$7+4,$K129))*$H129/$G129)))</x:f>
        <x:v>0</x:v>
      </x:c>
      <x:c r="Y129" s="45" t="n">
        <x:f>IF(OR($J129="",$K129=""),"",IF(SUMIFS(Calendar!$C$16:$C$141,Calendar!$A$16:$A$141,"&gt;="&amp;MAX(Y$7,$J129),Calendar!$A$16:$A$141,"&lt;="&amp;MIN(Y$7+4,$K129))=0,0,IF($H129="","EXT",SUMIFS(Calendar!$C$16:$C$141,Calendar!$A$16:$A$141,"&gt;="&amp;MAX(Y$7,$J129),Calendar!$A$16:$A$141,"&lt;="&amp;MIN(Y$7+4,$K129))*$H129/$G129)))</x:f>
        <x:v>0</x:v>
      </x:c>
      <x:c r="Z129" s="45" t="n">
        <x:f>IF(OR($J129="",$K129=""),"",IF(SUMIFS(Calendar!$C$16:$C$141,Calendar!$A$16:$A$141,"&gt;="&amp;MAX(Z$7,$J129),Calendar!$A$16:$A$141,"&lt;="&amp;MIN(Z$7+4,$K129))=0,0,IF($H129="","EXT",SUMIFS(Calendar!$C$16:$C$141,Calendar!$A$16:$A$141,"&gt;="&amp;MAX(Z$7,$J129),Calendar!$A$16:$A$141,"&lt;="&amp;MIN(Z$7+4,$K129))*$H129/$G129)))</x:f>
        <x:v>0</x:v>
      </x:c>
      <x:c r="AA129" s="45" t="n">
        <x:f>IF(OR($J129="",$K129=""),"",IF(SUMIFS(Calendar!$C$16:$C$141,Calendar!$A$16:$A$141,"&gt;="&amp;MAX(AA$7,$J129),Calendar!$A$16:$A$141,"&lt;="&amp;MIN(AA$7+4,$K129))=0,0,IF($H129="","EXT",SUMIFS(Calendar!$C$16:$C$141,Calendar!$A$16:$A$141,"&gt;="&amp;MAX(AA$7,$J129),Calendar!$A$16:$A$141,"&lt;="&amp;MIN(AA$7+4,$K129))*$H129/$G129)))</x:f>
        <x:v>0</x:v>
      </x:c>
      <x:c r="AB129" s="45" t="n">
        <x:f>IF(OR($J129="",$K129=""),"",IF(SUMIFS(Calendar!$C$16:$C$141,Calendar!$A$16:$A$141,"&gt;="&amp;MAX(AB$7,$J129),Calendar!$A$16:$A$141,"&lt;="&amp;MIN(AB$7+4,$K129))=0,0,IF($H129="","EXT",SUMIFS(Calendar!$C$16:$C$141,Calendar!$A$16:$A$141,"&gt;="&amp;MAX(AB$7,$J129),Calendar!$A$16:$A$141,"&lt;="&amp;MIN(AB$7+4,$K129))*$H129/$G129)))</x:f>
        <x:v>0</x:v>
      </x:c>
      <x:c r="AC129" s="45" t="n">
        <x:f>IF(OR($J129="",$K129=""),"",IF(SUMIFS(Calendar!$C$16:$C$141,Calendar!$A$16:$A$141,"&gt;="&amp;MAX(AC$7,$J129),Calendar!$A$16:$A$141,"&lt;="&amp;MIN(AC$7+4,$K129))=0,0,IF($H129="","EXT",SUMIFS(Calendar!$C$16:$C$141,Calendar!$A$16:$A$141,"&gt;="&amp;MAX(AC$7,$J129),Calendar!$A$16:$A$141,"&lt;="&amp;MIN(AC$7+4,$K129))*$H129/$G129)))</x:f>
        <x:v>3</x:v>
      </x:c>
      <x:c r="AD129" s="45" t="n">
        <x:f>IF(OR($J129="",$K129=""),"",IF(SUMIFS(Calendar!$C$16:$C$141,Calendar!$A$16:$A$141,"&gt;="&amp;MAX(AD$7,$J129),Calendar!$A$16:$A$141,"&lt;="&amp;MIN(AD$7+4,$K129))=0,0,IF($H129="","EXT",SUMIFS(Calendar!$C$16:$C$141,Calendar!$A$16:$A$141,"&gt;="&amp;MAX(AD$7,$J129),Calendar!$A$16:$A$141,"&lt;="&amp;MIN(AD$7+4,$K129))*$H129/$G129)))</x:f>
        <x:v>0</x:v>
      </x:c>
      <x:c r="AE129" s="45" t="n">
        <x:f>IF(OR($J129="",$K129=""),"",IF(SUMIFS(Calendar!$C$16:$C$141,Calendar!$A$16:$A$141,"&gt;="&amp;MAX(AE$7,$J129),Calendar!$A$16:$A$141,"&lt;="&amp;MIN(AE$7+4,$K129))=0,0,IF($H129="","EXT",SUMIFS(Calendar!$C$16:$C$141,Calendar!$A$16:$A$141,"&gt;="&amp;MAX(AE$7,$J129),Calendar!$A$16:$A$141,"&lt;="&amp;MIN(AE$7+4,$K129))*$H129/$G129)))</x:f>
        <x:v>0</x:v>
      </x:c>
      <x:c r="AF129" s="8" t="n">
        <x:f>IF(OR(M129&lt;&gt;"Scheduled",INDEX('Team and Gates'!$C$7:$C$13,MATCH($D129,'Team and Gates'!$A$7:$A$13,0))=""),"CHECK",SUM(N129:AE129)*INDEX('Team and Gates'!$C$7:$C$13,MATCH($D129,'Team and Gates'!$A$7:$A$13,0)))</x:f>
        <x:v>1080</x:v>
      </x:c>
      <x:c r="AG129" s="46" t="str">
        <x:v>Pilot AMs execute first-week UAT scenarios; defects and affected regression/AI retests are recorded for final acceptance on Feb 24.</x:v>
      </x:c>
      <x:c r="AH129" s="46" t="str">
        <x:v> BA prepares FSD and default Cases; business owner provides formal signoff.</x:v>
      </x:c>
    </x:row>
    <x:row r="130" ht="45" customHeight="1">
      <x:c r="A130" s="2" t="str">
        <x:v>BA17</x:v>
      </x:c>
      <x:c r="B130" s="2" t="str">
        <x:v>FSD / business</x:v>
      </x:c>
      <x:c r="C130" s="46" t="str">
        <x:v>Obtain UAT SIGNOFF on Feb 24 and finalize business acceptance</x:v>
      </x:c>
      <x:c r="D130" s="20" t="str">
        <x:v>BA</x:v>
      </x:c>
      <x:c r="E130" s="46" t="str">
        <x:v>BA16, Q16, U16</x:v>
      </x:c>
      <x:c r="F130" s="50" t="n">
        <x:v>73</x:v>
      </x:c>
      <x:c r="G130" s="50" t="n">
        <x:v>3</x:v>
      </x:c>
      <x:c r="H130" s="51" t="n">
        <x:v>1.8</x:v>
      </x:c>
      <x:c r="I130" s="2" t="n">
        <x:f>IF(OR(F130="",G130=""),"",F130+G130-1)</x:f>
        <x:v>75</x:v>
      </x:c>
      <x:c r="J130" s="5" t="n">
        <x:f>IF(OR(F130="",F130&lt;1,F130&gt;Calendar!$B$9),"",INDEX(Calendar!$A$16:$A$141,MATCH(F130,Calendar!$D$16:$D$141,0)))</x:f>
        <x:v>46440</x:v>
      </x:c>
      <x:c r="K130" s="5" t="n">
        <x:f>IF(OR(I130="",I130&lt;1,I130&gt;Calendar!$B$9),"",INDEX(Calendar!$A$16:$A$141,MATCH(I130,Calendar!$D$16:$D$141,0)))</x:f>
        <x:v>46442</x:v>
      </x:c>
      <x:c r="L130" s="53" t="n">
        <x:v>0</x:v>
      </x:c>
      <x:c r="M130" s="2" t="str">
        <x:f>IF(OR(F130="",G130="",H130=""),"Missing input",IF(OR(F130&lt;1,G130&lt;1,I130&gt;Calendar!$B$9),"Outside calendar",IF(F130&lt;MAX(INDEX($I$8:$I$157,MATCH("BA16",$A$8:$A$157,0))+1,INDEX($I$8:$I$157,MATCH("Q16",$A$8:$A$157,0))+1,INDEX($I$8:$I$157,MATCH("U16",$A$8:$A$157,0))+1),"Dependency conflict","Scheduled")))</x:f>
        <x:v>Scheduled</x:v>
      </x:c>
      <x:c r="N130" s="45" t="n">
        <x:f>IF(OR($J130="",$K130=""),"",IF(SUMIFS(Calendar!$C$16:$C$141,Calendar!$A$16:$A$141,"&gt;="&amp;MAX(N$7,$J130),Calendar!$A$16:$A$141,"&lt;="&amp;MIN(N$7+4,$K130))=0,0,IF($H130="","EXT",SUMIFS(Calendar!$C$16:$C$141,Calendar!$A$16:$A$141,"&gt;="&amp;MAX(N$7,$J130),Calendar!$A$16:$A$141,"&lt;="&amp;MIN(N$7+4,$K130))*$H130/$G130)))</x:f>
        <x:v>0</x:v>
      </x:c>
      <x:c r="O130" s="45" t="n">
        <x:f>IF(OR($J130="",$K130=""),"",IF(SUMIFS(Calendar!$C$16:$C$141,Calendar!$A$16:$A$141,"&gt;="&amp;MAX(O$7,$J130),Calendar!$A$16:$A$141,"&lt;="&amp;MIN(O$7+4,$K130))=0,0,IF($H130="","EXT",SUMIFS(Calendar!$C$16:$C$141,Calendar!$A$16:$A$141,"&gt;="&amp;MAX(O$7,$J130),Calendar!$A$16:$A$141,"&lt;="&amp;MIN(O$7+4,$K130))*$H130/$G130)))</x:f>
        <x:v>0</x:v>
      </x:c>
      <x:c r="P130" s="45" t="n">
        <x:f>IF(OR($J130="",$K130=""),"",IF(SUMIFS(Calendar!$C$16:$C$141,Calendar!$A$16:$A$141,"&gt;="&amp;MAX(P$7,$J130),Calendar!$A$16:$A$141,"&lt;="&amp;MIN(P$7+4,$K130))=0,0,IF($H130="","EXT",SUMIFS(Calendar!$C$16:$C$141,Calendar!$A$16:$A$141,"&gt;="&amp;MAX(P$7,$J130),Calendar!$A$16:$A$141,"&lt;="&amp;MIN(P$7+4,$K130))*$H130/$G130)))</x:f>
        <x:v>0</x:v>
      </x:c>
      <x:c r="Q130" s="45" t="n">
        <x:f>IF(OR($J130="",$K130=""),"",IF(SUMIFS(Calendar!$C$16:$C$141,Calendar!$A$16:$A$141,"&gt;="&amp;MAX(Q$7,$J130),Calendar!$A$16:$A$141,"&lt;="&amp;MIN(Q$7+4,$K130))=0,0,IF($H130="","EXT",SUMIFS(Calendar!$C$16:$C$141,Calendar!$A$16:$A$141,"&gt;="&amp;MAX(Q$7,$J130),Calendar!$A$16:$A$141,"&lt;="&amp;MIN(Q$7+4,$K130))*$H130/$G130)))</x:f>
        <x:v>0</x:v>
      </x:c>
      <x:c r="R130" s="45" t="n">
        <x:f>IF(OR($J130="",$K130=""),"",IF(SUMIFS(Calendar!$C$16:$C$141,Calendar!$A$16:$A$141,"&gt;="&amp;MAX(R$7,$J130),Calendar!$A$16:$A$141,"&lt;="&amp;MIN(R$7+4,$K130))=0,0,IF($H130="","EXT",SUMIFS(Calendar!$C$16:$C$141,Calendar!$A$16:$A$141,"&gt;="&amp;MAX(R$7,$J130),Calendar!$A$16:$A$141,"&lt;="&amp;MIN(R$7+4,$K130))*$H130/$G130)))</x:f>
        <x:v>0</x:v>
      </x:c>
      <x:c r="S130" s="45" t="n">
        <x:f>IF(OR($J130="",$K130=""),"",IF(SUMIFS(Calendar!$C$16:$C$141,Calendar!$A$16:$A$141,"&gt;="&amp;MAX(S$7,$J130),Calendar!$A$16:$A$141,"&lt;="&amp;MIN(S$7+4,$K130))=0,0,IF($H130="","EXT",SUMIFS(Calendar!$C$16:$C$141,Calendar!$A$16:$A$141,"&gt;="&amp;MAX(S$7,$J130),Calendar!$A$16:$A$141,"&lt;="&amp;MIN(S$7+4,$K130))*$H130/$G130)))</x:f>
        <x:v>0</x:v>
      </x:c>
      <x:c r="T130" s="45" t="n">
        <x:f>IF(OR($J130="",$K130=""),"",IF(SUMIFS(Calendar!$C$16:$C$141,Calendar!$A$16:$A$141,"&gt;="&amp;MAX(T$7,$J130),Calendar!$A$16:$A$141,"&lt;="&amp;MIN(T$7+4,$K130))=0,0,IF($H130="","EXT",SUMIFS(Calendar!$C$16:$C$141,Calendar!$A$16:$A$141,"&gt;="&amp;MAX(T$7,$J130),Calendar!$A$16:$A$141,"&lt;="&amp;MIN(T$7+4,$K130))*$H130/$G130)))</x:f>
        <x:v>0</x:v>
      </x:c>
      <x:c r="U130" s="45" t="n">
        <x:f>IF(OR($J130="",$K130=""),"",IF(SUMIFS(Calendar!$C$16:$C$141,Calendar!$A$16:$A$141,"&gt;="&amp;MAX(U$7,$J130),Calendar!$A$16:$A$141,"&lt;="&amp;MIN(U$7+4,$K130))=0,0,IF($H130="","EXT",SUMIFS(Calendar!$C$16:$C$141,Calendar!$A$16:$A$141,"&gt;="&amp;MAX(U$7,$J130),Calendar!$A$16:$A$141,"&lt;="&amp;MIN(U$7+4,$K130))*$H130/$G130)))</x:f>
        <x:v>0</x:v>
      </x:c>
      <x:c r="V130" s="45" t="n">
        <x:f>IF(OR($J130="",$K130=""),"",IF(SUMIFS(Calendar!$C$16:$C$141,Calendar!$A$16:$A$141,"&gt;="&amp;MAX(V$7,$J130),Calendar!$A$16:$A$141,"&lt;="&amp;MIN(V$7+4,$K130))=0,0,IF($H130="","EXT",SUMIFS(Calendar!$C$16:$C$141,Calendar!$A$16:$A$141,"&gt;="&amp;MAX(V$7,$J130),Calendar!$A$16:$A$141,"&lt;="&amp;MIN(V$7+4,$K130))*$H130/$G130)))</x:f>
        <x:v>0</x:v>
      </x:c>
      <x:c r="W130" s="45" t="n">
        <x:f>IF(OR($J130="",$K130=""),"",IF(SUMIFS(Calendar!$C$16:$C$141,Calendar!$A$16:$A$141,"&gt;="&amp;MAX(W$7,$J130),Calendar!$A$16:$A$141,"&lt;="&amp;MIN(W$7+4,$K130))=0,0,IF($H130="","EXT",SUMIFS(Calendar!$C$16:$C$141,Calendar!$A$16:$A$141,"&gt;="&amp;MAX(W$7,$J130),Calendar!$A$16:$A$141,"&lt;="&amp;MIN(W$7+4,$K130))*$H130/$G130)))</x:f>
        <x:v>0</x:v>
      </x:c>
      <x:c r="X130" s="45" t="n">
        <x:f>IF(OR($J130="",$K130=""),"",IF(SUMIFS(Calendar!$C$16:$C$141,Calendar!$A$16:$A$141,"&gt;="&amp;MAX(X$7,$J130),Calendar!$A$16:$A$141,"&lt;="&amp;MIN(X$7+4,$K130))=0,0,IF($H130="","EXT",SUMIFS(Calendar!$C$16:$C$141,Calendar!$A$16:$A$141,"&gt;="&amp;MAX(X$7,$J130),Calendar!$A$16:$A$141,"&lt;="&amp;MIN(X$7+4,$K130))*$H130/$G130)))</x:f>
        <x:v>0</x:v>
      </x:c>
      <x:c r="Y130" s="45" t="n">
        <x:f>IF(OR($J130="",$K130=""),"",IF(SUMIFS(Calendar!$C$16:$C$141,Calendar!$A$16:$A$141,"&gt;="&amp;MAX(Y$7,$J130),Calendar!$A$16:$A$141,"&lt;="&amp;MIN(Y$7+4,$K130))=0,0,IF($H130="","EXT",SUMIFS(Calendar!$C$16:$C$141,Calendar!$A$16:$A$141,"&gt;="&amp;MAX(Y$7,$J130),Calendar!$A$16:$A$141,"&lt;="&amp;MIN(Y$7+4,$K130))*$H130/$G130)))</x:f>
        <x:v>0</x:v>
      </x:c>
      <x:c r="Z130" s="45" t="n">
        <x:f>IF(OR($J130="",$K130=""),"",IF(SUMIFS(Calendar!$C$16:$C$141,Calendar!$A$16:$A$141,"&gt;="&amp;MAX(Z$7,$J130),Calendar!$A$16:$A$141,"&lt;="&amp;MIN(Z$7+4,$K130))=0,0,IF($H130="","EXT",SUMIFS(Calendar!$C$16:$C$141,Calendar!$A$16:$A$141,"&gt;="&amp;MAX(Z$7,$J130),Calendar!$A$16:$A$141,"&lt;="&amp;MIN(Z$7+4,$K130))*$H130/$G130)))</x:f>
        <x:v>0</x:v>
      </x:c>
      <x:c r="AA130" s="45" t="n">
        <x:f>IF(OR($J130="",$K130=""),"",IF(SUMIFS(Calendar!$C$16:$C$141,Calendar!$A$16:$A$141,"&gt;="&amp;MAX(AA$7,$J130),Calendar!$A$16:$A$141,"&lt;="&amp;MIN(AA$7+4,$K130))=0,0,IF($H130="","EXT",SUMIFS(Calendar!$C$16:$C$141,Calendar!$A$16:$A$141,"&gt;="&amp;MAX(AA$7,$J130),Calendar!$A$16:$A$141,"&lt;="&amp;MIN(AA$7+4,$K130))*$H130/$G130)))</x:f>
        <x:v>0</x:v>
      </x:c>
      <x:c r="AB130" s="45" t="n">
        <x:f>IF(OR($J130="",$K130=""),"",IF(SUMIFS(Calendar!$C$16:$C$141,Calendar!$A$16:$A$141,"&gt;="&amp;MAX(AB$7,$J130),Calendar!$A$16:$A$141,"&lt;="&amp;MIN(AB$7+4,$K130))=0,0,IF($H130="","EXT",SUMIFS(Calendar!$C$16:$C$141,Calendar!$A$16:$A$141,"&gt;="&amp;MAX(AB$7,$J130),Calendar!$A$16:$A$141,"&lt;="&amp;MIN(AB$7+4,$K130))*$H130/$G130)))</x:f>
        <x:v>0</x:v>
      </x:c>
      <x:c r="AC130" s="45" t="n">
        <x:f>IF(OR($J130="",$K130=""),"",IF(SUMIFS(Calendar!$C$16:$C$141,Calendar!$A$16:$A$141,"&gt;="&amp;MAX(AC$7,$J130),Calendar!$A$16:$A$141,"&lt;="&amp;MIN(AC$7+4,$K130))=0,0,IF($H130="","EXT",SUMIFS(Calendar!$C$16:$C$141,Calendar!$A$16:$A$141,"&gt;="&amp;MAX(AC$7,$J130),Calendar!$A$16:$A$141,"&lt;="&amp;MIN(AC$7+4,$K130))*$H130/$G130)))</x:f>
        <x:v>0</x:v>
      </x:c>
      <x:c r="AD130" s="45" t="n">
        <x:f>IF(OR($J130="",$K130=""),"",IF(SUMIFS(Calendar!$C$16:$C$141,Calendar!$A$16:$A$141,"&gt;="&amp;MAX(AD$7,$J130),Calendar!$A$16:$A$141,"&lt;="&amp;MIN(AD$7+4,$K130))=0,0,IF($H130="","EXT",SUMIFS(Calendar!$C$16:$C$141,Calendar!$A$16:$A$141,"&gt;="&amp;MAX(AD$7,$J130),Calendar!$A$16:$A$141,"&lt;="&amp;MIN(AD$7+4,$K130))*$H130/$G130)))</x:f>
        <x:v>1.8</x:v>
      </x:c>
      <x:c r="AE130" s="45" t="n">
        <x:f>IF(OR($J130="",$K130=""),"",IF(SUMIFS(Calendar!$C$16:$C$141,Calendar!$A$16:$A$141,"&gt;="&amp;MAX(AE$7,$J130),Calendar!$A$16:$A$141,"&lt;="&amp;MIN(AE$7+4,$K130))=0,0,IF($H130="","EXT",SUMIFS(Calendar!$C$16:$C$141,Calendar!$A$16:$A$141,"&gt;="&amp;MAX(AE$7,$J130),Calendar!$A$16:$A$141,"&lt;="&amp;MIN(AE$7+4,$K130))*$H130/$G130)))</x:f>
        <x:v>0</x:v>
      </x:c>
      <x:c r="AF130" s="8" t="n">
        <x:f>IF(OR(M130&lt;&gt;"Scheduled",INDEX('Team and Gates'!$C$7:$C$13,MATCH($D130,'Team and Gates'!$A$7:$A$13,0))=""),"CHECK",SUM(N130:AE130)*INDEX('Team and Gates'!$C$7:$C$13,MATCH($D130,'Team and Gates'!$A$7:$A$13,0)))</x:f>
        <x:v>648</x:v>
      </x:c>
      <x:c r="AG130" s="46" t="str">
        <x:v>Final UAT evidence, controlled defect retests and business-owner approval are recorded by Feb 24.</x:v>
      </x:c>
      <x:c r="AH130" s="46" t="str">
        <x:v> BA prepares FSD and default Cases; business owner provides formal signoff.</x:v>
      </x:c>
    </x:row>
    <x:row r="131" ht="45" customHeight="1">
      <x:c r="A131" s="39" t="str">
        <x:v>BA-GATE</x:v>
      </x:c>
      <x:c r="B131" s="39" t="str">
        <x:v>FSD / business</x:v>
      </x:c>
      <x:c r="C131" s="47" t="str">
        <x:v>Feb 25 release readiness and Go/No-Go checks</x:v>
      </x:c>
      <x:c r="D131" s="20" t="str">
        <x:v>BA</x:v>
      </x:c>
      <x:c r="E131" s="47" t="str">
        <x:v>BA17, Q17, U17</x:v>
      </x:c>
      <x:c r="F131" s="50" t="n">
        <x:v>76</x:v>
      </x:c>
      <x:c r="G131" s="50" t="n">
        <x:v>1</x:v>
      </x:c>
      <x:c r="H131" s="51" t="n">
        <x:v>0.6</x:v>
      </x:c>
      <x:c r="I131" s="39" t="n">
        <x:f>IF(OR(F131="",G131=""),"",F131+G131-1)</x:f>
        <x:v>76</x:v>
      </x:c>
      <x:c r="J131" s="41" t="n">
        <x:f>IF(OR(F131="",F131&lt;1,F131&gt;Calendar!$B$9),"",INDEX(Calendar!$A$16:$A$141,MATCH(F131,Calendar!$D$16:$D$141,0)))</x:f>
        <x:v>46443</x:v>
      </x:c>
      <x:c r="K131" s="41" t="n">
        <x:f>IF(OR(I131="",I131&lt;1,I131&gt;Calendar!$B$9),"",INDEX(Calendar!$A$16:$A$141,MATCH(I131,Calendar!$D$16:$D$141,0)))</x:f>
        <x:v>46443</x:v>
      </x:c>
      <x:c r="L131" s="53" t="n">
        <x:v>0</x:v>
      </x:c>
      <x:c r="M131" s="39" t="str">
        <x:f>IF(OR(F131="",G131="",H131=""),"Missing input",IF(OR(F131&lt;1,G131&lt;1,I131&gt;Calendar!$B$9),"Outside calendar",IF(F131&lt;MAX(INDEX($I$8:$I$157,MATCH("BA17",$A$8:$A$157,0))+1,INDEX($I$8:$I$157,MATCH("Q17",$A$8:$A$157,0))+1,INDEX($I$8:$I$157,MATCH("U17",$A$8:$A$157,0))+1),"Dependency conflict","Scheduled")))</x:f>
        <x:v>Scheduled</x:v>
      </x:c>
      <x:c r="N131" s="45" t="n">
        <x:f>IF(OR($J131="",$K131=""),"",IF(SUMIFS(Calendar!$C$16:$C$141,Calendar!$A$16:$A$141,"&gt;="&amp;MAX(N$7,$J131),Calendar!$A$16:$A$141,"&lt;="&amp;MIN(N$7+4,$K131))=0,0,IF($H131="","EXT",SUMIFS(Calendar!$C$16:$C$141,Calendar!$A$16:$A$141,"&gt;="&amp;MAX(N$7,$J131),Calendar!$A$16:$A$141,"&lt;="&amp;MIN(N$7+4,$K131))*$H131/$G131)))</x:f>
        <x:v>0</x:v>
      </x:c>
      <x:c r="O131" s="45" t="n">
        <x:f>IF(OR($J131="",$K131=""),"",IF(SUMIFS(Calendar!$C$16:$C$141,Calendar!$A$16:$A$141,"&gt;="&amp;MAX(O$7,$J131),Calendar!$A$16:$A$141,"&lt;="&amp;MIN(O$7+4,$K131))=0,0,IF($H131="","EXT",SUMIFS(Calendar!$C$16:$C$141,Calendar!$A$16:$A$141,"&gt;="&amp;MAX(O$7,$J131),Calendar!$A$16:$A$141,"&lt;="&amp;MIN(O$7+4,$K131))*$H131/$G131)))</x:f>
        <x:v>0</x:v>
      </x:c>
      <x:c r="P131" s="45" t="n">
        <x:f>IF(OR($J131="",$K131=""),"",IF(SUMIFS(Calendar!$C$16:$C$141,Calendar!$A$16:$A$141,"&gt;="&amp;MAX(P$7,$J131),Calendar!$A$16:$A$141,"&lt;="&amp;MIN(P$7+4,$K131))=0,0,IF($H131="","EXT",SUMIFS(Calendar!$C$16:$C$141,Calendar!$A$16:$A$141,"&gt;="&amp;MAX(P$7,$J131),Calendar!$A$16:$A$141,"&lt;="&amp;MIN(P$7+4,$K131))*$H131/$G131)))</x:f>
        <x:v>0</x:v>
      </x:c>
      <x:c r="Q131" s="45" t="n">
        <x:f>IF(OR($J131="",$K131=""),"",IF(SUMIFS(Calendar!$C$16:$C$141,Calendar!$A$16:$A$141,"&gt;="&amp;MAX(Q$7,$J131),Calendar!$A$16:$A$141,"&lt;="&amp;MIN(Q$7+4,$K131))=0,0,IF($H131="","EXT",SUMIFS(Calendar!$C$16:$C$141,Calendar!$A$16:$A$141,"&gt;="&amp;MAX(Q$7,$J131),Calendar!$A$16:$A$141,"&lt;="&amp;MIN(Q$7+4,$K131))*$H131/$G131)))</x:f>
        <x:v>0</x:v>
      </x:c>
      <x:c r="R131" s="45" t="n">
        <x:f>IF(OR($J131="",$K131=""),"",IF(SUMIFS(Calendar!$C$16:$C$141,Calendar!$A$16:$A$141,"&gt;="&amp;MAX(R$7,$J131),Calendar!$A$16:$A$141,"&lt;="&amp;MIN(R$7+4,$K131))=0,0,IF($H131="","EXT",SUMIFS(Calendar!$C$16:$C$141,Calendar!$A$16:$A$141,"&gt;="&amp;MAX(R$7,$J131),Calendar!$A$16:$A$141,"&lt;="&amp;MIN(R$7+4,$K131))*$H131/$G131)))</x:f>
        <x:v>0</x:v>
      </x:c>
      <x:c r="S131" s="45" t="n">
        <x:f>IF(OR($J131="",$K131=""),"",IF(SUMIFS(Calendar!$C$16:$C$141,Calendar!$A$16:$A$141,"&gt;="&amp;MAX(S$7,$J131),Calendar!$A$16:$A$141,"&lt;="&amp;MIN(S$7+4,$K131))=0,0,IF($H131="","EXT",SUMIFS(Calendar!$C$16:$C$141,Calendar!$A$16:$A$141,"&gt;="&amp;MAX(S$7,$J131),Calendar!$A$16:$A$141,"&lt;="&amp;MIN(S$7+4,$K131))*$H131/$G131)))</x:f>
        <x:v>0</x:v>
      </x:c>
      <x:c r="T131" s="45" t="n">
        <x:f>IF(OR($J131="",$K131=""),"",IF(SUMIFS(Calendar!$C$16:$C$141,Calendar!$A$16:$A$141,"&gt;="&amp;MAX(T$7,$J131),Calendar!$A$16:$A$141,"&lt;="&amp;MIN(T$7+4,$K131))=0,0,IF($H131="","EXT",SUMIFS(Calendar!$C$16:$C$141,Calendar!$A$16:$A$141,"&gt;="&amp;MAX(T$7,$J131),Calendar!$A$16:$A$141,"&lt;="&amp;MIN(T$7+4,$K131))*$H131/$G131)))</x:f>
        <x:v>0</x:v>
      </x:c>
      <x:c r="U131" s="45" t="n">
        <x:f>IF(OR($J131="",$K131=""),"",IF(SUMIFS(Calendar!$C$16:$C$141,Calendar!$A$16:$A$141,"&gt;="&amp;MAX(U$7,$J131),Calendar!$A$16:$A$141,"&lt;="&amp;MIN(U$7+4,$K131))=0,0,IF($H131="","EXT",SUMIFS(Calendar!$C$16:$C$141,Calendar!$A$16:$A$141,"&gt;="&amp;MAX(U$7,$J131),Calendar!$A$16:$A$141,"&lt;="&amp;MIN(U$7+4,$K131))*$H131/$G131)))</x:f>
        <x:v>0</x:v>
      </x:c>
      <x:c r="V131" s="45" t="n">
        <x:f>IF(OR($J131="",$K131=""),"",IF(SUMIFS(Calendar!$C$16:$C$141,Calendar!$A$16:$A$141,"&gt;="&amp;MAX(V$7,$J131),Calendar!$A$16:$A$141,"&lt;="&amp;MIN(V$7+4,$K131))=0,0,IF($H131="","EXT",SUMIFS(Calendar!$C$16:$C$141,Calendar!$A$16:$A$141,"&gt;="&amp;MAX(V$7,$J131),Calendar!$A$16:$A$141,"&lt;="&amp;MIN(V$7+4,$K131))*$H131/$G131)))</x:f>
        <x:v>0</x:v>
      </x:c>
      <x:c r="W131" s="45" t="n">
        <x:f>IF(OR($J131="",$K131=""),"",IF(SUMIFS(Calendar!$C$16:$C$141,Calendar!$A$16:$A$141,"&gt;="&amp;MAX(W$7,$J131),Calendar!$A$16:$A$141,"&lt;="&amp;MIN(W$7+4,$K131))=0,0,IF($H131="","EXT",SUMIFS(Calendar!$C$16:$C$141,Calendar!$A$16:$A$141,"&gt;="&amp;MAX(W$7,$J131),Calendar!$A$16:$A$141,"&lt;="&amp;MIN(W$7+4,$K131))*$H131/$G131)))</x:f>
        <x:v>0</x:v>
      </x:c>
      <x:c r="X131" s="45" t="n">
        <x:f>IF(OR($J131="",$K131=""),"",IF(SUMIFS(Calendar!$C$16:$C$141,Calendar!$A$16:$A$141,"&gt;="&amp;MAX(X$7,$J131),Calendar!$A$16:$A$141,"&lt;="&amp;MIN(X$7+4,$K131))=0,0,IF($H131="","EXT",SUMIFS(Calendar!$C$16:$C$141,Calendar!$A$16:$A$141,"&gt;="&amp;MAX(X$7,$J131),Calendar!$A$16:$A$141,"&lt;="&amp;MIN(X$7+4,$K131))*$H131/$G131)))</x:f>
        <x:v>0</x:v>
      </x:c>
      <x:c r="Y131" s="45" t="n">
        <x:f>IF(OR($J131="",$K131=""),"",IF(SUMIFS(Calendar!$C$16:$C$141,Calendar!$A$16:$A$141,"&gt;="&amp;MAX(Y$7,$J131),Calendar!$A$16:$A$141,"&lt;="&amp;MIN(Y$7+4,$K131))=0,0,IF($H131="","EXT",SUMIFS(Calendar!$C$16:$C$141,Calendar!$A$16:$A$141,"&gt;="&amp;MAX(Y$7,$J131),Calendar!$A$16:$A$141,"&lt;="&amp;MIN(Y$7+4,$K131))*$H131/$G131)))</x:f>
        <x:v>0</x:v>
      </x:c>
      <x:c r="Z131" s="45" t="n">
        <x:f>IF(OR($J131="",$K131=""),"",IF(SUMIFS(Calendar!$C$16:$C$141,Calendar!$A$16:$A$141,"&gt;="&amp;MAX(Z$7,$J131),Calendar!$A$16:$A$141,"&lt;="&amp;MIN(Z$7+4,$K131))=0,0,IF($H131="","EXT",SUMIFS(Calendar!$C$16:$C$141,Calendar!$A$16:$A$141,"&gt;="&amp;MAX(Z$7,$J131),Calendar!$A$16:$A$141,"&lt;="&amp;MIN(Z$7+4,$K131))*$H131/$G131)))</x:f>
        <x:v>0</x:v>
      </x:c>
      <x:c r="AA131" s="45" t="n">
        <x:f>IF(OR($J131="",$K131=""),"",IF(SUMIFS(Calendar!$C$16:$C$141,Calendar!$A$16:$A$141,"&gt;="&amp;MAX(AA$7,$J131),Calendar!$A$16:$A$141,"&lt;="&amp;MIN(AA$7+4,$K131))=0,0,IF($H131="","EXT",SUMIFS(Calendar!$C$16:$C$141,Calendar!$A$16:$A$141,"&gt;="&amp;MAX(AA$7,$J131),Calendar!$A$16:$A$141,"&lt;="&amp;MIN(AA$7+4,$K131))*$H131/$G131)))</x:f>
        <x:v>0</x:v>
      </x:c>
      <x:c r="AB131" s="45" t="n">
        <x:f>IF(OR($J131="",$K131=""),"",IF(SUMIFS(Calendar!$C$16:$C$141,Calendar!$A$16:$A$141,"&gt;="&amp;MAX(AB$7,$J131),Calendar!$A$16:$A$141,"&lt;="&amp;MIN(AB$7+4,$K131))=0,0,IF($H131="","EXT",SUMIFS(Calendar!$C$16:$C$141,Calendar!$A$16:$A$141,"&gt;="&amp;MAX(AB$7,$J131),Calendar!$A$16:$A$141,"&lt;="&amp;MIN(AB$7+4,$K131))*$H131/$G131)))</x:f>
        <x:v>0</x:v>
      </x:c>
      <x:c r="AC131" s="45" t="n">
        <x:f>IF(OR($J131="",$K131=""),"",IF(SUMIFS(Calendar!$C$16:$C$141,Calendar!$A$16:$A$141,"&gt;="&amp;MAX(AC$7,$J131),Calendar!$A$16:$A$141,"&lt;="&amp;MIN(AC$7+4,$K131))=0,0,IF($H131="","EXT",SUMIFS(Calendar!$C$16:$C$141,Calendar!$A$16:$A$141,"&gt;="&amp;MAX(AC$7,$J131),Calendar!$A$16:$A$141,"&lt;="&amp;MIN(AC$7+4,$K131))*$H131/$G131)))</x:f>
        <x:v>0</x:v>
      </x:c>
      <x:c r="AD131" s="45" t="n">
        <x:f>IF(OR($J131="",$K131=""),"",IF(SUMIFS(Calendar!$C$16:$C$141,Calendar!$A$16:$A$141,"&gt;="&amp;MAX(AD$7,$J131),Calendar!$A$16:$A$141,"&lt;="&amp;MIN(AD$7+4,$K131))=0,0,IF($H131="","EXT",SUMIFS(Calendar!$C$16:$C$141,Calendar!$A$16:$A$141,"&gt;="&amp;MAX(AD$7,$J131),Calendar!$A$16:$A$141,"&lt;="&amp;MIN(AD$7+4,$K131))*$H131/$G131)))</x:f>
        <x:v>0.6</x:v>
      </x:c>
      <x:c r="AE131" s="45" t="n">
        <x:f>IF(OR($J131="",$K131=""),"",IF(SUMIFS(Calendar!$C$16:$C$141,Calendar!$A$16:$A$141,"&gt;="&amp;MAX(AE$7,$J131),Calendar!$A$16:$A$141,"&lt;="&amp;MIN(AE$7+4,$K131))=0,0,IF($H131="","EXT",SUMIFS(Calendar!$C$16:$C$141,Calendar!$A$16:$A$141,"&gt;="&amp;MAX(AE$7,$J131),Calendar!$A$16:$A$141,"&lt;="&amp;MIN(AE$7+4,$K131))*$H131/$G131)))</x:f>
        <x:v>0</x:v>
      </x:c>
      <x:c r="AF131" s="8" t="n">
        <x:f>IF(OR(M131&lt;&gt;"Scheduled",INDEX('Team and Gates'!$C$7:$C$13,MATCH($D131,'Team and Gates'!$A$7:$A$13,0))=""),"CHECK",SUM(N131:AE131)*INDEX('Team and Gates'!$C$7:$C$13,MATCH($D131,'Team and Gates'!$A$7:$A$13,0)))</x:f>
        <x:v>216</x:v>
      </x:c>
      <x:c r="AG131" s="46" t="str">
        <x:v>Release owner, QA and business owner record Go decision after UAT signoff, blocking defect closure, production access and rollback checks.</x:v>
      </x:c>
      <x:c r="AH131" s="46" t="str">
        <x:v>Dedicated working day after Feb 24 UAT approval. Confirm staffed Friday rollout and weekend on-call/rollback coverage.</x:v>
      </x:c>
    </x:row>
    <x:row r="132" ht="45" customHeight="1">
      <x:c r="A132" s="2" t="str">
        <x:v>BA-REL</x:v>
      </x:c>
      <x:c r="B132" s="2" t="str">
        <x:v>FSD / business</x:v>
      </x:c>
      <x:c r="C132" s="46" t="str">
        <x:v>Feb 26 production rollout support and controlled validation</x:v>
      </x:c>
      <x:c r="D132" s="20" t="str">
        <x:v>BA</x:v>
      </x:c>
      <x:c r="E132" s="46" t="str">
        <x:v>BA-GATE, A-GATE, B-GATE, Q-GATE, U-GATE</x:v>
      </x:c>
      <x:c r="F132" s="50" t="n">
        <x:v>77</x:v>
      </x:c>
      <x:c r="G132" s="50" t="n">
        <x:v>1</x:v>
      </x:c>
      <x:c r="H132" s="51" t="n">
        <x:v>0.6</x:v>
      </x:c>
      <x:c r="I132" s="2" t="n">
        <x:f>IF(OR(F132="",G132=""),"",F132+G132-1)</x:f>
        <x:v>77</x:v>
      </x:c>
      <x:c r="J132" s="5" t="n">
        <x:f>IF(OR(F132="",F132&lt;1,F132&gt;Calendar!$B$9),"",INDEX(Calendar!$A$16:$A$141,MATCH(F132,Calendar!$D$16:$D$141,0)))</x:f>
        <x:v>46444</x:v>
      </x:c>
      <x:c r="K132" s="5" t="n">
        <x:f>IF(OR(I132="",I132&lt;1,I132&gt;Calendar!$B$9),"",INDEX(Calendar!$A$16:$A$141,MATCH(I132,Calendar!$D$16:$D$141,0)))</x:f>
        <x:v>46444</x:v>
      </x:c>
      <x:c r="L132" s="53" t="n">
        <x:v>0</x:v>
      </x:c>
      <x:c r="M132" s="2" t="str">
        <x:f>IF(OR(F132="",G132="",H132=""),"Missing input",IF(OR(F132&lt;1,G132&lt;1,I132&gt;Calendar!$B$9),"Outside calendar",IF(F132&lt;MAX(INDEX($I$8:$I$157,MATCH("BA-GATE",$A$8:$A$157,0))+1,INDEX($I$8:$I$157,MATCH("A-GATE",$A$8:$A$157,0))+1,INDEX($I$8:$I$157,MATCH("B-GATE",$A$8:$A$157,0))+1,INDEX($I$8:$I$157,MATCH("Q-GATE",$A$8:$A$157,0))+1,INDEX($I$8:$I$157,MATCH("U-GATE",$A$8:$A$157,0))+1),"Dependency conflict","Scheduled")))</x:f>
        <x:v>Scheduled</x:v>
      </x:c>
      <x:c r="N132" s="45" t="n">
        <x:f>IF(OR($J132="",$K132=""),"",IF(SUMIFS(Calendar!$C$16:$C$141,Calendar!$A$16:$A$141,"&gt;="&amp;MAX(N$7,$J132),Calendar!$A$16:$A$141,"&lt;="&amp;MIN(N$7+4,$K132))=0,0,IF($H132="","EXT",SUMIFS(Calendar!$C$16:$C$141,Calendar!$A$16:$A$141,"&gt;="&amp;MAX(N$7,$J132),Calendar!$A$16:$A$141,"&lt;="&amp;MIN(N$7+4,$K132))*$H132/$G132)))</x:f>
        <x:v>0</x:v>
      </x:c>
      <x:c r="O132" s="45" t="n">
        <x:f>IF(OR($J132="",$K132=""),"",IF(SUMIFS(Calendar!$C$16:$C$141,Calendar!$A$16:$A$141,"&gt;="&amp;MAX(O$7,$J132),Calendar!$A$16:$A$141,"&lt;="&amp;MIN(O$7+4,$K132))=0,0,IF($H132="","EXT",SUMIFS(Calendar!$C$16:$C$141,Calendar!$A$16:$A$141,"&gt;="&amp;MAX(O$7,$J132),Calendar!$A$16:$A$141,"&lt;="&amp;MIN(O$7+4,$K132))*$H132/$G132)))</x:f>
        <x:v>0</x:v>
      </x:c>
      <x:c r="P132" s="45" t="n">
        <x:f>IF(OR($J132="",$K132=""),"",IF(SUMIFS(Calendar!$C$16:$C$141,Calendar!$A$16:$A$141,"&gt;="&amp;MAX(P$7,$J132),Calendar!$A$16:$A$141,"&lt;="&amp;MIN(P$7+4,$K132))=0,0,IF($H132="","EXT",SUMIFS(Calendar!$C$16:$C$141,Calendar!$A$16:$A$141,"&gt;="&amp;MAX(P$7,$J132),Calendar!$A$16:$A$141,"&lt;="&amp;MIN(P$7+4,$K132))*$H132/$G132)))</x:f>
        <x:v>0</x:v>
      </x:c>
      <x:c r="Q132" s="45" t="n">
        <x:f>IF(OR($J132="",$K132=""),"",IF(SUMIFS(Calendar!$C$16:$C$141,Calendar!$A$16:$A$141,"&gt;="&amp;MAX(Q$7,$J132),Calendar!$A$16:$A$141,"&lt;="&amp;MIN(Q$7+4,$K132))=0,0,IF($H132="","EXT",SUMIFS(Calendar!$C$16:$C$141,Calendar!$A$16:$A$141,"&gt;="&amp;MAX(Q$7,$J132),Calendar!$A$16:$A$141,"&lt;="&amp;MIN(Q$7+4,$K132))*$H132/$G132)))</x:f>
        <x:v>0</x:v>
      </x:c>
      <x:c r="R132" s="45" t="n">
        <x:f>IF(OR($J132="",$K132=""),"",IF(SUMIFS(Calendar!$C$16:$C$141,Calendar!$A$16:$A$141,"&gt;="&amp;MAX(R$7,$J132),Calendar!$A$16:$A$141,"&lt;="&amp;MIN(R$7+4,$K132))=0,0,IF($H132="","EXT",SUMIFS(Calendar!$C$16:$C$141,Calendar!$A$16:$A$141,"&gt;="&amp;MAX(R$7,$J132),Calendar!$A$16:$A$141,"&lt;="&amp;MIN(R$7+4,$K132))*$H132/$G132)))</x:f>
        <x:v>0</x:v>
      </x:c>
      <x:c r="S132" s="45" t="n">
        <x:f>IF(OR($J132="",$K132=""),"",IF(SUMIFS(Calendar!$C$16:$C$141,Calendar!$A$16:$A$141,"&gt;="&amp;MAX(S$7,$J132),Calendar!$A$16:$A$141,"&lt;="&amp;MIN(S$7+4,$K132))=0,0,IF($H132="","EXT",SUMIFS(Calendar!$C$16:$C$141,Calendar!$A$16:$A$141,"&gt;="&amp;MAX(S$7,$J132),Calendar!$A$16:$A$141,"&lt;="&amp;MIN(S$7+4,$K132))*$H132/$G132)))</x:f>
        <x:v>0</x:v>
      </x:c>
      <x:c r="T132" s="45" t="n">
        <x:f>IF(OR($J132="",$K132=""),"",IF(SUMIFS(Calendar!$C$16:$C$141,Calendar!$A$16:$A$141,"&gt;="&amp;MAX(T$7,$J132),Calendar!$A$16:$A$141,"&lt;="&amp;MIN(T$7+4,$K132))=0,0,IF($H132="","EXT",SUMIFS(Calendar!$C$16:$C$141,Calendar!$A$16:$A$141,"&gt;="&amp;MAX(T$7,$J132),Calendar!$A$16:$A$141,"&lt;="&amp;MIN(T$7+4,$K132))*$H132/$G132)))</x:f>
        <x:v>0</x:v>
      </x:c>
      <x:c r="U132" s="45" t="n">
        <x:f>IF(OR($J132="",$K132=""),"",IF(SUMIFS(Calendar!$C$16:$C$141,Calendar!$A$16:$A$141,"&gt;="&amp;MAX(U$7,$J132),Calendar!$A$16:$A$141,"&lt;="&amp;MIN(U$7+4,$K132))=0,0,IF($H132="","EXT",SUMIFS(Calendar!$C$16:$C$141,Calendar!$A$16:$A$141,"&gt;="&amp;MAX(U$7,$J132),Calendar!$A$16:$A$141,"&lt;="&amp;MIN(U$7+4,$K132))*$H132/$G132)))</x:f>
        <x:v>0</x:v>
      </x:c>
      <x:c r="V132" s="45" t="n">
        <x:f>IF(OR($J132="",$K132=""),"",IF(SUMIFS(Calendar!$C$16:$C$141,Calendar!$A$16:$A$141,"&gt;="&amp;MAX(V$7,$J132),Calendar!$A$16:$A$141,"&lt;="&amp;MIN(V$7+4,$K132))=0,0,IF($H132="","EXT",SUMIFS(Calendar!$C$16:$C$141,Calendar!$A$16:$A$141,"&gt;="&amp;MAX(V$7,$J132),Calendar!$A$16:$A$141,"&lt;="&amp;MIN(V$7+4,$K132))*$H132/$G132)))</x:f>
        <x:v>0</x:v>
      </x:c>
      <x:c r="W132" s="45" t="n">
        <x:f>IF(OR($J132="",$K132=""),"",IF(SUMIFS(Calendar!$C$16:$C$141,Calendar!$A$16:$A$141,"&gt;="&amp;MAX(W$7,$J132),Calendar!$A$16:$A$141,"&lt;="&amp;MIN(W$7+4,$K132))=0,0,IF($H132="","EXT",SUMIFS(Calendar!$C$16:$C$141,Calendar!$A$16:$A$141,"&gt;="&amp;MAX(W$7,$J132),Calendar!$A$16:$A$141,"&lt;="&amp;MIN(W$7+4,$K132))*$H132/$G132)))</x:f>
        <x:v>0</x:v>
      </x:c>
      <x:c r="X132" s="45" t="n">
        <x:f>IF(OR($J132="",$K132=""),"",IF(SUMIFS(Calendar!$C$16:$C$141,Calendar!$A$16:$A$141,"&gt;="&amp;MAX(X$7,$J132),Calendar!$A$16:$A$141,"&lt;="&amp;MIN(X$7+4,$K132))=0,0,IF($H132="","EXT",SUMIFS(Calendar!$C$16:$C$141,Calendar!$A$16:$A$141,"&gt;="&amp;MAX(X$7,$J132),Calendar!$A$16:$A$141,"&lt;="&amp;MIN(X$7+4,$K132))*$H132/$G132)))</x:f>
        <x:v>0</x:v>
      </x:c>
      <x:c r="Y132" s="45" t="n">
        <x:f>IF(OR($J132="",$K132=""),"",IF(SUMIFS(Calendar!$C$16:$C$141,Calendar!$A$16:$A$141,"&gt;="&amp;MAX(Y$7,$J132),Calendar!$A$16:$A$141,"&lt;="&amp;MIN(Y$7+4,$K132))=0,0,IF($H132="","EXT",SUMIFS(Calendar!$C$16:$C$141,Calendar!$A$16:$A$141,"&gt;="&amp;MAX(Y$7,$J132),Calendar!$A$16:$A$141,"&lt;="&amp;MIN(Y$7+4,$K132))*$H132/$G132)))</x:f>
        <x:v>0</x:v>
      </x:c>
      <x:c r="Z132" s="45" t="n">
        <x:f>IF(OR($J132="",$K132=""),"",IF(SUMIFS(Calendar!$C$16:$C$141,Calendar!$A$16:$A$141,"&gt;="&amp;MAX(Z$7,$J132),Calendar!$A$16:$A$141,"&lt;="&amp;MIN(Z$7+4,$K132))=0,0,IF($H132="","EXT",SUMIFS(Calendar!$C$16:$C$141,Calendar!$A$16:$A$141,"&gt;="&amp;MAX(Z$7,$J132),Calendar!$A$16:$A$141,"&lt;="&amp;MIN(Z$7+4,$K132))*$H132/$G132)))</x:f>
        <x:v>0</x:v>
      </x:c>
      <x:c r="AA132" s="45" t="n">
        <x:f>IF(OR($J132="",$K132=""),"",IF(SUMIFS(Calendar!$C$16:$C$141,Calendar!$A$16:$A$141,"&gt;="&amp;MAX(AA$7,$J132),Calendar!$A$16:$A$141,"&lt;="&amp;MIN(AA$7+4,$K132))=0,0,IF($H132="","EXT",SUMIFS(Calendar!$C$16:$C$141,Calendar!$A$16:$A$141,"&gt;="&amp;MAX(AA$7,$J132),Calendar!$A$16:$A$141,"&lt;="&amp;MIN(AA$7+4,$K132))*$H132/$G132)))</x:f>
        <x:v>0</x:v>
      </x:c>
      <x:c r="AB132" s="45" t="n">
        <x:f>IF(OR($J132="",$K132=""),"",IF(SUMIFS(Calendar!$C$16:$C$141,Calendar!$A$16:$A$141,"&gt;="&amp;MAX(AB$7,$J132),Calendar!$A$16:$A$141,"&lt;="&amp;MIN(AB$7+4,$K132))=0,0,IF($H132="","EXT",SUMIFS(Calendar!$C$16:$C$141,Calendar!$A$16:$A$141,"&gt;="&amp;MAX(AB$7,$J132),Calendar!$A$16:$A$141,"&lt;="&amp;MIN(AB$7+4,$K132))*$H132/$G132)))</x:f>
        <x:v>0</x:v>
      </x:c>
      <x:c r="AC132" s="45" t="n">
        <x:f>IF(OR($J132="",$K132=""),"",IF(SUMIFS(Calendar!$C$16:$C$141,Calendar!$A$16:$A$141,"&gt;="&amp;MAX(AC$7,$J132),Calendar!$A$16:$A$141,"&lt;="&amp;MIN(AC$7+4,$K132))=0,0,IF($H132="","EXT",SUMIFS(Calendar!$C$16:$C$141,Calendar!$A$16:$A$141,"&gt;="&amp;MAX(AC$7,$J132),Calendar!$A$16:$A$141,"&lt;="&amp;MIN(AC$7+4,$K132))*$H132/$G132)))</x:f>
        <x:v>0</x:v>
      </x:c>
      <x:c r="AD132" s="45" t="n">
        <x:f>IF(OR($J132="",$K132=""),"",IF(SUMIFS(Calendar!$C$16:$C$141,Calendar!$A$16:$A$141,"&gt;="&amp;MAX(AD$7,$J132),Calendar!$A$16:$A$141,"&lt;="&amp;MIN(AD$7+4,$K132))=0,0,IF($H132="","EXT",SUMIFS(Calendar!$C$16:$C$141,Calendar!$A$16:$A$141,"&gt;="&amp;MAX(AD$7,$J132),Calendar!$A$16:$A$141,"&lt;="&amp;MIN(AD$7+4,$K132))*$H132/$G132)))</x:f>
        <x:v>0.6</x:v>
      </x:c>
      <x:c r="AE132" s="45" t="n">
        <x:f>IF(OR($J132="",$K132=""),"",IF(SUMIFS(Calendar!$C$16:$C$141,Calendar!$A$16:$A$141,"&gt;="&amp;MAX(AE$7,$J132),Calendar!$A$16:$A$141,"&lt;="&amp;MIN(AE$7+4,$K132))=0,0,IF($H132="","EXT",SUMIFS(Calendar!$C$16:$C$141,Calendar!$A$16:$A$141,"&gt;="&amp;MAX(AE$7,$J132),Calendar!$A$16:$A$141,"&lt;="&amp;MIN(AE$7+4,$K132))*$H132/$G132)))</x:f>
        <x:v>0</x:v>
      </x:c>
      <x:c r="AF132" s="8" t="n">
        <x:f>IF(OR(M132&lt;&gt;"Scheduled",INDEX('Team and Gates'!$C$7:$C$13,MATCH($D132,'Team and Gates'!$A$7:$A$13,0))=""),"CHECK",SUM(N132:AE132)*INDEX('Team and Gates'!$C$7:$C$13,MATCH($D132,'Team and Gates'!$A$7:$A$13,0)))</x:f>
        <x:v>216</x:v>
      </x:c>
      <x:c r="AG132" s="46" t="str">
        <x:v>Deploy after Go decision; pass technical/business smoke and approved-send checks. Record monitoring, rollback and on-call ownership.</x:v>
      </x:c>
      <x:c r="AH132" s="46" t="str">
        <x:v>Friday rollout needs an agreed deployment/rollback window and weekend on-call coverage.</x:v>
      </x:c>
    </x:row>
    <x:row r="133" ht="45" customHeight="1">
      <x:c r="A133" s="39" t="str">
        <x:v>BA18</x:v>
      </x:c>
      <x:c r="B133" s="39" t="str">
        <x:v>FSD / business</x:v>
      </x:c>
      <x:c r="C133" s="47" t="str">
        <x:v>Business launch communications, training and Mar 5 handover</x:v>
      </x:c>
      <x:c r="D133" s="20" t="str">
        <x:v>BA</x:v>
      </x:c>
      <x:c r="E133" s="47" t="str">
        <x:v>BA17, Q17, U17, BA-REL</x:v>
      </x:c>
      <x:c r="F133" s="50" t="n">
        <x:v>78</x:v>
      </x:c>
      <x:c r="G133" s="50" t="n">
        <x:v>5</x:v>
      </x:c>
      <x:c r="H133" s="51" t="n">
        <x:v>2</x:v>
      </x:c>
      <x:c r="I133" s="39" t="n">
        <x:f>IF(OR(F133="",G133=""),"",F133+G133-1)</x:f>
        <x:v>82</x:v>
      </x:c>
      <x:c r="J133" s="41" t="n">
        <x:f>IF(OR(F133="",F133&lt;1,F133&gt;Calendar!$B$9),"",INDEX(Calendar!$A$16:$A$141,MATCH(F133,Calendar!$D$16:$D$141,0)))</x:f>
        <x:v>46447</x:v>
      </x:c>
      <x:c r="K133" s="41" t="n">
        <x:f>IF(OR(I133="",I133&lt;1,I133&gt;Calendar!$B$9),"",INDEX(Calendar!$A$16:$A$141,MATCH(I133,Calendar!$D$16:$D$141,0)))</x:f>
        <x:v>46451</x:v>
      </x:c>
      <x:c r="L133" s="53" t="n">
        <x:v>0</x:v>
      </x:c>
      <x:c r="M133" s="39" t="str">
        <x:f>IF(OR(F133="",G133="",H133=""),"Missing input",IF(OR(F133&lt;1,G133&lt;1,I133&gt;Calendar!$B$9),"Outside calendar",IF(F133&lt;MAX(INDEX($I$8:$I$157,MATCH("BA17",$A$8:$A$157,0))+1,INDEX($I$8:$I$157,MATCH("Q17",$A$8:$A$157,0))+1,INDEX($I$8:$I$157,MATCH("U17",$A$8:$A$157,0))+1,INDEX($I$8:$I$157,MATCH("BA-REL",$A$8:$A$157,0))+1),"Dependency conflict","Scheduled")))</x:f>
        <x:v>Scheduled</x:v>
      </x:c>
      <x:c r="N133" s="45" t="n">
        <x:f>IF(OR($J133="",$K133=""),"",IF(SUMIFS(Calendar!$C$16:$C$141,Calendar!$A$16:$A$141,"&gt;="&amp;MAX(N$7,$J133),Calendar!$A$16:$A$141,"&lt;="&amp;MIN(N$7+4,$K133))=0,0,IF($H133="","EXT",SUMIFS(Calendar!$C$16:$C$141,Calendar!$A$16:$A$141,"&gt;="&amp;MAX(N$7,$J133),Calendar!$A$16:$A$141,"&lt;="&amp;MIN(N$7+4,$K133))*$H133/$G133)))</x:f>
        <x:v>0</x:v>
      </x:c>
      <x:c r="O133" s="45" t="n">
        <x:f>IF(OR($J133="",$K133=""),"",IF(SUMIFS(Calendar!$C$16:$C$141,Calendar!$A$16:$A$141,"&gt;="&amp;MAX(O$7,$J133),Calendar!$A$16:$A$141,"&lt;="&amp;MIN(O$7+4,$K133))=0,0,IF($H133="","EXT",SUMIFS(Calendar!$C$16:$C$141,Calendar!$A$16:$A$141,"&gt;="&amp;MAX(O$7,$J133),Calendar!$A$16:$A$141,"&lt;="&amp;MIN(O$7+4,$K133))*$H133/$G133)))</x:f>
        <x:v>0</x:v>
      </x:c>
      <x:c r="P133" s="45" t="n">
        <x:f>IF(OR($J133="",$K133=""),"",IF(SUMIFS(Calendar!$C$16:$C$141,Calendar!$A$16:$A$141,"&gt;="&amp;MAX(P$7,$J133),Calendar!$A$16:$A$141,"&lt;="&amp;MIN(P$7+4,$K133))=0,0,IF($H133="","EXT",SUMIFS(Calendar!$C$16:$C$141,Calendar!$A$16:$A$141,"&gt;="&amp;MAX(P$7,$J133),Calendar!$A$16:$A$141,"&lt;="&amp;MIN(P$7+4,$K133))*$H133/$G133)))</x:f>
        <x:v>0</x:v>
      </x:c>
      <x:c r="Q133" s="45" t="n">
        <x:f>IF(OR($J133="",$K133=""),"",IF(SUMIFS(Calendar!$C$16:$C$141,Calendar!$A$16:$A$141,"&gt;="&amp;MAX(Q$7,$J133),Calendar!$A$16:$A$141,"&lt;="&amp;MIN(Q$7+4,$K133))=0,0,IF($H133="","EXT",SUMIFS(Calendar!$C$16:$C$141,Calendar!$A$16:$A$141,"&gt;="&amp;MAX(Q$7,$J133),Calendar!$A$16:$A$141,"&lt;="&amp;MIN(Q$7+4,$K133))*$H133/$G133)))</x:f>
        <x:v>0</x:v>
      </x:c>
      <x:c r="R133" s="45" t="n">
        <x:f>IF(OR($J133="",$K133=""),"",IF(SUMIFS(Calendar!$C$16:$C$141,Calendar!$A$16:$A$141,"&gt;="&amp;MAX(R$7,$J133),Calendar!$A$16:$A$141,"&lt;="&amp;MIN(R$7+4,$K133))=0,0,IF($H133="","EXT",SUMIFS(Calendar!$C$16:$C$141,Calendar!$A$16:$A$141,"&gt;="&amp;MAX(R$7,$J133),Calendar!$A$16:$A$141,"&lt;="&amp;MIN(R$7+4,$K133))*$H133/$G133)))</x:f>
        <x:v>0</x:v>
      </x:c>
      <x:c r="S133" s="45" t="n">
        <x:f>IF(OR($J133="",$K133=""),"",IF(SUMIFS(Calendar!$C$16:$C$141,Calendar!$A$16:$A$141,"&gt;="&amp;MAX(S$7,$J133),Calendar!$A$16:$A$141,"&lt;="&amp;MIN(S$7+4,$K133))=0,0,IF($H133="","EXT",SUMIFS(Calendar!$C$16:$C$141,Calendar!$A$16:$A$141,"&gt;="&amp;MAX(S$7,$J133),Calendar!$A$16:$A$141,"&lt;="&amp;MIN(S$7+4,$K133))*$H133/$G133)))</x:f>
        <x:v>0</x:v>
      </x:c>
      <x:c r="T133" s="45" t="n">
        <x:f>IF(OR($J133="",$K133=""),"",IF(SUMIFS(Calendar!$C$16:$C$141,Calendar!$A$16:$A$141,"&gt;="&amp;MAX(T$7,$J133),Calendar!$A$16:$A$141,"&lt;="&amp;MIN(T$7+4,$K133))=0,0,IF($H133="","EXT",SUMIFS(Calendar!$C$16:$C$141,Calendar!$A$16:$A$141,"&gt;="&amp;MAX(T$7,$J133),Calendar!$A$16:$A$141,"&lt;="&amp;MIN(T$7+4,$K133))*$H133/$G133)))</x:f>
        <x:v>0</x:v>
      </x:c>
      <x:c r="U133" s="45" t="n">
        <x:f>IF(OR($J133="",$K133=""),"",IF(SUMIFS(Calendar!$C$16:$C$141,Calendar!$A$16:$A$141,"&gt;="&amp;MAX(U$7,$J133),Calendar!$A$16:$A$141,"&lt;="&amp;MIN(U$7+4,$K133))=0,0,IF($H133="","EXT",SUMIFS(Calendar!$C$16:$C$141,Calendar!$A$16:$A$141,"&gt;="&amp;MAX(U$7,$J133),Calendar!$A$16:$A$141,"&lt;="&amp;MIN(U$7+4,$K133))*$H133/$G133)))</x:f>
        <x:v>0</x:v>
      </x:c>
      <x:c r="V133" s="45" t="n">
        <x:f>IF(OR($J133="",$K133=""),"",IF(SUMIFS(Calendar!$C$16:$C$141,Calendar!$A$16:$A$141,"&gt;="&amp;MAX(V$7,$J133),Calendar!$A$16:$A$141,"&lt;="&amp;MIN(V$7+4,$K133))=0,0,IF($H133="","EXT",SUMIFS(Calendar!$C$16:$C$141,Calendar!$A$16:$A$141,"&gt;="&amp;MAX(V$7,$J133),Calendar!$A$16:$A$141,"&lt;="&amp;MIN(V$7+4,$K133))*$H133/$G133)))</x:f>
        <x:v>0</x:v>
      </x:c>
      <x:c r="W133" s="45" t="n">
        <x:f>IF(OR($J133="",$K133=""),"",IF(SUMIFS(Calendar!$C$16:$C$141,Calendar!$A$16:$A$141,"&gt;="&amp;MAX(W$7,$J133),Calendar!$A$16:$A$141,"&lt;="&amp;MIN(W$7+4,$K133))=0,0,IF($H133="","EXT",SUMIFS(Calendar!$C$16:$C$141,Calendar!$A$16:$A$141,"&gt;="&amp;MAX(W$7,$J133),Calendar!$A$16:$A$141,"&lt;="&amp;MIN(W$7+4,$K133))*$H133/$G133)))</x:f>
        <x:v>0</x:v>
      </x:c>
      <x:c r="X133" s="45" t="n">
        <x:f>IF(OR($J133="",$K133=""),"",IF(SUMIFS(Calendar!$C$16:$C$141,Calendar!$A$16:$A$141,"&gt;="&amp;MAX(X$7,$J133),Calendar!$A$16:$A$141,"&lt;="&amp;MIN(X$7+4,$K133))=0,0,IF($H133="","EXT",SUMIFS(Calendar!$C$16:$C$141,Calendar!$A$16:$A$141,"&gt;="&amp;MAX(X$7,$J133),Calendar!$A$16:$A$141,"&lt;="&amp;MIN(X$7+4,$K133))*$H133/$G133)))</x:f>
        <x:v>0</x:v>
      </x:c>
      <x:c r="Y133" s="45" t="n">
        <x:f>IF(OR($J133="",$K133=""),"",IF(SUMIFS(Calendar!$C$16:$C$141,Calendar!$A$16:$A$141,"&gt;="&amp;MAX(Y$7,$J133),Calendar!$A$16:$A$141,"&lt;="&amp;MIN(Y$7+4,$K133))=0,0,IF($H133="","EXT",SUMIFS(Calendar!$C$16:$C$141,Calendar!$A$16:$A$141,"&gt;="&amp;MAX(Y$7,$J133),Calendar!$A$16:$A$141,"&lt;="&amp;MIN(Y$7+4,$K133))*$H133/$G133)))</x:f>
        <x:v>0</x:v>
      </x:c>
      <x:c r="Z133" s="45" t="n">
        <x:f>IF(OR($J133="",$K133=""),"",IF(SUMIFS(Calendar!$C$16:$C$141,Calendar!$A$16:$A$141,"&gt;="&amp;MAX(Z$7,$J133),Calendar!$A$16:$A$141,"&lt;="&amp;MIN(Z$7+4,$K133))=0,0,IF($H133="","EXT",SUMIFS(Calendar!$C$16:$C$141,Calendar!$A$16:$A$141,"&gt;="&amp;MAX(Z$7,$J133),Calendar!$A$16:$A$141,"&lt;="&amp;MIN(Z$7+4,$K133))*$H133/$G133)))</x:f>
        <x:v>0</x:v>
      </x:c>
      <x:c r="AA133" s="45" t="n">
        <x:f>IF(OR($J133="",$K133=""),"",IF(SUMIFS(Calendar!$C$16:$C$141,Calendar!$A$16:$A$141,"&gt;="&amp;MAX(AA$7,$J133),Calendar!$A$16:$A$141,"&lt;="&amp;MIN(AA$7+4,$K133))=0,0,IF($H133="","EXT",SUMIFS(Calendar!$C$16:$C$141,Calendar!$A$16:$A$141,"&gt;="&amp;MAX(AA$7,$J133),Calendar!$A$16:$A$141,"&lt;="&amp;MIN(AA$7+4,$K133))*$H133/$G133)))</x:f>
        <x:v>0</x:v>
      </x:c>
      <x:c r="AB133" s="45" t="n">
        <x:f>IF(OR($J133="",$K133=""),"",IF(SUMIFS(Calendar!$C$16:$C$141,Calendar!$A$16:$A$141,"&gt;="&amp;MAX(AB$7,$J133),Calendar!$A$16:$A$141,"&lt;="&amp;MIN(AB$7+4,$K133))=0,0,IF($H133="","EXT",SUMIFS(Calendar!$C$16:$C$141,Calendar!$A$16:$A$141,"&gt;="&amp;MAX(AB$7,$J133),Calendar!$A$16:$A$141,"&lt;="&amp;MIN(AB$7+4,$K133))*$H133/$G133)))</x:f>
        <x:v>0</x:v>
      </x:c>
      <x:c r="AC133" s="45" t="n">
        <x:f>IF(OR($J133="",$K133=""),"",IF(SUMIFS(Calendar!$C$16:$C$141,Calendar!$A$16:$A$141,"&gt;="&amp;MAX(AC$7,$J133),Calendar!$A$16:$A$141,"&lt;="&amp;MIN(AC$7+4,$K133))=0,0,IF($H133="","EXT",SUMIFS(Calendar!$C$16:$C$141,Calendar!$A$16:$A$141,"&gt;="&amp;MAX(AC$7,$J133),Calendar!$A$16:$A$141,"&lt;="&amp;MIN(AC$7+4,$K133))*$H133/$G133)))</x:f>
        <x:v>0</x:v>
      </x:c>
      <x:c r="AD133" s="45" t="n">
        <x:f>IF(OR($J133="",$K133=""),"",IF(SUMIFS(Calendar!$C$16:$C$141,Calendar!$A$16:$A$141,"&gt;="&amp;MAX(AD$7,$J133),Calendar!$A$16:$A$141,"&lt;="&amp;MIN(AD$7+4,$K133))=0,0,IF($H133="","EXT",SUMIFS(Calendar!$C$16:$C$141,Calendar!$A$16:$A$141,"&gt;="&amp;MAX(AD$7,$J133),Calendar!$A$16:$A$141,"&lt;="&amp;MIN(AD$7+4,$K133))*$H133/$G133)))</x:f>
        <x:v>0</x:v>
      </x:c>
      <x:c r="AE133" s="45" t="n">
        <x:f>IF(OR($J133="",$K133=""),"",IF(SUMIFS(Calendar!$C$16:$C$141,Calendar!$A$16:$A$141,"&gt;="&amp;MAX(AE$7,$J133),Calendar!$A$16:$A$141,"&lt;="&amp;MIN(AE$7+4,$K133))=0,0,IF($H133="","EXT",SUMIFS(Calendar!$C$16:$C$141,Calendar!$A$16:$A$141,"&gt;="&amp;MAX(AE$7,$J133),Calendar!$A$16:$A$141,"&lt;="&amp;MIN(AE$7+4,$K133))*$H133/$G133)))</x:f>
        <x:v>2</x:v>
      </x:c>
      <x:c r="AF133" s="8" t="n">
        <x:f>IF(OR(M133&lt;&gt;"Scheduled",INDEX('Team and Gates'!$C$7:$C$13,MATCH($D133,'Team and Gates'!$A$7:$A$13,0))=""),"CHECK",SUM(N133:AE133)*INDEX('Team and Gates'!$C$7:$C$13,MATCH($D133,'Team and Gates'!$A$7:$A$13,0)))</x:f>
        <x:v>720</x:v>
      </x:c>
      <x:c r="AG133" s="46" t="str">
        <x:v>After Feb 26 production release, complete monitoring, defect retests and service handover by Mar 5.</x:v>
      </x:c>
      <x:c r="AH133" s="46" t="str">
        <x:v>Hypercare Mar 1-5; production rollout and Go/No-Go are separately scheduled Feb 25-26.</x:v>
      </x:c>
    </x:row>
    <x:row r="134" ht="45" customHeight="1">
      <x:c r="A134" s="2" t="str">
        <x:v>F01</x:v>
      </x:c>
      <x:c r="B134" s="2" t="str">
        <x:v>Design / frontend</x:v>
      </x:c>
      <x:c r="C134" s="46" t="str">
        <x:v>Map AM journeys and design Dashboard/Triage/Workspace wireframes</x:v>
      </x:c>
      <x:c r="D134" s="22" t="str">
        <x:v>UI/UX</x:v>
      </x:c>
      <x:c r="E134" s="46" t="str"/>
      <x:c r="F134" s="50" t="n">
        <x:v>1</x:v>
      </x:c>
      <x:c r="G134" s="50" t="n">
        <x:v>5</x:v>
      </x:c>
      <x:c r="H134" s="51" t="n">
        <x:v>4</x:v>
      </x:c>
      <x:c r="I134" s="2" t="n">
        <x:f>IF(OR(F134="",G134=""),"",F134+G134-1)</x:f>
        <x:v>5</x:v>
      </x:c>
      <x:c r="J134" s="5" t="n">
        <x:f>IF(OR(F134="",F134&lt;1,F134&gt;Calendar!$B$9),"",INDEX(Calendar!$A$16:$A$141,MATCH(F134,Calendar!$D$16:$D$141,0)))</x:f>
        <x:v>46328</x:v>
      </x:c>
      <x:c r="K134" s="5" t="n">
        <x:f>IF(OR(I134="",I134&lt;1,I134&gt;Calendar!$B$9),"",INDEX(Calendar!$A$16:$A$141,MATCH(I134,Calendar!$D$16:$D$141,0)))</x:f>
        <x:v>46332</x:v>
      </x:c>
      <x:c r="L134" s="53" t="n">
        <x:v>0</x:v>
      </x:c>
      <x:c r="M134" s="2" t="str">
        <x:f>IF(OR(F134="",G134="",H134=""),"Missing input",IF(OR(F134&lt;1,G134&lt;1,I134&gt;Calendar!$B$9),"Outside calendar",IF(F134&lt;1,"Dependency conflict","Scheduled")))</x:f>
        <x:v>Scheduled</x:v>
      </x:c>
      <x:c r="N134" s="45" t="n">
        <x:f>IF(OR($J134="",$K134=""),"",IF(SUMIFS(Calendar!$C$16:$C$141,Calendar!$A$16:$A$141,"&gt;="&amp;MAX(N$7,$J134),Calendar!$A$16:$A$141,"&lt;="&amp;MIN(N$7+4,$K134))=0,0,IF($H134="","EXT",SUMIFS(Calendar!$C$16:$C$141,Calendar!$A$16:$A$141,"&gt;="&amp;MAX(N$7,$J134),Calendar!$A$16:$A$141,"&lt;="&amp;MIN(N$7+4,$K134))*$H134/$G134)))</x:f>
        <x:v>4</x:v>
      </x:c>
      <x:c r="O134" s="45" t="n">
        <x:f>IF(OR($J134="",$K134=""),"",IF(SUMIFS(Calendar!$C$16:$C$141,Calendar!$A$16:$A$141,"&gt;="&amp;MAX(O$7,$J134),Calendar!$A$16:$A$141,"&lt;="&amp;MIN(O$7+4,$K134))=0,0,IF($H134="","EXT",SUMIFS(Calendar!$C$16:$C$141,Calendar!$A$16:$A$141,"&gt;="&amp;MAX(O$7,$J134),Calendar!$A$16:$A$141,"&lt;="&amp;MIN(O$7+4,$K134))*$H134/$G134)))</x:f>
        <x:v>0</x:v>
      </x:c>
      <x:c r="P134" s="45" t="n">
        <x:f>IF(OR($J134="",$K134=""),"",IF(SUMIFS(Calendar!$C$16:$C$141,Calendar!$A$16:$A$141,"&gt;="&amp;MAX(P$7,$J134),Calendar!$A$16:$A$141,"&lt;="&amp;MIN(P$7+4,$K134))=0,0,IF($H134="","EXT",SUMIFS(Calendar!$C$16:$C$141,Calendar!$A$16:$A$141,"&gt;="&amp;MAX(P$7,$J134),Calendar!$A$16:$A$141,"&lt;="&amp;MIN(P$7+4,$K134))*$H134/$G134)))</x:f>
        <x:v>0</x:v>
      </x:c>
      <x:c r="Q134" s="45" t="n">
        <x:f>IF(OR($J134="",$K134=""),"",IF(SUMIFS(Calendar!$C$16:$C$141,Calendar!$A$16:$A$141,"&gt;="&amp;MAX(Q$7,$J134),Calendar!$A$16:$A$141,"&lt;="&amp;MIN(Q$7+4,$K134))=0,0,IF($H134="","EXT",SUMIFS(Calendar!$C$16:$C$141,Calendar!$A$16:$A$141,"&gt;="&amp;MAX(Q$7,$J134),Calendar!$A$16:$A$141,"&lt;="&amp;MIN(Q$7+4,$K134))*$H134/$G134)))</x:f>
        <x:v>0</x:v>
      </x:c>
      <x:c r="R134" s="45" t="n">
        <x:f>IF(OR($J134="",$K134=""),"",IF(SUMIFS(Calendar!$C$16:$C$141,Calendar!$A$16:$A$141,"&gt;="&amp;MAX(R$7,$J134),Calendar!$A$16:$A$141,"&lt;="&amp;MIN(R$7+4,$K134))=0,0,IF($H134="","EXT",SUMIFS(Calendar!$C$16:$C$141,Calendar!$A$16:$A$141,"&gt;="&amp;MAX(R$7,$J134),Calendar!$A$16:$A$141,"&lt;="&amp;MIN(R$7+4,$K134))*$H134/$G134)))</x:f>
        <x:v>0</x:v>
      </x:c>
      <x:c r="S134" s="45" t="n">
        <x:f>IF(OR($J134="",$K134=""),"",IF(SUMIFS(Calendar!$C$16:$C$141,Calendar!$A$16:$A$141,"&gt;="&amp;MAX(S$7,$J134),Calendar!$A$16:$A$141,"&lt;="&amp;MIN(S$7+4,$K134))=0,0,IF($H134="","EXT",SUMIFS(Calendar!$C$16:$C$141,Calendar!$A$16:$A$141,"&gt;="&amp;MAX(S$7,$J134),Calendar!$A$16:$A$141,"&lt;="&amp;MIN(S$7+4,$K134))*$H134/$G134)))</x:f>
        <x:v>0</x:v>
      </x:c>
      <x:c r="T134" s="45" t="n">
        <x:f>IF(OR($J134="",$K134=""),"",IF(SUMIFS(Calendar!$C$16:$C$141,Calendar!$A$16:$A$141,"&gt;="&amp;MAX(T$7,$J134),Calendar!$A$16:$A$141,"&lt;="&amp;MIN(T$7+4,$K134))=0,0,IF($H134="","EXT",SUMIFS(Calendar!$C$16:$C$141,Calendar!$A$16:$A$141,"&gt;="&amp;MAX(T$7,$J134),Calendar!$A$16:$A$141,"&lt;="&amp;MIN(T$7+4,$K134))*$H134/$G134)))</x:f>
        <x:v>0</x:v>
      </x:c>
      <x:c r="U134" s="45" t="n">
        <x:f>IF(OR($J134="",$K134=""),"",IF(SUMIFS(Calendar!$C$16:$C$141,Calendar!$A$16:$A$141,"&gt;="&amp;MAX(U$7,$J134),Calendar!$A$16:$A$141,"&lt;="&amp;MIN(U$7+4,$K134))=0,0,IF($H134="","EXT",SUMIFS(Calendar!$C$16:$C$141,Calendar!$A$16:$A$141,"&gt;="&amp;MAX(U$7,$J134),Calendar!$A$16:$A$141,"&lt;="&amp;MIN(U$7+4,$K134))*$H134/$G134)))</x:f>
        <x:v>0</x:v>
      </x:c>
      <x:c r="V134" s="45" t="n">
        <x:f>IF(OR($J134="",$K134=""),"",IF(SUMIFS(Calendar!$C$16:$C$141,Calendar!$A$16:$A$141,"&gt;="&amp;MAX(V$7,$J134),Calendar!$A$16:$A$141,"&lt;="&amp;MIN(V$7+4,$K134))=0,0,IF($H134="","EXT",SUMIFS(Calendar!$C$16:$C$141,Calendar!$A$16:$A$141,"&gt;="&amp;MAX(V$7,$J134),Calendar!$A$16:$A$141,"&lt;="&amp;MIN(V$7+4,$K134))*$H134/$G134)))</x:f>
        <x:v>0</x:v>
      </x:c>
      <x:c r="W134" s="45" t="n">
        <x:f>IF(OR($J134="",$K134=""),"",IF(SUMIFS(Calendar!$C$16:$C$141,Calendar!$A$16:$A$141,"&gt;="&amp;MAX(W$7,$J134),Calendar!$A$16:$A$141,"&lt;="&amp;MIN(W$7+4,$K134))=0,0,IF($H134="","EXT",SUMIFS(Calendar!$C$16:$C$141,Calendar!$A$16:$A$141,"&gt;="&amp;MAX(W$7,$J134),Calendar!$A$16:$A$141,"&lt;="&amp;MIN(W$7+4,$K134))*$H134/$G134)))</x:f>
        <x:v>0</x:v>
      </x:c>
      <x:c r="X134" s="45" t="n">
        <x:f>IF(OR($J134="",$K134=""),"",IF(SUMIFS(Calendar!$C$16:$C$141,Calendar!$A$16:$A$141,"&gt;="&amp;MAX(X$7,$J134),Calendar!$A$16:$A$141,"&lt;="&amp;MIN(X$7+4,$K134))=0,0,IF($H134="","EXT",SUMIFS(Calendar!$C$16:$C$141,Calendar!$A$16:$A$141,"&gt;="&amp;MAX(X$7,$J134),Calendar!$A$16:$A$141,"&lt;="&amp;MIN(X$7+4,$K134))*$H134/$G134)))</x:f>
        <x:v>0</x:v>
      </x:c>
      <x:c r="Y134" s="45" t="n">
        <x:f>IF(OR($J134="",$K134=""),"",IF(SUMIFS(Calendar!$C$16:$C$141,Calendar!$A$16:$A$141,"&gt;="&amp;MAX(Y$7,$J134),Calendar!$A$16:$A$141,"&lt;="&amp;MIN(Y$7+4,$K134))=0,0,IF($H134="","EXT",SUMIFS(Calendar!$C$16:$C$141,Calendar!$A$16:$A$141,"&gt;="&amp;MAX(Y$7,$J134),Calendar!$A$16:$A$141,"&lt;="&amp;MIN(Y$7+4,$K134))*$H134/$G134)))</x:f>
        <x:v>0</x:v>
      </x:c>
      <x:c r="Z134" s="45" t="n">
        <x:f>IF(OR($J134="",$K134=""),"",IF(SUMIFS(Calendar!$C$16:$C$141,Calendar!$A$16:$A$141,"&gt;="&amp;MAX(Z$7,$J134),Calendar!$A$16:$A$141,"&lt;="&amp;MIN(Z$7+4,$K134))=0,0,IF($H134="","EXT",SUMIFS(Calendar!$C$16:$C$141,Calendar!$A$16:$A$141,"&gt;="&amp;MAX(Z$7,$J134),Calendar!$A$16:$A$141,"&lt;="&amp;MIN(Z$7+4,$K134))*$H134/$G134)))</x:f>
        <x:v>0</x:v>
      </x:c>
      <x:c r="AA134" s="45" t="n">
        <x:f>IF(OR($J134="",$K134=""),"",IF(SUMIFS(Calendar!$C$16:$C$141,Calendar!$A$16:$A$141,"&gt;="&amp;MAX(AA$7,$J134),Calendar!$A$16:$A$141,"&lt;="&amp;MIN(AA$7+4,$K134))=0,0,IF($H134="","EXT",SUMIFS(Calendar!$C$16:$C$141,Calendar!$A$16:$A$141,"&gt;="&amp;MAX(AA$7,$J134),Calendar!$A$16:$A$141,"&lt;="&amp;MIN(AA$7+4,$K134))*$H134/$G134)))</x:f>
        <x:v>0</x:v>
      </x:c>
      <x:c r="AB134" s="45" t="n">
        <x:f>IF(OR($J134="",$K134=""),"",IF(SUMIFS(Calendar!$C$16:$C$141,Calendar!$A$16:$A$141,"&gt;="&amp;MAX(AB$7,$J134),Calendar!$A$16:$A$141,"&lt;="&amp;MIN(AB$7+4,$K134))=0,0,IF($H134="","EXT",SUMIFS(Calendar!$C$16:$C$141,Calendar!$A$16:$A$141,"&gt;="&amp;MAX(AB$7,$J134),Calendar!$A$16:$A$141,"&lt;="&amp;MIN(AB$7+4,$K134))*$H134/$G134)))</x:f>
        <x:v>0</x:v>
      </x:c>
      <x:c r="AC134" s="45" t="n">
        <x:f>IF(OR($J134="",$K134=""),"",IF(SUMIFS(Calendar!$C$16:$C$141,Calendar!$A$16:$A$141,"&gt;="&amp;MAX(AC$7,$J134),Calendar!$A$16:$A$141,"&lt;="&amp;MIN(AC$7+4,$K134))=0,0,IF($H134="","EXT",SUMIFS(Calendar!$C$16:$C$141,Calendar!$A$16:$A$141,"&gt;="&amp;MAX(AC$7,$J134),Calendar!$A$16:$A$141,"&lt;="&amp;MIN(AC$7+4,$K134))*$H134/$G134)))</x:f>
        <x:v>0</x:v>
      </x:c>
      <x:c r="AD134" s="45" t="n">
        <x:f>IF(OR($J134="",$K134=""),"",IF(SUMIFS(Calendar!$C$16:$C$141,Calendar!$A$16:$A$141,"&gt;="&amp;MAX(AD$7,$J134),Calendar!$A$16:$A$141,"&lt;="&amp;MIN(AD$7+4,$K134))=0,0,IF($H134="","EXT",SUMIFS(Calendar!$C$16:$C$141,Calendar!$A$16:$A$141,"&gt;="&amp;MAX(AD$7,$J134),Calendar!$A$16:$A$141,"&lt;="&amp;MIN(AD$7+4,$K134))*$H134/$G134)))</x:f>
        <x:v>0</x:v>
      </x:c>
      <x:c r="AE134" s="45" t="n">
        <x:f>IF(OR($J134="",$K134=""),"",IF(SUMIFS(Calendar!$C$16:$C$141,Calendar!$A$16:$A$141,"&gt;="&amp;MAX(AE$7,$J134),Calendar!$A$16:$A$141,"&lt;="&amp;MIN(AE$7+4,$K134))=0,0,IF($H134="","EXT",SUMIFS(Calendar!$C$16:$C$141,Calendar!$A$16:$A$141,"&gt;="&amp;MAX(AE$7,$J134),Calendar!$A$16:$A$141,"&lt;="&amp;MIN(AE$7+4,$K134))*$H134/$G134)))</x:f>
        <x:v>0</x:v>
      </x:c>
      <x:c r="AF134" s="8" t="n">
        <x:f>IF(OR(M134&lt;&gt;"Scheduled",INDEX('Team and Gates'!$C$7:$C$13,MATCH($D134,'Team and Gates'!$A$7:$A$13,0))=""),"CHECK",SUM(N134:AE134)*INDEX('Team and Gates'!$C$7:$C$13,MATCH($D134,'Team and Gates'!$A$7:$A$13,0)))</x:f>
        <x:v>1440</x:v>
      </x:c>
      <x:c r="AG134" s="46" t="str">
        <x:v>Reviewed preparation artifact, mapped to FSD/AC and handoff checklist.</x:v>
      </x:c>
      <x:c r="AH134" s="46" t="str">
        <x:v> One UI/UX resource is assumed capable of frontend implementation, not design only.</x:v>
      </x:c>
    </x:row>
    <x:row r="135" ht="45" customHeight="1">
      <x:c r="A135" s="39" t="str">
        <x:v>F02</x:v>
      </x:c>
      <x:c r="B135" s="39" t="str">
        <x:v>Design / frontend</x:v>
      </x:c>
      <x:c r="C135" s="47" t="str">
        <x:v>Design high-fidelity pages, reply/Playbook flows and error states</x:v>
      </x:c>
      <x:c r="D135" s="22" t="str">
        <x:v>UI/UX</x:v>
      </x:c>
      <x:c r="E135" s="47" t="str">
        <x:v>F01</x:v>
      </x:c>
      <x:c r="F135" s="50" t="n">
        <x:v>6</x:v>
      </x:c>
      <x:c r="G135" s="50" t="n">
        <x:v>2</x:v>
      </x:c>
      <x:c r="H135" s="51" t="n">
        <x:v>1.6</x:v>
      </x:c>
      <x:c r="I135" s="39" t="n">
        <x:f>IF(OR(F135="",G135=""),"",F135+G135-1)</x:f>
        <x:v>7</x:v>
      </x:c>
      <x:c r="J135" s="41" t="n">
        <x:f>IF(OR(F135="",F135&lt;1,F135&gt;Calendar!$B$9),"",INDEX(Calendar!$A$16:$A$141,MATCH(F135,Calendar!$D$16:$D$141,0)))</x:f>
        <x:v>46335</x:v>
      </x:c>
      <x:c r="K135" s="41" t="n">
        <x:f>IF(OR(I135="",I135&lt;1,I135&gt;Calendar!$B$9),"",INDEX(Calendar!$A$16:$A$141,MATCH(I135,Calendar!$D$16:$D$141,0)))</x:f>
        <x:v>46336</x:v>
      </x:c>
      <x:c r="L135" s="53" t="n">
        <x:v>0</x:v>
      </x:c>
      <x:c r="M135" s="39" t="str">
        <x:f>IF(OR(F135="",G135="",H135=""),"Missing input",IF(OR(F135&lt;1,G135&lt;1,I135&gt;Calendar!$B$9),"Outside calendar",IF(F135&lt;MAX(INDEX($I$8:$I$157,MATCH("F01",$A$8:$A$157,0))+1),"Dependency conflict","Scheduled")))</x:f>
        <x:v>Scheduled</x:v>
      </x:c>
      <x:c r="N135" s="45" t="n">
        <x:f>IF(OR($J135="",$K135=""),"",IF(SUMIFS(Calendar!$C$16:$C$141,Calendar!$A$16:$A$141,"&gt;="&amp;MAX(N$7,$J135),Calendar!$A$16:$A$141,"&lt;="&amp;MIN(N$7+4,$K135))=0,0,IF($H135="","EXT",SUMIFS(Calendar!$C$16:$C$141,Calendar!$A$16:$A$141,"&gt;="&amp;MAX(N$7,$J135),Calendar!$A$16:$A$141,"&lt;="&amp;MIN(N$7+4,$K135))*$H135/$G135)))</x:f>
        <x:v>0</x:v>
      </x:c>
      <x:c r="O135" s="45" t="n">
        <x:f>IF(OR($J135="",$K135=""),"",IF(SUMIFS(Calendar!$C$16:$C$141,Calendar!$A$16:$A$141,"&gt;="&amp;MAX(O$7,$J135),Calendar!$A$16:$A$141,"&lt;="&amp;MIN(O$7+4,$K135))=0,0,IF($H135="","EXT",SUMIFS(Calendar!$C$16:$C$141,Calendar!$A$16:$A$141,"&gt;="&amp;MAX(O$7,$J135),Calendar!$A$16:$A$141,"&lt;="&amp;MIN(O$7+4,$K135))*$H135/$G135)))</x:f>
        <x:v>1.6</x:v>
      </x:c>
      <x:c r="P135" s="45" t="n">
        <x:f>IF(OR($J135="",$K135=""),"",IF(SUMIFS(Calendar!$C$16:$C$141,Calendar!$A$16:$A$141,"&gt;="&amp;MAX(P$7,$J135),Calendar!$A$16:$A$141,"&lt;="&amp;MIN(P$7+4,$K135))=0,0,IF($H135="","EXT",SUMIFS(Calendar!$C$16:$C$141,Calendar!$A$16:$A$141,"&gt;="&amp;MAX(P$7,$J135),Calendar!$A$16:$A$141,"&lt;="&amp;MIN(P$7+4,$K135))*$H135/$G135)))</x:f>
        <x:v>0</x:v>
      </x:c>
      <x:c r="Q135" s="45" t="n">
        <x:f>IF(OR($J135="",$K135=""),"",IF(SUMIFS(Calendar!$C$16:$C$141,Calendar!$A$16:$A$141,"&gt;="&amp;MAX(Q$7,$J135),Calendar!$A$16:$A$141,"&lt;="&amp;MIN(Q$7+4,$K135))=0,0,IF($H135="","EXT",SUMIFS(Calendar!$C$16:$C$141,Calendar!$A$16:$A$141,"&gt;="&amp;MAX(Q$7,$J135),Calendar!$A$16:$A$141,"&lt;="&amp;MIN(Q$7+4,$K135))*$H135/$G135)))</x:f>
        <x:v>0</x:v>
      </x:c>
      <x:c r="R135" s="45" t="n">
        <x:f>IF(OR($J135="",$K135=""),"",IF(SUMIFS(Calendar!$C$16:$C$141,Calendar!$A$16:$A$141,"&gt;="&amp;MAX(R$7,$J135),Calendar!$A$16:$A$141,"&lt;="&amp;MIN(R$7+4,$K135))=0,0,IF($H135="","EXT",SUMIFS(Calendar!$C$16:$C$141,Calendar!$A$16:$A$141,"&gt;="&amp;MAX(R$7,$J135),Calendar!$A$16:$A$141,"&lt;="&amp;MIN(R$7+4,$K135))*$H135/$G135)))</x:f>
        <x:v>0</x:v>
      </x:c>
      <x:c r="S135" s="45" t="n">
        <x:f>IF(OR($J135="",$K135=""),"",IF(SUMIFS(Calendar!$C$16:$C$141,Calendar!$A$16:$A$141,"&gt;="&amp;MAX(S$7,$J135),Calendar!$A$16:$A$141,"&lt;="&amp;MIN(S$7+4,$K135))=0,0,IF($H135="","EXT",SUMIFS(Calendar!$C$16:$C$141,Calendar!$A$16:$A$141,"&gt;="&amp;MAX(S$7,$J135),Calendar!$A$16:$A$141,"&lt;="&amp;MIN(S$7+4,$K135))*$H135/$G135)))</x:f>
        <x:v>0</x:v>
      </x:c>
      <x:c r="T135" s="45" t="n">
        <x:f>IF(OR($J135="",$K135=""),"",IF(SUMIFS(Calendar!$C$16:$C$141,Calendar!$A$16:$A$141,"&gt;="&amp;MAX(T$7,$J135),Calendar!$A$16:$A$141,"&lt;="&amp;MIN(T$7+4,$K135))=0,0,IF($H135="","EXT",SUMIFS(Calendar!$C$16:$C$141,Calendar!$A$16:$A$141,"&gt;="&amp;MAX(T$7,$J135),Calendar!$A$16:$A$141,"&lt;="&amp;MIN(T$7+4,$K135))*$H135/$G135)))</x:f>
        <x:v>0</x:v>
      </x:c>
      <x:c r="U135" s="45" t="n">
        <x:f>IF(OR($J135="",$K135=""),"",IF(SUMIFS(Calendar!$C$16:$C$141,Calendar!$A$16:$A$141,"&gt;="&amp;MAX(U$7,$J135),Calendar!$A$16:$A$141,"&lt;="&amp;MIN(U$7+4,$K135))=0,0,IF($H135="","EXT",SUMIFS(Calendar!$C$16:$C$141,Calendar!$A$16:$A$141,"&gt;="&amp;MAX(U$7,$J135),Calendar!$A$16:$A$141,"&lt;="&amp;MIN(U$7+4,$K135))*$H135/$G135)))</x:f>
        <x:v>0</x:v>
      </x:c>
      <x:c r="V135" s="45" t="n">
        <x:f>IF(OR($J135="",$K135=""),"",IF(SUMIFS(Calendar!$C$16:$C$141,Calendar!$A$16:$A$141,"&gt;="&amp;MAX(V$7,$J135),Calendar!$A$16:$A$141,"&lt;="&amp;MIN(V$7+4,$K135))=0,0,IF($H135="","EXT",SUMIFS(Calendar!$C$16:$C$141,Calendar!$A$16:$A$141,"&gt;="&amp;MAX(V$7,$J135),Calendar!$A$16:$A$141,"&lt;="&amp;MIN(V$7+4,$K135))*$H135/$G135)))</x:f>
        <x:v>0</x:v>
      </x:c>
      <x:c r="W135" s="45" t="n">
        <x:f>IF(OR($J135="",$K135=""),"",IF(SUMIFS(Calendar!$C$16:$C$141,Calendar!$A$16:$A$141,"&gt;="&amp;MAX(W$7,$J135),Calendar!$A$16:$A$141,"&lt;="&amp;MIN(W$7+4,$K135))=0,0,IF($H135="","EXT",SUMIFS(Calendar!$C$16:$C$141,Calendar!$A$16:$A$141,"&gt;="&amp;MAX(W$7,$J135),Calendar!$A$16:$A$141,"&lt;="&amp;MIN(W$7+4,$K135))*$H135/$G135)))</x:f>
        <x:v>0</x:v>
      </x:c>
      <x:c r="X135" s="45" t="n">
        <x:f>IF(OR($J135="",$K135=""),"",IF(SUMIFS(Calendar!$C$16:$C$141,Calendar!$A$16:$A$141,"&gt;="&amp;MAX(X$7,$J135),Calendar!$A$16:$A$141,"&lt;="&amp;MIN(X$7+4,$K135))=0,0,IF($H135="","EXT",SUMIFS(Calendar!$C$16:$C$141,Calendar!$A$16:$A$141,"&gt;="&amp;MAX(X$7,$J135),Calendar!$A$16:$A$141,"&lt;="&amp;MIN(X$7+4,$K135))*$H135/$G135)))</x:f>
        <x:v>0</x:v>
      </x:c>
      <x:c r="Y135" s="45" t="n">
        <x:f>IF(OR($J135="",$K135=""),"",IF(SUMIFS(Calendar!$C$16:$C$141,Calendar!$A$16:$A$141,"&gt;="&amp;MAX(Y$7,$J135),Calendar!$A$16:$A$141,"&lt;="&amp;MIN(Y$7+4,$K135))=0,0,IF($H135="","EXT",SUMIFS(Calendar!$C$16:$C$141,Calendar!$A$16:$A$141,"&gt;="&amp;MAX(Y$7,$J135),Calendar!$A$16:$A$141,"&lt;="&amp;MIN(Y$7+4,$K135))*$H135/$G135)))</x:f>
        <x:v>0</x:v>
      </x:c>
      <x:c r="Z135" s="45" t="n">
        <x:f>IF(OR($J135="",$K135=""),"",IF(SUMIFS(Calendar!$C$16:$C$141,Calendar!$A$16:$A$141,"&gt;="&amp;MAX(Z$7,$J135),Calendar!$A$16:$A$141,"&lt;="&amp;MIN(Z$7+4,$K135))=0,0,IF($H135="","EXT",SUMIFS(Calendar!$C$16:$C$141,Calendar!$A$16:$A$141,"&gt;="&amp;MAX(Z$7,$J135),Calendar!$A$16:$A$141,"&lt;="&amp;MIN(Z$7+4,$K135))*$H135/$G135)))</x:f>
        <x:v>0</x:v>
      </x:c>
      <x:c r="AA135" s="45" t="n">
        <x:f>IF(OR($J135="",$K135=""),"",IF(SUMIFS(Calendar!$C$16:$C$141,Calendar!$A$16:$A$141,"&gt;="&amp;MAX(AA$7,$J135),Calendar!$A$16:$A$141,"&lt;="&amp;MIN(AA$7+4,$K135))=0,0,IF($H135="","EXT",SUMIFS(Calendar!$C$16:$C$141,Calendar!$A$16:$A$141,"&gt;="&amp;MAX(AA$7,$J135),Calendar!$A$16:$A$141,"&lt;="&amp;MIN(AA$7+4,$K135))*$H135/$G135)))</x:f>
        <x:v>0</x:v>
      </x:c>
      <x:c r="AB135" s="45" t="n">
        <x:f>IF(OR($J135="",$K135=""),"",IF(SUMIFS(Calendar!$C$16:$C$141,Calendar!$A$16:$A$141,"&gt;="&amp;MAX(AB$7,$J135),Calendar!$A$16:$A$141,"&lt;="&amp;MIN(AB$7+4,$K135))=0,0,IF($H135="","EXT",SUMIFS(Calendar!$C$16:$C$141,Calendar!$A$16:$A$141,"&gt;="&amp;MAX(AB$7,$J135),Calendar!$A$16:$A$141,"&lt;="&amp;MIN(AB$7+4,$K135))*$H135/$G135)))</x:f>
        <x:v>0</x:v>
      </x:c>
      <x:c r="AC135" s="45" t="n">
        <x:f>IF(OR($J135="",$K135=""),"",IF(SUMIFS(Calendar!$C$16:$C$141,Calendar!$A$16:$A$141,"&gt;="&amp;MAX(AC$7,$J135),Calendar!$A$16:$A$141,"&lt;="&amp;MIN(AC$7+4,$K135))=0,0,IF($H135="","EXT",SUMIFS(Calendar!$C$16:$C$141,Calendar!$A$16:$A$141,"&gt;="&amp;MAX(AC$7,$J135),Calendar!$A$16:$A$141,"&lt;="&amp;MIN(AC$7+4,$K135))*$H135/$G135)))</x:f>
        <x:v>0</x:v>
      </x:c>
      <x:c r="AD135" s="45" t="n">
        <x:f>IF(OR($J135="",$K135=""),"",IF(SUMIFS(Calendar!$C$16:$C$141,Calendar!$A$16:$A$141,"&gt;="&amp;MAX(AD$7,$J135),Calendar!$A$16:$A$141,"&lt;="&amp;MIN(AD$7+4,$K135))=0,0,IF($H135="","EXT",SUMIFS(Calendar!$C$16:$C$141,Calendar!$A$16:$A$141,"&gt;="&amp;MAX(AD$7,$J135),Calendar!$A$16:$A$141,"&lt;="&amp;MIN(AD$7+4,$K135))*$H135/$G135)))</x:f>
        <x:v>0</x:v>
      </x:c>
      <x:c r="AE135" s="45" t="n">
        <x:f>IF(OR($J135="",$K135=""),"",IF(SUMIFS(Calendar!$C$16:$C$141,Calendar!$A$16:$A$141,"&gt;="&amp;MAX(AE$7,$J135),Calendar!$A$16:$A$141,"&lt;="&amp;MIN(AE$7+4,$K135))=0,0,IF($H135="","EXT",SUMIFS(Calendar!$C$16:$C$141,Calendar!$A$16:$A$141,"&gt;="&amp;MAX(AE$7,$J135),Calendar!$A$16:$A$141,"&lt;="&amp;MIN(AE$7+4,$K135))*$H135/$G135)))</x:f>
        <x:v>0</x:v>
      </x:c>
      <x:c r="AF135" s="8" t="n">
        <x:f>IF(OR(M135&lt;&gt;"Scheduled",INDEX('Team and Gates'!$C$7:$C$13,MATCH($D135,'Team and Gates'!$A$7:$A$13,0))=""),"CHECK",SUM(N135:AE135)*INDEX('Team and Gates'!$C$7:$C$13,MATCH($D135,'Team and Gates'!$A$7:$A$13,0)))</x:f>
        <x:v>576</x:v>
      </x:c>
      <x:c r="AG135" s="46" t="str">
        <x:v>Reviewed preparation artifact, mapped to FSD/AC and handoff checklist.</x:v>
      </x:c>
      <x:c r="AH135" s="46" t="str">
        <x:v> One UI/UX resource is assumed capable of frontend implementation, not design only.</x:v>
      </x:c>
    </x:row>
    <x:row r="136" ht="45" customHeight="1">
      <x:c r="A136" s="2" t="str">
        <x:v>F03</x:v>
      </x:c>
      <x:c r="B136" s="2" t="str">
        <x:v>Design / frontend</x:v>
      </x:c>
      <x:c r="C136" s="46" t="str">
        <x:v>Prototype review, UX signoff and frontend component foundation</x:v>
      </x:c>
      <x:c r="D136" s="22" t="str">
        <x:v>UI/UX</x:v>
      </x:c>
      <x:c r="E136" s="46" t="str">
        <x:v>F02</x:v>
      </x:c>
      <x:c r="F136" s="50" t="n">
        <x:v>8</x:v>
      </x:c>
      <x:c r="G136" s="50" t="n">
        <x:v>3</x:v>
      </x:c>
      <x:c r="H136" s="51" t="n">
        <x:v>2.4</x:v>
      </x:c>
      <x:c r="I136" s="2" t="n">
        <x:f>IF(OR(F136="",G136=""),"",F136+G136-1)</x:f>
        <x:v>10</x:v>
      </x:c>
      <x:c r="J136" s="5" t="n">
        <x:f>IF(OR(F136="",F136&lt;1,F136&gt;Calendar!$B$9),"",INDEX(Calendar!$A$16:$A$141,MATCH(F136,Calendar!$D$16:$D$141,0)))</x:f>
        <x:v>46337</x:v>
      </x:c>
      <x:c r="K136" s="5" t="n">
        <x:f>IF(OR(I136="",I136&lt;1,I136&gt;Calendar!$B$9),"",INDEX(Calendar!$A$16:$A$141,MATCH(I136,Calendar!$D$16:$D$141,0)))</x:f>
        <x:v>46339</x:v>
      </x:c>
      <x:c r="L136" s="53" t="n">
        <x:v>0</x:v>
      </x:c>
      <x:c r="M136" s="2" t="str">
        <x:f>IF(OR(F136="",G136="",H136=""),"Missing input",IF(OR(F136&lt;1,G136&lt;1,I136&gt;Calendar!$B$9),"Outside calendar",IF(F136&lt;MAX(INDEX($I$8:$I$157,MATCH("F02",$A$8:$A$157,0))+1),"Dependency conflict","Scheduled")))</x:f>
        <x:v>Scheduled</x:v>
      </x:c>
      <x:c r="N136" s="45" t="n">
        <x:f>IF(OR($J136="",$K136=""),"",IF(SUMIFS(Calendar!$C$16:$C$141,Calendar!$A$16:$A$141,"&gt;="&amp;MAX(N$7,$J136),Calendar!$A$16:$A$141,"&lt;="&amp;MIN(N$7+4,$K136))=0,0,IF($H136="","EXT",SUMIFS(Calendar!$C$16:$C$141,Calendar!$A$16:$A$141,"&gt;="&amp;MAX(N$7,$J136),Calendar!$A$16:$A$141,"&lt;="&amp;MIN(N$7+4,$K136))*$H136/$G136)))</x:f>
        <x:v>0</x:v>
      </x:c>
      <x:c r="O136" s="45" t="n">
        <x:f>IF(OR($J136="",$K136=""),"",IF(SUMIFS(Calendar!$C$16:$C$141,Calendar!$A$16:$A$141,"&gt;="&amp;MAX(O$7,$J136),Calendar!$A$16:$A$141,"&lt;="&amp;MIN(O$7+4,$K136))=0,0,IF($H136="","EXT",SUMIFS(Calendar!$C$16:$C$141,Calendar!$A$16:$A$141,"&gt;="&amp;MAX(O$7,$J136),Calendar!$A$16:$A$141,"&lt;="&amp;MIN(O$7+4,$K136))*$H136/$G136)))</x:f>
        <x:v>2.4</x:v>
      </x:c>
      <x:c r="P136" s="45" t="n">
        <x:f>IF(OR($J136="",$K136=""),"",IF(SUMIFS(Calendar!$C$16:$C$141,Calendar!$A$16:$A$141,"&gt;="&amp;MAX(P$7,$J136),Calendar!$A$16:$A$141,"&lt;="&amp;MIN(P$7+4,$K136))=0,0,IF($H136="","EXT",SUMIFS(Calendar!$C$16:$C$141,Calendar!$A$16:$A$141,"&gt;="&amp;MAX(P$7,$J136),Calendar!$A$16:$A$141,"&lt;="&amp;MIN(P$7+4,$K136))*$H136/$G136)))</x:f>
        <x:v>0</x:v>
      </x:c>
      <x:c r="Q136" s="45" t="n">
        <x:f>IF(OR($J136="",$K136=""),"",IF(SUMIFS(Calendar!$C$16:$C$141,Calendar!$A$16:$A$141,"&gt;="&amp;MAX(Q$7,$J136),Calendar!$A$16:$A$141,"&lt;="&amp;MIN(Q$7+4,$K136))=0,0,IF($H136="","EXT",SUMIFS(Calendar!$C$16:$C$141,Calendar!$A$16:$A$141,"&gt;="&amp;MAX(Q$7,$J136),Calendar!$A$16:$A$141,"&lt;="&amp;MIN(Q$7+4,$K136))*$H136/$G136)))</x:f>
        <x:v>0</x:v>
      </x:c>
      <x:c r="R136" s="45" t="n">
        <x:f>IF(OR($J136="",$K136=""),"",IF(SUMIFS(Calendar!$C$16:$C$141,Calendar!$A$16:$A$141,"&gt;="&amp;MAX(R$7,$J136),Calendar!$A$16:$A$141,"&lt;="&amp;MIN(R$7+4,$K136))=0,0,IF($H136="","EXT",SUMIFS(Calendar!$C$16:$C$141,Calendar!$A$16:$A$141,"&gt;="&amp;MAX(R$7,$J136),Calendar!$A$16:$A$141,"&lt;="&amp;MIN(R$7+4,$K136))*$H136/$G136)))</x:f>
        <x:v>0</x:v>
      </x:c>
      <x:c r="S136" s="45" t="n">
        <x:f>IF(OR($J136="",$K136=""),"",IF(SUMIFS(Calendar!$C$16:$C$141,Calendar!$A$16:$A$141,"&gt;="&amp;MAX(S$7,$J136),Calendar!$A$16:$A$141,"&lt;="&amp;MIN(S$7+4,$K136))=0,0,IF($H136="","EXT",SUMIFS(Calendar!$C$16:$C$141,Calendar!$A$16:$A$141,"&gt;="&amp;MAX(S$7,$J136),Calendar!$A$16:$A$141,"&lt;="&amp;MIN(S$7+4,$K136))*$H136/$G136)))</x:f>
        <x:v>0</x:v>
      </x:c>
      <x:c r="T136" s="45" t="n">
        <x:f>IF(OR($J136="",$K136=""),"",IF(SUMIFS(Calendar!$C$16:$C$141,Calendar!$A$16:$A$141,"&gt;="&amp;MAX(T$7,$J136),Calendar!$A$16:$A$141,"&lt;="&amp;MIN(T$7+4,$K136))=0,0,IF($H136="","EXT",SUMIFS(Calendar!$C$16:$C$141,Calendar!$A$16:$A$141,"&gt;="&amp;MAX(T$7,$J136),Calendar!$A$16:$A$141,"&lt;="&amp;MIN(T$7+4,$K136))*$H136/$G136)))</x:f>
        <x:v>0</x:v>
      </x:c>
      <x:c r="U136" s="45" t="n">
        <x:f>IF(OR($J136="",$K136=""),"",IF(SUMIFS(Calendar!$C$16:$C$141,Calendar!$A$16:$A$141,"&gt;="&amp;MAX(U$7,$J136),Calendar!$A$16:$A$141,"&lt;="&amp;MIN(U$7+4,$K136))=0,0,IF($H136="","EXT",SUMIFS(Calendar!$C$16:$C$141,Calendar!$A$16:$A$141,"&gt;="&amp;MAX(U$7,$J136),Calendar!$A$16:$A$141,"&lt;="&amp;MIN(U$7+4,$K136))*$H136/$G136)))</x:f>
        <x:v>0</x:v>
      </x:c>
      <x:c r="V136" s="45" t="n">
        <x:f>IF(OR($J136="",$K136=""),"",IF(SUMIFS(Calendar!$C$16:$C$141,Calendar!$A$16:$A$141,"&gt;="&amp;MAX(V$7,$J136),Calendar!$A$16:$A$141,"&lt;="&amp;MIN(V$7+4,$K136))=0,0,IF($H136="","EXT",SUMIFS(Calendar!$C$16:$C$141,Calendar!$A$16:$A$141,"&gt;="&amp;MAX(V$7,$J136),Calendar!$A$16:$A$141,"&lt;="&amp;MIN(V$7+4,$K136))*$H136/$G136)))</x:f>
        <x:v>0</x:v>
      </x:c>
      <x:c r="W136" s="45" t="n">
        <x:f>IF(OR($J136="",$K136=""),"",IF(SUMIFS(Calendar!$C$16:$C$141,Calendar!$A$16:$A$141,"&gt;="&amp;MAX(W$7,$J136),Calendar!$A$16:$A$141,"&lt;="&amp;MIN(W$7+4,$K136))=0,0,IF($H136="","EXT",SUMIFS(Calendar!$C$16:$C$141,Calendar!$A$16:$A$141,"&gt;="&amp;MAX(W$7,$J136),Calendar!$A$16:$A$141,"&lt;="&amp;MIN(W$7+4,$K136))*$H136/$G136)))</x:f>
        <x:v>0</x:v>
      </x:c>
      <x:c r="X136" s="45" t="n">
        <x:f>IF(OR($J136="",$K136=""),"",IF(SUMIFS(Calendar!$C$16:$C$141,Calendar!$A$16:$A$141,"&gt;="&amp;MAX(X$7,$J136),Calendar!$A$16:$A$141,"&lt;="&amp;MIN(X$7+4,$K136))=0,0,IF($H136="","EXT",SUMIFS(Calendar!$C$16:$C$141,Calendar!$A$16:$A$141,"&gt;="&amp;MAX(X$7,$J136),Calendar!$A$16:$A$141,"&lt;="&amp;MIN(X$7+4,$K136))*$H136/$G136)))</x:f>
        <x:v>0</x:v>
      </x:c>
      <x:c r="Y136" s="45" t="n">
        <x:f>IF(OR($J136="",$K136=""),"",IF(SUMIFS(Calendar!$C$16:$C$141,Calendar!$A$16:$A$141,"&gt;="&amp;MAX(Y$7,$J136),Calendar!$A$16:$A$141,"&lt;="&amp;MIN(Y$7+4,$K136))=0,0,IF($H136="","EXT",SUMIFS(Calendar!$C$16:$C$141,Calendar!$A$16:$A$141,"&gt;="&amp;MAX(Y$7,$J136),Calendar!$A$16:$A$141,"&lt;="&amp;MIN(Y$7+4,$K136))*$H136/$G136)))</x:f>
        <x:v>0</x:v>
      </x:c>
      <x:c r="Z136" s="45" t="n">
        <x:f>IF(OR($J136="",$K136=""),"",IF(SUMIFS(Calendar!$C$16:$C$141,Calendar!$A$16:$A$141,"&gt;="&amp;MAX(Z$7,$J136),Calendar!$A$16:$A$141,"&lt;="&amp;MIN(Z$7+4,$K136))=0,0,IF($H136="","EXT",SUMIFS(Calendar!$C$16:$C$141,Calendar!$A$16:$A$141,"&gt;="&amp;MAX(Z$7,$J136),Calendar!$A$16:$A$141,"&lt;="&amp;MIN(Z$7+4,$K136))*$H136/$G136)))</x:f>
        <x:v>0</x:v>
      </x:c>
      <x:c r="AA136" s="45" t="n">
        <x:f>IF(OR($J136="",$K136=""),"",IF(SUMIFS(Calendar!$C$16:$C$141,Calendar!$A$16:$A$141,"&gt;="&amp;MAX(AA$7,$J136),Calendar!$A$16:$A$141,"&lt;="&amp;MIN(AA$7+4,$K136))=0,0,IF($H136="","EXT",SUMIFS(Calendar!$C$16:$C$141,Calendar!$A$16:$A$141,"&gt;="&amp;MAX(AA$7,$J136),Calendar!$A$16:$A$141,"&lt;="&amp;MIN(AA$7+4,$K136))*$H136/$G136)))</x:f>
        <x:v>0</x:v>
      </x:c>
      <x:c r="AB136" s="45" t="n">
        <x:f>IF(OR($J136="",$K136=""),"",IF(SUMIFS(Calendar!$C$16:$C$141,Calendar!$A$16:$A$141,"&gt;="&amp;MAX(AB$7,$J136),Calendar!$A$16:$A$141,"&lt;="&amp;MIN(AB$7+4,$K136))=0,0,IF($H136="","EXT",SUMIFS(Calendar!$C$16:$C$141,Calendar!$A$16:$A$141,"&gt;="&amp;MAX(AB$7,$J136),Calendar!$A$16:$A$141,"&lt;="&amp;MIN(AB$7+4,$K136))*$H136/$G136)))</x:f>
        <x:v>0</x:v>
      </x:c>
      <x:c r="AC136" s="45" t="n">
        <x:f>IF(OR($J136="",$K136=""),"",IF(SUMIFS(Calendar!$C$16:$C$141,Calendar!$A$16:$A$141,"&gt;="&amp;MAX(AC$7,$J136),Calendar!$A$16:$A$141,"&lt;="&amp;MIN(AC$7+4,$K136))=0,0,IF($H136="","EXT",SUMIFS(Calendar!$C$16:$C$141,Calendar!$A$16:$A$141,"&gt;="&amp;MAX(AC$7,$J136),Calendar!$A$16:$A$141,"&lt;="&amp;MIN(AC$7+4,$K136))*$H136/$G136)))</x:f>
        <x:v>0</x:v>
      </x:c>
      <x:c r="AD136" s="45" t="n">
        <x:f>IF(OR($J136="",$K136=""),"",IF(SUMIFS(Calendar!$C$16:$C$141,Calendar!$A$16:$A$141,"&gt;="&amp;MAX(AD$7,$J136),Calendar!$A$16:$A$141,"&lt;="&amp;MIN(AD$7+4,$K136))=0,0,IF($H136="","EXT",SUMIFS(Calendar!$C$16:$C$141,Calendar!$A$16:$A$141,"&gt;="&amp;MAX(AD$7,$J136),Calendar!$A$16:$A$141,"&lt;="&amp;MIN(AD$7+4,$K136))*$H136/$G136)))</x:f>
        <x:v>0</x:v>
      </x:c>
      <x:c r="AE136" s="45" t="n">
        <x:f>IF(OR($J136="",$K136=""),"",IF(SUMIFS(Calendar!$C$16:$C$141,Calendar!$A$16:$A$141,"&gt;="&amp;MAX(AE$7,$J136),Calendar!$A$16:$A$141,"&lt;="&amp;MIN(AE$7+4,$K136))=0,0,IF($H136="","EXT",SUMIFS(Calendar!$C$16:$C$141,Calendar!$A$16:$A$141,"&gt;="&amp;MAX(AE$7,$J136),Calendar!$A$16:$A$141,"&lt;="&amp;MIN(AE$7+4,$K136))*$H136/$G136)))</x:f>
        <x:v>0</x:v>
      </x:c>
      <x:c r="AF136" s="8" t="n">
        <x:f>IF(OR(M136&lt;&gt;"Scheduled",INDEX('Team and Gates'!$C$7:$C$13,MATCH($D136,'Team and Gates'!$A$7:$A$13,0))=""),"CHECK",SUM(N136:AE136)*INDEX('Team and Gates'!$C$7:$C$13,MATCH($D136,'Team and Gates'!$A$7:$A$13,0)))</x:f>
        <x:v>864</x:v>
      </x:c>
      <x:c r="AG136" s="46" t="str">
        <x:v>AM/business owner approves page flows and UI states; design and frontend handoff are ready.</x:v>
      </x:c>
      <x:c r="AH136" s="46" t="str">
        <x:v> One UI/UX resource is assumed capable of frontend implementation, not design only.</x:v>
      </x:c>
    </x:row>
    <x:row r="137" ht="45" customHeight="1">
      <x:c r="A137" s="39" t="str">
        <x:v>F04</x:v>
      </x:c>
      <x:c r="B137" s="39" t="str">
        <x:v>Design / frontend</x:v>
      </x:c>
      <x:c r="C137" s="47" t="str">
        <x:v>Implement Portal: Case workspace and Open Item interactions</x:v>
      </x:c>
      <x:c r="D137" s="22" t="str">
        <x:v>UI/UX</x:v>
      </x:c>
      <x:c r="E137" s="47" t="str">
        <x:v>F03, BA03</x:v>
      </x:c>
      <x:c r="F137" s="50" t="n">
        <x:v>11</x:v>
      </x:c>
      <x:c r="G137" s="50" t="n">
        <x:v>5</x:v>
      </x:c>
      <x:c r="H137" s="51" t="n">
        <x:v>4</x:v>
      </x:c>
      <x:c r="I137" s="39" t="n">
        <x:f>IF(OR(F137="",G137=""),"",F137+G137-1)</x:f>
        <x:v>15</x:v>
      </x:c>
      <x:c r="J137" s="41" t="n">
        <x:f>IF(OR(F137="",F137&lt;1,F137&gt;Calendar!$B$9),"",INDEX(Calendar!$A$16:$A$141,MATCH(F137,Calendar!$D$16:$D$141,0)))</x:f>
        <x:v>46342</x:v>
      </x:c>
      <x:c r="K137" s="41" t="n">
        <x:f>IF(OR(I137="",I137&lt;1,I137&gt;Calendar!$B$9),"",INDEX(Calendar!$A$16:$A$141,MATCH(I137,Calendar!$D$16:$D$141,0)))</x:f>
        <x:v>46346</x:v>
      </x:c>
      <x:c r="L137" s="53" t="n">
        <x:v>0</x:v>
      </x:c>
      <x:c r="M137" s="39" t="str">
        <x:f>IF(OR(F137="",G137="",H137=""),"Missing input",IF(OR(F137&lt;1,G137&lt;1,I137&gt;Calendar!$B$9),"Outside calendar",IF(F137&lt;MAX(INDEX($I$8:$I$157,MATCH("F03",$A$8:$A$157,0))+1,INDEX($I$8:$I$157,MATCH("BA03",$A$8:$A$157,0))+1),"Dependency conflict","Scheduled")))</x:f>
        <x:v>Scheduled</x:v>
      </x:c>
      <x:c r="N137" s="45" t="n">
        <x:f>IF(OR($J137="",$K137=""),"",IF(SUMIFS(Calendar!$C$16:$C$141,Calendar!$A$16:$A$141,"&gt;="&amp;MAX(N$7,$J137),Calendar!$A$16:$A$141,"&lt;="&amp;MIN(N$7+4,$K137))=0,0,IF($H137="","EXT",SUMIFS(Calendar!$C$16:$C$141,Calendar!$A$16:$A$141,"&gt;="&amp;MAX(N$7,$J137),Calendar!$A$16:$A$141,"&lt;="&amp;MIN(N$7+4,$K137))*$H137/$G137)))</x:f>
        <x:v>0</x:v>
      </x:c>
      <x:c r="O137" s="45" t="n">
        <x:f>IF(OR($J137="",$K137=""),"",IF(SUMIFS(Calendar!$C$16:$C$141,Calendar!$A$16:$A$141,"&gt;="&amp;MAX(O$7,$J137),Calendar!$A$16:$A$141,"&lt;="&amp;MIN(O$7+4,$K137))=0,0,IF($H137="","EXT",SUMIFS(Calendar!$C$16:$C$141,Calendar!$A$16:$A$141,"&gt;="&amp;MAX(O$7,$J137),Calendar!$A$16:$A$141,"&lt;="&amp;MIN(O$7+4,$K137))*$H137/$G137)))</x:f>
        <x:v>0</x:v>
      </x:c>
      <x:c r="P137" s="45" t="n">
        <x:f>IF(OR($J137="",$K137=""),"",IF(SUMIFS(Calendar!$C$16:$C$141,Calendar!$A$16:$A$141,"&gt;="&amp;MAX(P$7,$J137),Calendar!$A$16:$A$141,"&lt;="&amp;MIN(P$7+4,$K137))=0,0,IF($H137="","EXT",SUMIFS(Calendar!$C$16:$C$141,Calendar!$A$16:$A$141,"&gt;="&amp;MAX(P$7,$J137),Calendar!$A$16:$A$141,"&lt;="&amp;MIN(P$7+4,$K137))*$H137/$G137)))</x:f>
        <x:v>4</x:v>
      </x:c>
      <x:c r="Q137" s="45" t="n">
        <x:f>IF(OR($J137="",$K137=""),"",IF(SUMIFS(Calendar!$C$16:$C$141,Calendar!$A$16:$A$141,"&gt;="&amp;MAX(Q$7,$J137),Calendar!$A$16:$A$141,"&lt;="&amp;MIN(Q$7+4,$K137))=0,0,IF($H137="","EXT",SUMIFS(Calendar!$C$16:$C$141,Calendar!$A$16:$A$141,"&gt;="&amp;MAX(Q$7,$J137),Calendar!$A$16:$A$141,"&lt;="&amp;MIN(Q$7+4,$K137))*$H137/$G137)))</x:f>
        <x:v>0</x:v>
      </x:c>
      <x:c r="R137" s="45" t="n">
        <x:f>IF(OR($J137="",$K137=""),"",IF(SUMIFS(Calendar!$C$16:$C$141,Calendar!$A$16:$A$141,"&gt;="&amp;MAX(R$7,$J137),Calendar!$A$16:$A$141,"&lt;="&amp;MIN(R$7+4,$K137))=0,0,IF($H137="","EXT",SUMIFS(Calendar!$C$16:$C$141,Calendar!$A$16:$A$141,"&gt;="&amp;MAX(R$7,$J137),Calendar!$A$16:$A$141,"&lt;="&amp;MIN(R$7+4,$K137))*$H137/$G137)))</x:f>
        <x:v>0</x:v>
      </x:c>
      <x:c r="S137" s="45" t="n">
        <x:f>IF(OR($J137="",$K137=""),"",IF(SUMIFS(Calendar!$C$16:$C$141,Calendar!$A$16:$A$141,"&gt;="&amp;MAX(S$7,$J137),Calendar!$A$16:$A$141,"&lt;="&amp;MIN(S$7+4,$K137))=0,0,IF($H137="","EXT",SUMIFS(Calendar!$C$16:$C$141,Calendar!$A$16:$A$141,"&gt;="&amp;MAX(S$7,$J137),Calendar!$A$16:$A$141,"&lt;="&amp;MIN(S$7+4,$K137))*$H137/$G137)))</x:f>
        <x:v>0</x:v>
      </x:c>
      <x:c r="T137" s="45" t="n">
        <x:f>IF(OR($J137="",$K137=""),"",IF(SUMIFS(Calendar!$C$16:$C$141,Calendar!$A$16:$A$141,"&gt;="&amp;MAX(T$7,$J137),Calendar!$A$16:$A$141,"&lt;="&amp;MIN(T$7+4,$K137))=0,0,IF($H137="","EXT",SUMIFS(Calendar!$C$16:$C$141,Calendar!$A$16:$A$141,"&gt;="&amp;MAX(T$7,$J137),Calendar!$A$16:$A$141,"&lt;="&amp;MIN(T$7+4,$K137))*$H137/$G137)))</x:f>
        <x:v>0</x:v>
      </x:c>
      <x:c r="U137" s="45" t="n">
        <x:f>IF(OR($J137="",$K137=""),"",IF(SUMIFS(Calendar!$C$16:$C$141,Calendar!$A$16:$A$141,"&gt;="&amp;MAX(U$7,$J137),Calendar!$A$16:$A$141,"&lt;="&amp;MIN(U$7+4,$K137))=0,0,IF($H137="","EXT",SUMIFS(Calendar!$C$16:$C$141,Calendar!$A$16:$A$141,"&gt;="&amp;MAX(U$7,$J137),Calendar!$A$16:$A$141,"&lt;="&amp;MIN(U$7+4,$K137))*$H137/$G137)))</x:f>
        <x:v>0</x:v>
      </x:c>
      <x:c r="V137" s="45" t="n">
        <x:f>IF(OR($J137="",$K137=""),"",IF(SUMIFS(Calendar!$C$16:$C$141,Calendar!$A$16:$A$141,"&gt;="&amp;MAX(V$7,$J137),Calendar!$A$16:$A$141,"&lt;="&amp;MIN(V$7+4,$K137))=0,0,IF($H137="","EXT",SUMIFS(Calendar!$C$16:$C$141,Calendar!$A$16:$A$141,"&gt;="&amp;MAX(V$7,$J137),Calendar!$A$16:$A$141,"&lt;="&amp;MIN(V$7+4,$K137))*$H137/$G137)))</x:f>
        <x:v>0</x:v>
      </x:c>
      <x:c r="W137" s="45" t="n">
        <x:f>IF(OR($J137="",$K137=""),"",IF(SUMIFS(Calendar!$C$16:$C$141,Calendar!$A$16:$A$141,"&gt;="&amp;MAX(W$7,$J137),Calendar!$A$16:$A$141,"&lt;="&amp;MIN(W$7+4,$K137))=0,0,IF($H137="","EXT",SUMIFS(Calendar!$C$16:$C$141,Calendar!$A$16:$A$141,"&gt;="&amp;MAX(W$7,$J137),Calendar!$A$16:$A$141,"&lt;="&amp;MIN(W$7+4,$K137))*$H137/$G137)))</x:f>
        <x:v>0</x:v>
      </x:c>
      <x:c r="X137" s="45" t="n">
        <x:f>IF(OR($J137="",$K137=""),"",IF(SUMIFS(Calendar!$C$16:$C$141,Calendar!$A$16:$A$141,"&gt;="&amp;MAX(X$7,$J137),Calendar!$A$16:$A$141,"&lt;="&amp;MIN(X$7+4,$K137))=0,0,IF($H137="","EXT",SUMIFS(Calendar!$C$16:$C$141,Calendar!$A$16:$A$141,"&gt;="&amp;MAX(X$7,$J137),Calendar!$A$16:$A$141,"&lt;="&amp;MIN(X$7+4,$K137))*$H137/$G137)))</x:f>
        <x:v>0</x:v>
      </x:c>
      <x:c r="Y137" s="45" t="n">
        <x:f>IF(OR($J137="",$K137=""),"",IF(SUMIFS(Calendar!$C$16:$C$141,Calendar!$A$16:$A$141,"&gt;="&amp;MAX(Y$7,$J137),Calendar!$A$16:$A$141,"&lt;="&amp;MIN(Y$7+4,$K137))=0,0,IF($H137="","EXT",SUMIFS(Calendar!$C$16:$C$141,Calendar!$A$16:$A$141,"&gt;="&amp;MAX(Y$7,$J137),Calendar!$A$16:$A$141,"&lt;="&amp;MIN(Y$7+4,$K137))*$H137/$G137)))</x:f>
        <x:v>0</x:v>
      </x:c>
      <x:c r="Z137" s="45" t="n">
        <x:f>IF(OR($J137="",$K137=""),"",IF(SUMIFS(Calendar!$C$16:$C$141,Calendar!$A$16:$A$141,"&gt;="&amp;MAX(Z$7,$J137),Calendar!$A$16:$A$141,"&lt;="&amp;MIN(Z$7+4,$K137))=0,0,IF($H137="","EXT",SUMIFS(Calendar!$C$16:$C$141,Calendar!$A$16:$A$141,"&gt;="&amp;MAX(Z$7,$J137),Calendar!$A$16:$A$141,"&lt;="&amp;MIN(Z$7+4,$K137))*$H137/$G137)))</x:f>
        <x:v>0</x:v>
      </x:c>
      <x:c r="AA137" s="45" t="n">
        <x:f>IF(OR($J137="",$K137=""),"",IF(SUMIFS(Calendar!$C$16:$C$141,Calendar!$A$16:$A$141,"&gt;="&amp;MAX(AA$7,$J137),Calendar!$A$16:$A$141,"&lt;="&amp;MIN(AA$7+4,$K137))=0,0,IF($H137="","EXT",SUMIFS(Calendar!$C$16:$C$141,Calendar!$A$16:$A$141,"&gt;="&amp;MAX(AA$7,$J137),Calendar!$A$16:$A$141,"&lt;="&amp;MIN(AA$7+4,$K137))*$H137/$G137)))</x:f>
        <x:v>0</x:v>
      </x:c>
      <x:c r="AB137" s="45" t="n">
        <x:f>IF(OR($J137="",$K137=""),"",IF(SUMIFS(Calendar!$C$16:$C$141,Calendar!$A$16:$A$141,"&gt;="&amp;MAX(AB$7,$J137),Calendar!$A$16:$A$141,"&lt;="&amp;MIN(AB$7+4,$K137))=0,0,IF($H137="","EXT",SUMIFS(Calendar!$C$16:$C$141,Calendar!$A$16:$A$141,"&gt;="&amp;MAX(AB$7,$J137),Calendar!$A$16:$A$141,"&lt;="&amp;MIN(AB$7+4,$K137))*$H137/$G137)))</x:f>
        <x:v>0</x:v>
      </x:c>
      <x:c r="AC137" s="45" t="n">
        <x:f>IF(OR($J137="",$K137=""),"",IF(SUMIFS(Calendar!$C$16:$C$141,Calendar!$A$16:$A$141,"&gt;="&amp;MAX(AC$7,$J137),Calendar!$A$16:$A$141,"&lt;="&amp;MIN(AC$7+4,$K137))=0,0,IF($H137="","EXT",SUMIFS(Calendar!$C$16:$C$141,Calendar!$A$16:$A$141,"&gt;="&amp;MAX(AC$7,$J137),Calendar!$A$16:$A$141,"&lt;="&amp;MIN(AC$7+4,$K137))*$H137/$G137)))</x:f>
        <x:v>0</x:v>
      </x:c>
      <x:c r="AD137" s="45" t="n">
        <x:f>IF(OR($J137="",$K137=""),"",IF(SUMIFS(Calendar!$C$16:$C$141,Calendar!$A$16:$A$141,"&gt;="&amp;MAX(AD$7,$J137),Calendar!$A$16:$A$141,"&lt;="&amp;MIN(AD$7+4,$K137))=0,0,IF($H137="","EXT",SUMIFS(Calendar!$C$16:$C$141,Calendar!$A$16:$A$141,"&gt;="&amp;MAX(AD$7,$J137),Calendar!$A$16:$A$141,"&lt;="&amp;MIN(AD$7+4,$K137))*$H137/$G137)))</x:f>
        <x:v>0</x:v>
      </x:c>
      <x:c r="AE137" s="45" t="n">
        <x:f>IF(OR($J137="",$K137=""),"",IF(SUMIFS(Calendar!$C$16:$C$141,Calendar!$A$16:$A$141,"&gt;="&amp;MAX(AE$7,$J137),Calendar!$A$16:$A$141,"&lt;="&amp;MIN(AE$7+4,$K137))=0,0,IF($H137="","EXT",SUMIFS(Calendar!$C$16:$C$141,Calendar!$A$16:$A$141,"&gt;="&amp;MAX(AE$7,$J137),Calendar!$A$16:$A$141,"&lt;="&amp;MIN(AE$7+4,$K137))*$H137/$G137)))</x:f>
        <x:v>0</x:v>
      </x:c>
      <x:c r="AF137" s="8" t="n">
        <x:f>IF(OR(M137&lt;&gt;"Scheduled",INDEX('Team and Gates'!$C$7:$C$13,MATCH($D137,'Team and Gates'!$A$7:$A$13,0))=""),"CHECK",SUM(N137:AE137)*INDEX('Team and Gates'!$C$7:$C$13,MATCH($D137,'Team and Gates'!$A$7:$A$13,0)))</x:f>
        <x:v>1440</x:v>
      </x:c>
      <x:c r="AG137" s="46" t="str">
        <x:v>Developer checks and positive/negative acceptance examples pass; review AI-generated code before handoff.</x:v>
      </x:c>
      <x:c r="AH137" s="46" t="str">
        <x:v>Three-week feature implementation window after FSD signoff; use Codex with developer review and continuous tests. One UI/UX resource is assumed capable of frontend implementation, not design only.</x:v>
      </x:c>
    </x:row>
    <x:row r="138" ht="45" customHeight="1">
      <x:c r="A138" s="2" t="str">
        <x:v>F05</x:v>
      </x:c>
      <x:c r="B138" s="2" t="str">
        <x:v>Design / frontend</x:v>
      </x:c>
      <x:c r="C138" s="46" t="str">
        <x:v>Implement Portal: Triage, customer dashboard and role views</x:v>
      </x:c>
      <x:c r="D138" s="22" t="str">
        <x:v>UI/UX</x:v>
      </x:c>
      <x:c r="E138" s="46" t="str">
        <x:v>F04</x:v>
      </x:c>
      <x:c r="F138" s="50" t="n">
        <x:v>16</x:v>
      </x:c>
      <x:c r="G138" s="50" t="n">
        <x:v>5</x:v>
      </x:c>
      <x:c r="H138" s="51" t="n">
        <x:v>4</x:v>
      </x:c>
      <x:c r="I138" s="2" t="n">
        <x:f>IF(OR(F138="",G138=""),"",F138+G138-1)</x:f>
        <x:v>20</x:v>
      </x:c>
      <x:c r="J138" s="5" t="n">
        <x:f>IF(OR(F138="",F138&lt;1,F138&gt;Calendar!$B$9),"",INDEX(Calendar!$A$16:$A$141,MATCH(F138,Calendar!$D$16:$D$141,0)))</x:f>
        <x:v>46349</x:v>
      </x:c>
      <x:c r="K138" s="5" t="n">
        <x:f>IF(OR(I138="",I138&lt;1,I138&gt;Calendar!$B$9),"",INDEX(Calendar!$A$16:$A$141,MATCH(I138,Calendar!$D$16:$D$141,0)))</x:f>
        <x:v>46353</x:v>
      </x:c>
      <x:c r="L138" s="53" t="n">
        <x:v>0</x:v>
      </x:c>
      <x:c r="M138" s="2" t="str">
        <x:f>IF(OR(F138="",G138="",H138=""),"Missing input",IF(OR(F138&lt;1,G138&lt;1,I138&gt;Calendar!$B$9),"Outside calendar",IF(F138&lt;MAX(INDEX($I$8:$I$157,MATCH("F04",$A$8:$A$157,0))+1),"Dependency conflict","Scheduled")))</x:f>
        <x:v>Scheduled</x:v>
      </x:c>
      <x:c r="N138" s="45" t="n">
        <x:f>IF(OR($J138="",$K138=""),"",IF(SUMIFS(Calendar!$C$16:$C$141,Calendar!$A$16:$A$141,"&gt;="&amp;MAX(N$7,$J138),Calendar!$A$16:$A$141,"&lt;="&amp;MIN(N$7+4,$K138))=0,0,IF($H138="","EXT",SUMIFS(Calendar!$C$16:$C$141,Calendar!$A$16:$A$141,"&gt;="&amp;MAX(N$7,$J138),Calendar!$A$16:$A$141,"&lt;="&amp;MIN(N$7+4,$K138))*$H138/$G138)))</x:f>
        <x:v>0</x:v>
      </x:c>
      <x:c r="O138" s="45" t="n">
        <x:f>IF(OR($J138="",$K138=""),"",IF(SUMIFS(Calendar!$C$16:$C$141,Calendar!$A$16:$A$141,"&gt;="&amp;MAX(O$7,$J138),Calendar!$A$16:$A$141,"&lt;="&amp;MIN(O$7+4,$K138))=0,0,IF($H138="","EXT",SUMIFS(Calendar!$C$16:$C$141,Calendar!$A$16:$A$141,"&gt;="&amp;MAX(O$7,$J138),Calendar!$A$16:$A$141,"&lt;="&amp;MIN(O$7+4,$K138))*$H138/$G138)))</x:f>
        <x:v>0</x:v>
      </x:c>
      <x:c r="P138" s="45" t="n">
        <x:f>IF(OR($J138="",$K138=""),"",IF(SUMIFS(Calendar!$C$16:$C$141,Calendar!$A$16:$A$141,"&gt;="&amp;MAX(P$7,$J138),Calendar!$A$16:$A$141,"&lt;="&amp;MIN(P$7+4,$K138))=0,0,IF($H138="","EXT",SUMIFS(Calendar!$C$16:$C$141,Calendar!$A$16:$A$141,"&gt;="&amp;MAX(P$7,$J138),Calendar!$A$16:$A$141,"&lt;="&amp;MIN(P$7+4,$K138))*$H138/$G138)))</x:f>
        <x:v>0</x:v>
      </x:c>
      <x:c r="Q138" s="45" t="n">
        <x:f>IF(OR($J138="",$K138=""),"",IF(SUMIFS(Calendar!$C$16:$C$141,Calendar!$A$16:$A$141,"&gt;="&amp;MAX(Q$7,$J138),Calendar!$A$16:$A$141,"&lt;="&amp;MIN(Q$7+4,$K138))=0,0,IF($H138="","EXT",SUMIFS(Calendar!$C$16:$C$141,Calendar!$A$16:$A$141,"&gt;="&amp;MAX(Q$7,$J138),Calendar!$A$16:$A$141,"&lt;="&amp;MIN(Q$7+4,$K138))*$H138/$G138)))</x:f>
        <x:v>4</x:v>
      </x:c>
      <x:c r="R138" s="45" t="n">
        <x:f>IF(OR($J138="",$K138=""),"",IF(SUMIFS(Calendar!$C$16:$C$141,Calendar!$A$16:$A$141,"&gt;="&amp;MAX(R$7,$J138),Calendar!$A$16:$A$141,"&lt;="&amp;MIN(R$7+4,$K138))=0,0,IF($H138="","EXT",SUMIFS(Calendar!$C$16:$C$141,Calendar!$A$16:$A$141,"&gt;="&amp;MAX(R$7,$J138),Calendar!$A$16:$A$141,"&lt;="&amp;MIN(R$7+4,$K138))*$H138/$G138)))</x:f>
        <x:v>0</x:v>
      </x:c>
      <x:c r="S138" s="45" t="n">
        <x:f>IF(OR($J138="",$K138=""),"",IF(SUMIFS(Calendar!$C$16:$C$141,Calendar!$A$16:$A$141,"&gt;="&amp;MAX(S$7,$J138),Calendar!$A$16:$A$141,"&lt;="&amp;MIN(S$7+4,$K138))=0,0,IF($H138="","EXT",SUMIFS(Calendar!$C$16:$C$141,Calendar!$A$16:$A$141,"&gt;="&amp;MAX(S$7,$J138),Calendar!$A$16:$A$141,"&lt;="&amp;MIN(S$7+4,$K138))*$H138/$G138)))</x:f>
        <x:v>0</x:v>
      </x:c>
      <x:c r="T138" s="45" t="n">
        <x:f>IF(OR($J138="",$K138=""),"",IF(SUMIFS(Calendar!$C$16:$C$141,Calendar!$A$16:$A$141,"&gt;="&amp;MAX(T$7,$J138),Calendar!$A$16:$A$141,"&lt;="&amp;MIN(T$7+4,$K138))=0,0,IF($H138="","EXT",SUMIFS(Calendar!$C$16:$C$141,Calendar!$A$16:$A$141,"&gt;="&amp;MAX(T$7,$J138),Calendar!$A$16:$A$141,"&lt;="&amp;MIN(T$7+4,$K138))*$H138/$G138)))</x:f>
        <x:v>0</x:v>
      </x:c>
      <x:c r="U138" s="45" t="n">
        <x:f>IF(OR($J138="",$K138=""),"",IF(SUMIFS(Calendar!$C$16:$C$141,Calendar!$A$16:$A$141,"&gt;="&amp;MAX(U$7,$J138),Calendar!$A$16:$A$141,"&lt;="&amp;MIN(U$7+4,$K138))=0,0,IF($H138="","EXT",SUMIFS(Calendar!$C$16:$C$141,Calendar!$A$16:$A$141,"&gt;="&amp;MAX(U$7,$J138),Calendar!$A$16:$A$141,"&lt;="&amp;MIN(U$7+4,$K138))*$H138/$G138)))</x:f>
        <x:v>0</x:v>
      </x:c>
      <x:c r="V138" s="45" t="n">
        <x:f>IF(OR($J138="",$K138=""),"",IF(SUMIFS(Calendar!$C$16:$C$141,Calendar!$A$16:$A$141,"&gt;="&amp;MAX(V$7,$J138),Calendar!$A$16:$A$141,"&lt;="&amp;MIN(V$7+4,$K138))=0,0,IF($H138="","EXT",SUMIFS(Calendar!$C$16:$C$141,Calendar!$A$16:$A$141,"&gt;="&amp;MAX(V$7,$J138),Calendar!$A$16:$A$141,"&lt;="&amp;MIN(V$7+4,$K138))*$H138/$G138)))</x:f>
        <x:v>0</x:v>
      </x:c>
      <x:c r="W138" s="45" t="n">
        <x:f>IF(OR($J138="",$K138=""),"",IF(SUMIFS(Calendar!$C$16:$C$141,Calendar!$A$16:$A$141,"&gt;="&amp;MAX(W$7,$J138),Calendar!$A$16:$A$141,"&lt;="&amp;MIN(W$7+4,$K138))=0,0,IF($H138="","EXT",SUMIFS(Calendar!$C$16:$C$141,Calendar!$A$16:$A$141,"&gt;="&amp;MAX(W$7,$J138),Calendar!$A$16:$A$141,"&lt;="&amp;MIN(W$7+4,$K138))*$H138/$G138)))</x:f>
        <x:v>0</x:v>
      </x:c>
      <x:c r="X138" s="45" t="n">
        <x:f>IF(OR($J138="",$K138=""),"",IF(SUMIFS(Calendar!$C$16:$C$141,Calendar!$A$16:$A$141,"&gt;="&amp;MAX(X$7,$J138),Calendar!$A$16:$A$141,"&lt;="&amp;MIN(X$7+4,$K138))=0,0,IF($H138="","EXT",SUMIFS(Calendar!$C$16:$C$141,Calendar!$A$16:$A$141,"&gt;="&amp;MAX(X$7,$J138),Calendar!$A$16:$A$141,"&lt;="&amp;MIN(X$7+4,$K138))*$H138/$G138)))</x:f>
        <x:v>0</x:v>
      </x:c>
      <x:c r="Y138" s="45" t="n">
        <x:f>IF(OR($J138="",$K138=""),"",IF(SUMIFS(Calendar!$C$16:$C$141,Calendar!$A$16:$A$141,"&gt;="&amp;MAX(Y$7,$J138),Calendar!$A$16:$A$141,"&lt;="&amp;MIN(Y$7+4,$K138))=0,0,IF($H138="","EXT",SUMIFS(Calendar!$C$16:$C$141,Calendar!$A$16:$A$141,"&gt;="&amp;MAX(Y$7,$J138),Calendar!$A$16:$A$141,"&lt;="&amp;MIN(Y$7+4,$K138))*$H138/$G138)))</x:f>
        <x:v>0</x:v>
      </x:c>
      <x:c r="Z138" s="45" t="n">
        <x:f>IF(OR($J138="",$K138=""),"",IF(SUMIFS(Calendar!$C$16:$C$141,Calendar!$A$16:$A$141,"&gt;="&amp;MAX(Z$7,$J138),Calendar!$A$16:$A$141,"&lt;="&amp;MIN(Z$7+4,$K138))=0,0,IF($H138="","EXT",SUMIFS(Calendar!$C$16:$C$141,Calendar!$A$16:$A$141,"&gt;="&amp;MAX(Z$7,$J138),Calendar!$A$16:$A$141,"&lt;="&amp;MIN(Z$7+4,$K138))*$H138/$G138)))</x:f>
        <x:v>0</x:v>
      </x:c>
      <x:c r="AA138" s="45" t="n">
        <x:f>IF(OR($J138="",$K138=""),"",IF(SUMIFS(Calendar!$C$16:$C$141,Calendar!$A$16:$A$141,"&gt;="&amp;MAX(AA$7,$J138),Calendar!$A$16:$A$141,"&lt;="&amp;MIN(AA$7+4,$K138))=0,0,IF($H138="","EXT",SUMIFS(Calendar!$C$16:$C$141,Calendar!$A$16:$A$141,"&gt;="&amp;MAX(AA$7,$J138),Calendar!$A$16:$A$141,"&lt;="&amp;MIN(AA$7+4,$K138))*$H138/$G138)))</x:f>
        <x:v>0</x:v>
      </x:c>
      <x:c r="AB138" s="45" t="n">
        <x:f>IF(OR($J138="",$K138=""),"",IF(SUMIFS(Calendar!$C$16:$C$141,Calendar!$A$16:$A$141,"&gt;="&amp;MAX(AB$7,$J138),Calendar!$A$16:$A$141,"&lt;="&amp;MIN(AB$7+4,$K138))=0,0,IF($H138="","EXT",SUMIFS(Calendar!$C$16:$C$141,Calendar!$A$16:$A$141,"&gt;="&amp;MAX(AB$7,$J138),Calendar!$A$16:$A$141,"&lt;="&amp;MIN(AB$7+4,$K138))*$H138/$G138)))</x:f>
        <x:v>0</x:v>
      </x:c>
      <x:c r="AC138" s="45" t="n">
        <x:f>IF(OR($J138="",$K138=""),"",IF(SUMIFS(Calendar!$C$16:$C$141,Calendar!$A$16:$A$141,"&gt;="&amp;MAX(AC$7,$J138),Calendar!$A$16:$A$141,"&lt;="&amp;MIN(AC$7+4,$K138))=0,0,IF($H138="","EXT",SUMIFS(Calendar!$C$16:$C$141,Calendar!$A$16:$A$141,"&gt;="&amp;MAX(AC$7,$J138),Calendar!$A$16:$A$141,"&lt;="&amp;MIN(AC$7+4,$K138))*$H138/$G138)))</x:f>
        <x:v>0</x:v>
      </x:c>
      <x:c r="AD138" s="45" t="n">
        <x:f>IF(OR($J138="",$K138=""),"",IF(SUMIFS(Calendar!$C$16:$C$141,Calendar!$A$16:$A$141,"&gt;="&amp;MAX(AD$7,$J138),Calendar!$A$16:$A$141,"&lt;="&amp;MIN(AD$7+4,$K138))=0,0,IF($H138="","EXT",SUMIFS(Calendar!$C$16:$C$141,Calendar!$A$16:$A$141,"&gt;="&amp;MAX(AD$7,$J138),Calendar!$A$16:$A$141,"&lt;="&amp;MIN(AD$7+4,$K138))*$H138/$G138)))</x:f>
        <x:v>0</x:v>
      </x:c>
      <x:c r="AE138" s="45" t="n">
        <x:f>IF(OR($J138="",$K138=""),"",IF(SUMIFS(Calendar!$C$16:$C$141,Calendar!$A$16:$A$141,"&gt;="&amp;MAX(AE$7,$J138),Calendar!$A$16:$A$141,"&lt;="&amp;MIN(AE$7+4,$K138))=0,0,IF($H138="","EXT",SUMIFS(Calendar!$C$16:$C$141,Calendar!$A$16:$A$141,"&gt;="&amp;MAX(AE$7,$J138),Calendar!$A$16:$A$141,"&lt;="&amp;MIN(AE$7+4,$K138))*$H138/$G138)))</x:f>
        <x:v>0</x:v>
      </x:c>
      <x:c r="AF138" s="8" t="n">
        <x:f>IF(OR(M138&lt;&gt;"Scheduled",INDEX('Team and Gates'!$C$7:$C$13,MATCH($D138,'Team and Gates'!$A$7:$A$13,0))=""),"CHECK",SUM(N138:AE138)*INDEX('Team and Gates'!$C$7:$C$13,MATCH($D138,'Team and Gates'!$A$7:$A$13,0)))</x:f>
        <x:v>1440</x:v>
      </x:c>
      <x:c r="AG138" s="46" t="str">
        <x:v>Developer checks and positive/negative acceptance examples pass; review AI-generated code before handoff.</x:v>
      </x:c>
      <x:c r="AH138" s="46" t="str">
        <x:v>Three-week feature implementation window after FSD signoff; use Codex with developer review and continuous tests. One UI/UX resource is assumed capable of frontend implementation, not design only.</x:v>
      </x:c>
    </x:row>
    <x:row r="139" ht="45" customHeight="1">
      <x:c r="A139" s="39" t="str">
        <x:v>F06</x:v>
      </x:c>
      <x:c r="B139" s="39" t="str">
        <x:v>Design / frontend</x:v>
      </x:c>
      <x:c r="C139" s="47" t="str">
        <x:v>Implement Portal: draft editing, approval and Playbook Studio</x:v>
      </x:c>
      <x:c r="D139" s="22" t="str">
        <x:v>UI/UX</x:v>
      </x:c>
      <x:c r="E139" s="47" t="str">
        <x:v>F05</x:v>
      </x:c>
      <x:c r="F139" s="50" t="n">
        <x:v>21</x:v>
      </x:c>
      <x:c r="G139" s="50" t="n">
        <x:v>2</x:v>
      </x:c>
      <x:c r="H139" s="51" t="n">
        <x:v>1.6</x:v>
      </x:c>
      <x:c r="I139" s="39" t="n">
        <x:f>IF(OR(F139="",G139=""),"",F139+G139-1)</x:f>
        <x:v>22</x:v>
      </x:c>
      <x:c r="J139" s="41" t="n">
        <x:f>IF(OR(F139="",F139&lt;1,F139&gt;Calendar!$B$9),"",INDEX(Calendar!$A$16:$A$141,MATCH(F139,Calendar!$D$16:$D$141,0)))</x:f>
        <x:v>46356</x:v>
      </x:c>
      <x:c r="K139" s="41" t="n">
        <x:f>IF(OR(I139="",I139&lt;1,I139&gt;Calendar!$B$9),"",INDEX(Calendar!$A$16:$A$141,MATCH(I139,Calendar!$D$16:$D$141,0)))</x:f>
        <x:v>46357</x:v>
      </x:c>
      <x:c r="L139" s="53" t="n">
        <x:v>0</x:v>
      </x:c>
      <x:c r="M139" s="39" t="str">
        <x:f>IF(OR(F139="",G139="",H139=""),"Missing input",IF(OR(F139&lt;1,G139&lt;1,I139&gt;Calendar!$B$9),"Outside calendar",IF(F139&lt;MAX(INDEX($I$8:$I$157,MATCH("F05",$A$8:$A$157,0))+1),"Dependency conflict","Scheduled")))</x:f>
        <x:v>Scheduled</x:v>
      </x:c>
      <x:c r="N139" s="45" t="n">
        <x:f>IF(OR($J139="",$K139=""),"",IF(SUMIFS(Calendar!$C$16:$C$141,Calendar!$A$16:$A$141,"&gt;="&amp;MAX(N$7,$J139),Calendar!$A$16:$A$141,"&lt;="&amp;MIN(N$7+4,$K139))=0,0,IF($H139="","EXT",SUMIFS(Calendar!$C$16:$C$141,Calendar!$A$16:$A$141,"&gt;="&amp;MAX(N$7,$J139),Calendar!$A$16:$A$141,"&lt;="&amp;MIN(N$7+4,$K139))*$H139/$G139)))</x:f>
        <x:v>0</x:v>
      </x:c>
      <x:c r="O139" s="45" t="n">
        <x:f>IF(OR($J139="",$K139=""),"",IF(SUMIFS(Calendar!$C$16:$C$141,Calendar!$A$16:$A$141,"&gt;="&amp;MAX(O$7,$J139),Calendar!$A$16:$A$141,"&lt;="&amp;MIN(O$7+4,$K139))=0,0,IF($H139="","EXT",SUMIFS(Calendar!$C$16:$C$141,Calendar!$A$16:$A$141,"&gt;="&amp;MAX(O$7,$J139),Calendar!$A$16:$A$141,"&lt;="&amp;MIN(O$7+4,$K139))*$H139/$G139)))</x:f>
        <x:v>0</x:v>
      </x:c>
      <x:c r="P139" s="45" t="n">
        <x:f>IF(OR($J139="",$K139=""),"",IF(SUMIFS(Calendar!$C$16:$C$141,Calendar!$A$16:$A$141,"&gt;="&amp;MAX(P$7,$J139),Calendar!$A$16:$A$141,"&lt;="&amp;MIN(P$7+4,$K139))=0,0,IF($H139="","EXT",SUMIFS(Calendar!$C$16:$C$141,Calendar!$A$16:$A$141,"&gt;="&amp;MAX(P$7,$J139),Calendar!$A$16:$A$141,"&lt;="&amp;MIN(P$7+4,$K139))*$H139/$G139)))</x:f>
        <x:v>0</x:v>
      </x:c>
      <x:c r="Q139" s="45" t="n">
        <x:f>IF(OR($J139="",$K139=""),"",IF(SUMIFS(Calendar!$C$16:$C$141,Calendar!$A$16:$A$141,"&gt;="&amp;MAX(Q$7,$J139),Calendar!$A$16:$A$141,"&lt;="&amp;MIN(Q$7+4,$K139))=0,0,IF($H139="","EXT",SUMIFS(Calendar!$C$16:$C$141,Calendar!$A$16:$A$141,"&gt;="&amp;MAX(Q$7,$J139),Calendar!$A$16:$A$141,"&lt;="&amp;MIN(Q$7+4,$K139))*$H139/$G139)))</x:f>
        <x:v>0</x:v>
      </x:c>
      <x:c r="R139" s="45" t="n">
        <x:f>IF(OR($J139="",$K139=""),"",IF(SUMIFS(Calendar!$C$16:$C$141,Calendar!$A$16:$A$141,"&gt;="&amp;MAX(R$7,$J139),Calendar!$A$16:$A$141,"&lt;="&amp;MIN(R$7+4,$K139))=0,0,IF($H139="","EXT",SUMIFS(Calendar!$C$16:$C$141,Calendar!$A$16:$A$141,"&gt;="&amp;MAX(R$7,$J139),Calendar!$A$16:$A$141,"&lt;="&amp;MIN(R$7+4,$K139))*$H139/$G139)))</x:f>
        <x:v>1.6</x:v>
      </x:c>
      <x:c r="S139" s="45" t="n">
        <x:f>IF(OR($J139="",$K139=""),"",IF(SUMIFS(Calendar!$C$16:$C$141,Calendar!$A$16:$A$141,"&gt;="&amp;MAX(S$7,$J139),Calendar!$A$16:$A$141,"&lt;="&amp;MIN(S$7+4,$K139))=0,0,IF($H139="","EXT",SUMIFS(Calendar!$C$16:$C$141,Calendar!$A$16:$A$141,"&gt;="&amp;MAX(S$7,$J139),Calendar!$A$16:$A$141,"&lt;="&amp;MIN(S$7+4,$K139))*$H139/$G139)))</x:f>
        <x:v>0</x:v>
      </x:c>
      <x:c r="T139" s="45" t="n">
        <x:f>IF(OR($J139="",$K139=""),"",IF(SUMIFS(Calendar!$C$16:$C$141,Calendar!$A$16:$A$141,"&gt;="&amp;MAX(T$7,$J139),Calendar!$A$16:$A$141,"&lt;="&amp;MIN(T$7+4,$K139))=0,0,IF($H139="","EXT",SUMIFS(Calendar!$C$16:$C$141,Calendar!$A$16:$A$141,"&gt;="&amp;MAX(T$7,$J139),Calendar!$A$16:$A$141,"&lt;="&amp;MIN(T$7+4,$K139))*$H139/$G139)))</x:f>
        <x:v>0</x:v>
      </x:c>
      <x:c r="U139" s="45" t="n">
        <x:f>IF(OR($J139="",$K139=""),"",IF(SUMIFS(Calendar!$C$16:$C$141,Calendar!$A$16:$A$141,"&gt;="&amp;MAX(U$7,$J139),Calendar!$A$16:$A$141,"&lt;="&amp;MIN(U$7+4,$K139))=0,0,IF($H139="","EXT",SUMIFS(Calendar!$C$16:$C$141,Calendar!$A$16:$A$141,"&gt;="&amp;MAX(U$7,$J139),Calendar!$A$16:$A$141,"&lt;="&amp;MIN(U$7+4,$K139))*$H139/$G139)))</x:f>
        <x:v>0</x:v>
      </x:c>
      <x:c r="V139" s="45" t="n">
        <x:f>IF(OR($J139="",$K139=""),"",IF(SUMIFS(Calendar!$C$16:$C$141,Calendar!$A$16:$A$141,"&gt;="&amp;MAX(V$7,$J139),Calendar!$A$16:$A$141,"&lt;="&amp;MIN(V$7+4,$K139))=0,0,IF($H139="","EXT",SUMIFS(Calendar!$C$16:$C$141,Calendar!$A$16:$A$141,"&gt;="&amp;MAX(V$7,$J139),Calendar!$A$16:$A$141,"&lt;="&amp;MIN(V$7+4,$K139))*$H139/$G139)))</x:f>
        <x:v>0</x:v>
      </x:c>
      <x:c r="W139" s="45" t="n">
        <x:f>IF(OR($J139="",$K139=""),"",IF(SUMIFS(Calendar!$C$16:$C$141,Calendar!$A$16:$A$141,"&gt;="&amp;MAX(W$7,$J139),Calendar!$A$16:$A$141,"&lt;="&amp;MIN(W$7+4,$K139))=0,0,IF($H139="","EXT",SUMIFS(Calendar!$C$16:$C$141,Calendar!$A$16:$A$141,"&gt;="&amp;MAX(W$7,$J139),Calendar!$A$16:$A$141,"&lt;="&amp;MIN(W$7+4,$K139))*$H139/$G139)))</x:f>
        <x:v>0</x:v>
      </x:c>
      <x:c r="X139" s="45" t="n">
        <x:f>IF(OR($J139="",$K139=""),"",IF(SUMIFS(Calendar!$C$16:$C$141,Calendar!$A$16:$A$141,"&gt;="&amp;MAX(X$7,$J139),Calendar!$A$16:$A$141,"&lt;="&amp;MIN(X$7+4,$K139))=0,0,IF($H139="","EXT",SUMIFS(Calendar!$C$16:$C$141,Calendar!$A$16:$A$141,"&gt;="&amp;MAX(X$7,$J139),Calendar!$A$16:$A$141,"&lt;="&amp;MIN(X$7+4,$K139))*$H139/$G139)))</x:f>
        <x:v>0</x:v>
      </x:c>
      <x:c r="Y139" s="45" t="n">
        <x:f>IF(OR($J139="",$K139=""),"",IF(SUMIFS(Calendar!$C$16:$C$141,Calendar!$A$16:$A$141,"&gt;="&amp;MAX(Y$7,$J139),Calendar!$A$16:$A$141,"&lt;="&amp;MIN(Y$7+4,$K139))=0,0,IF($H139="","EXT",SUMIFS(Calendar!$C$16:$C$141,Calendar!$A$16:$A$141,"&gt;="&amp;MAX(Y$7,$J139),Calendar!$A$16:$A$141,"&lt;="&amp;MIN(Y$7+4,$K139))*$H139/$G139)))</x:f>
        <x:v>0</x:v>
      </x:c>
      <x:c r="Z139" s="45" t="n">
        <x:f>IF(OR($J139="",$K139=""),"",IF(SUMIFS(Calendar!$C$16:$C$141,Calendar!$A$16:$A$141,"&gt;="&amp;MAX(Z$7,$J139),Calendar!$A$16:$A$141,"&lt;="&amp;MIN(Z$7+4,$K139))=0,0,IF($H139="","EXT",SUMIFS(Calendar!$C$16:$C$141,Calendar!$A$16:$A$141,"&gt;="&amp;MAX(Z$7,$J139),Calendar!$A$16:$A$141,"&lt;="&amp;MIN(Z$7+4,$K139))*$H139/$G139)))</x:f>
        <x:v>0</x:v>
      </x:c>
      <x:c r="AA139" s="45" t="n">
        <x:f>IF(OR($J139="",$K139=""),"",IF(SUMIFS(Calendar!$C$16:$C$141,Calendar!$A$16:$A$141,"&gt;="&amp;MAX(AA$7,$J139),Calendar!$A$16:$A$141,"&lt;="&amp;MIN(AA$7+4,$K139))=0,0,IF($H139="","EXT",SUMIFS(Calendar!$C$16:$C$141,Calendar!$A$16:$A$141,"&gt;="&amp;MAX(AA$7,$J139),Calendar!$A$16:$A$141,"&lt;="&amp;MIN(AA$7+4,$K139))*$H139/$G139)))</x:f>
        <x:v>0</x:v>
      </x:c>
      <x:c r="AB139" s="45" t="n">
        <x:f>IF(OR($J139="",$K139=""),"",IF(SUMIFS(Calendar!$C$16:$C$141,Calendar!$A$16:$A$141,"&gt;="&amp;MAX(AB$7,$J139),Calendar!$A$16:$A$141,"&lt;="&amp;MIN(AB$7+4,$K139))=0,0,IF($H139="","EXT",SUMIFS(Calendar!$C$16:$C$141,Calendar!$A$16:$A$141,"&gt;="&amp;MAX(AB$7,$J139),Calendar!$A$16:$A$141,"&lt;="&amp;MIN(AB$7+4,$K139))*$H139/$G139)))</x:f>
        <x:v>0</x:v>
      </x:c>
      <x:c r="AC139" s="45" t="n">
        <x:f>IF(OR($J139="",$K139=""),"",IF(SUMIFS(Calendar!$C$16:$C$141,Calendar!$A$16:$A$141,"&gt;="&amp;MAX(AC$7,$J139),Calendar!$A$16:$A$141,"&lt;="&amp;MIN(AC$7+4,$K139))=0,0,IF($H139="","EXT",SUMIFS(Calendar!$C$16:$C$141,Calendar!$A$16:$A$141,"&gt;="&amp;MAX(AC$7,$J139),Calendar!$A$16:$A$141,"&lt;="&amp;MIN(AC$7+4,$K139))*$H139/$G139)))</x:f>
        <x:v>0</x:v>
      </x:c>
      <x:c r="AD139" s="45" t="n">
        <x:f>IF(OR($J139="",$K139=""),"",IF(SUMIFS(Calendar!$C$16:$C$141,Calendar!$A$16:$A$141,"&gt;="&amp;MAX(AD$7,$J139),Calendar!$A$16:$A$141,"&lt;="&amp;MIN(AD$7+4,$K139))=0,0,IF($H139="","EXT",SUMIFS(Calendar!$C$16:$C$141,Calendar!$A$16:$A$141,"&gt;="&amp;MAX(AD$7,$J139),Calendar!$A$16:$A$141,"&lt;="&amp;MIN(AD$7+4,$K139))*$H139/$G139)))</x:f>
        <x:v>0</x:v>
      </x:c>
      <x:c r="AE139" s="45" t="n">
        <x:f>IF(OR($J139="",$K139=""),"",IF(SUMIFS(Calendar!$C$16:$C$141,Calendar!$A$16:$A$141,"&gt;="&amp;MAX(AE$7,$J139),Calendar!$A$16:$A$141,"&lt;="&amp;MIN(AE$7+4,$K139))=0,0,IF($H139="","EXT",SUMIFS(Calendar!$C$16:$C$141,Calendar!$A$16:$A$141,"&gt;="&amp;MAX(AE$7,$J139),Calendar!$A$16:$A$141,"&lt;="&amp;MIN(AE$7+4,$K139))*$H139/$G139)))</x:f>
        <x:v>0</x:v>
      </x:c>
      <x:c r="AF139" s="8" t="n">
        <x:f>IF(OR(M139&lt;&gt;"Scheduled",INDEX('Team and Gates'!$C$7:$C$13,MATCH($D139,'Team and Gates'!$A$7:$A$13,0))=""),"CHECK",SUM(N139:AE139)*INDEX('Team and Gates'!$C$7:$C$13,MATCH($D139,'Team and Gates'!$A$7:$A$13,0)))</x:f>
        <x:v>576</x:v>
      </x:c>
      <x:c r="AG139" s="46" t="str">
        <x:v>Developer checks and positive/negative acceptance examples pass; review AI-generated code before handoff.</x:v>
      </x:c>
      <x:c r="AH139" s="46" t="str">
        <x:v>Three-week feature implementation window after FSD signoff; use Codex with developer review and continuous tests. One UI/UX resource is assumed capable of frontend implementation, not design only.</x:v>
      </x:c>
    </x:row>
    <x:row r="140" ht="45" customHeight="1">
      <x:c r="A140" s="2" t="str">
        <x:v>F07</x:v>
      </x:c>
      <x:c r="B140" s="2" t="str">
        <x:v>Design / frontend</x:v>
      </x:c>
      <x:c r="C140" s="46" t="str">
        <x:v>Complete frontend/API integration, progress polling and UI checks</x:v>
      </x:c>
      <x:c r="D140" s="22" t="str">
        <x:v>UI/UX</x:v>
      </x:c>
      <x:c r="E140" s="46" t="str">
        <x:v>F06</x:v>
      </x:c>
      <x:c r="F140" s="50" t="n">
        <x:v>23</x:v>
      </x:c>
      <x:c r="G140" s="50" t="n">
        <x:v>3</x:v>
      </x:c>
      <x:c r="H140" s="51" t="n">
        <x:v>2.4</x:v>
      </x:c>
      <x:c r="I140" s="2" t="n">
        <x:f>IF(OR(F140="",G140=""),"",F140+G140-1)</x:f>
        <x:v>25</x:v>
      </x:c>
      <x:c r="J140" s="5" t="n">
        <x:f>IF(OR(F140="",F140&lt;1,F140&gt;Calendar!$B$9),"",INDEX(Calendar!$A$16:$A$141,MATCH(F140,Calendar!$D$16:$D$141,0)))</x:f>
        <x:v>46358</x:v>
      </x:c>
      <x:c r="K140" s="5" t="n">
        <x:f>IF(OR(I140="",I140&lt;1,I140&gt;Calendar!$B$9),"",INDEX(Calendar!$A$16:$A$141,MATCH(I140,Calendar!$D$16:$D$141,0)))</x:f>
        <x:v>46360</x:v>
      </x:c>
      <x:c r="L140" s="53" t="n">
        <x:v>0</x:v>
      </x:c>
      <x:c r="M140" s="2" t="str">
        <x:f>IF(OR(F140="",G140="",H140=""),"Missing input",IF(OR(F140&lt;1,G140&lt;1,I140&gt;Calendar!$B$9),"Outside calendar",IF(F140&lt;MAX(INDEX($I$8:$I$157,MATCH("F06",$A$8:$A$157,0))+1),"Dependency conflict","Scheduled")))</x:f>
        <x:v>Scheduled</x:v>
      </x:c>
      <x:c r="N140" s="45" t="n">
        <x:f>IF(OR($J140="",$K140=""),"",IF(SUMIFS(Calendar!$C$16:$C$141,Calendar!$A$16:$A$141,"&gt;="&amp;MAX(N$7,$J140),Calendar!$A$16:$A$141,"&lt;="&amp;MIN(N$7+4,$K140))=0,0,IF($H140="","EXT",SUMIFS(Calendar!$C$16:$C$141,Calendar!$A$16:$A$141,"&gt;="&amp;MAX(N$7,$J140),Calendar!$A$16:$A$141,"&lt;="&amp;MIN(N$7+4,$K140))*$H140/$G140)))</x:f>
        <x:v>0</x:v>
      </x:c>
      <x:c r="O140" s="45" t="n">
        <x:f>IF(OR($J140="",$K140=""),"",IF(SUMIFS(Calendar!$C$16:$C$141,Calendar!$A$16:$A$141,"&gt;="&amp;MAX(O$7,$J140),Calendar!$A$16:$A$141,"&lt;="&amp;MIN(O$7+4,$K140))=0,0,IF($H140="","EXT",SUMIFS(Calendar!$C$16:$C$141,Calendar!$A$16:$A$141,"&gt;="&amp;MAX(O$7,$J140),Calendar!$A$16:$A$141,"&lt;="&amp;MIN(O$7+4,$K140))*$H140/$G140)))</x:f>
        <x:v>0</x:v>
      </x:c>
      <x:c r="P140" s="45" t="n">
        <x:f>IF(OR($J140="",$K140=""),"",IF(SUMIFS(Calendar!$C$16:$C$141,Calendar!$A$16:$A$141,"&gt;="&amp;MAX(P$7,$J140),Calendar!$A$16:$A$141,"&lt;="&amp;MIN(P$7+4,$K140))=0,0,IF($H140="","EXT",SUMIFS(Calendar!$C$16:$C$141,Calendar!$A$16:$A$141,"&gt;="&amp;MAX(P$7,$J140),Calendar!$A$16:$A$141,"&lt;="&amp;MIN(P$7+4,$K140))*$H140/$G140)))</x:f>
        <x:v>0</x:v>
      </x:c>
      <x:c r="Q140" s="45" t="n">
        <x:f>IF(OR($J140="",$K140=""),"",IF(SUMIFS(Calendar!$C$16:$C$141,Calendar!$A$16:$A$141,"&gt;="&amp;MAX(Q$7,$J140),Calendar!$A$16:$A$141,"&lt;="&amp;MIN(Q$7+4,$K140))=0,0,IF($H140="","EXT",SUMIFS(Calendar!$C$16:$C$141,Calendar!$A$16:$A$141,"&gt;="&amp;MAX(Q$7,$J140),Calendar!$A$16:$A$141,"&lt;="&amp;MIN(Q$7+4,$K140))*$H140/$G140)))</x:f>
        <x:v>0</x:v>
      </x:c>
      <x:c r="R140" s="45" t="n">
        <x:f>IF(OR($J140="",$K140=""),"",IF(SUMIFS(Calendar!$C$16:$C$141,Calendar!$A$16:$A$141,"&gt;="&amp;MAX(R$7,$J140),Calendar!$A$16:$A$141,"&lt;="&amp;MIN(R$7+4,$K140))=0,0,IF($H140="","EXT",SUMIFS(Calendar!$C$16:$C$141,Calendar!$A$16:$A$141,"&gt;="&amp;MAX(R$7,$J140),Calendar!$A$16:$A$141,"&lt;="&amp;MIN(R$7+4,$K140))*$H140/$G140)))</x:f>
        <x:v>2.4</x:v>
      </x:c>
      <x:c r="S140" s="45" t="n">
        <x:f>IF(OR($J140="",$K140=""),"",IF(SUMIFS(Calendar!$C$16:$C$141,Calendar!$A$16:$A$141,"&gt;="&amp;MAX(S$7,$J140),Calendar!$A$16:$A$141,"&lt;="&amp;MIN(S$7+4,$K140))=0,0,IF($H140="","EXT",SUMIFS(Calendar!$C$16:$C$141,Calendar!$A$16:$A$141,"&gt;="&amp;MAX(S$7,$J140),Calendar!$A$16:$A$141,"&lt;="&amp;MIN(S$7+4,$K140))*$H140/$G140)))</x:f>
        <x:v>0</x:v>
      </x:c>
      <x:c r="T140" s="45" t="n">
        <x:f>IF(OR($J140="",$K140=""),"",IF(SUMIFS(Calendar!$C$16:$C$141,Calendar!$A$16:$A$141,"&gt;="&amp;MAX(T$7,$J140),Calendar!$A$16:$A$141,"&lt;="&amp;MIN(T$7+4,$K140))=0,0,IF($H140="","EXT",SUMIFS(Calendar!$C$16:$C$141,Calendar!$A$16:$A$141,"&gt;="&amp;MAX(T$7,$J140),Calendar!$A$16:$A$141,"&lt;="&amp;MIN(T$7+4,$K140))*$H140/$G140)))</x:f>
        <x:v>0</x:v>
      </x:c>
      <x:c r="U140" s="45" t="n">
        <x:f>IF(OR($J140="",$K140=""),"",IF(SUMIFS(Calendar!$C$16:$C$141,Calendar!$A$16:$A$141,"&gt;="&amp;MAX(U$7,$J140),Calendar!$A$16:$A$141,"&lt;="&amp;MIN(U$7+4,$K140))=0,0,IF($H140="","EXT",SUMIFS(Calendar!$C$16:$C$141,Calendar!$A$16:$A$141,"&gt;="&amp;MAX(U$7,$J140),Calendar!$A$16:$A$141,"&lt;="&amp;MIN(U$7+4,$K140))*$H140/$G140)))</x:f>
        <x:v>0</x:v>
      </x:c>
      <x:c r="V140" s="45" t="n">
        <x:f>IF(OR($J140="",$K140=""),"",IF(SUMIFS(Calendar!$C$16:$C$141,Calendar!$A$16:$A$141,"&gt;="&amp;MAX(V$7,$J140),Calendar!$A$16:$A$141,"&lt;="&amp;MIN(V$7+4,$K140))=0,0,IF($H140="","EXT",SUMIFS(Calendar!$C$16:$C$141,Calendar!$A$16:$A$141,"&gt;="&amp;MAX(V$7,$J140),Calendar!$A$16:$A$141,"&lt;="&amp;MIN(V$7+4,$K140))*$H140/$G140)))</x:f>
        <x:v>0</x:v>
      </x:c>
      <x:c r="W140" s="45" t="n">
        <x:f>IF(OR($J140="",$K140=""),"",IF(SUMIFS(Calendar!$C$16:$C$141,Calendar!$A$16:$A$141,"&gt;="&amp;MAX(W$7,$J140),Calendar!$A$16:$A$141,"&lt;="&amp;MIN(W$7+4,$K140))=0,0,IF($H140="","EXT",SUMIFS(Calendar!$C$16:$C$141,Calendar!$A$16:$A$141,"&gt;="&amp;MAX(W$7,$J140),Calendar!$A$16:$A$141,"&lt;="&amp;MIN(W$7+4,$K140))*$H140/$G140)))</x:f>
        <x:v>0</x:v>
      </x:c>
      <x:c r="X140" s="45" t="n">
        <x:f>IF(OR($J140="",$K140=""),"",IF(SUMIFS(Calendar!$C$16:$C$141,Calendar!$A$16:$A$141,"&gt;="&amp;MAX(X$7,$J140),Calendar!$A$16:$A$141,"&lt;="&amp;MIN(X$7+4,$K140))=0,0,IF($H140="","EXT",SUMIFS(Calendar!$C$16:$C$141,Calendar!$A$16:$A$141,"&gt;="&amp;MAX(X$7,$J140),Calendar!$A$16:$A$141,"&lt;="&amp;MIN(X$7+4,$K140))*$H140/$G140)))</x:f>
        <x:v>0</x:v>
      </x:c>
      <x:c r="Y140" s="45" t="n">
        <x:f>IF(OR($J140="",$K140=""),"",IF(SUMIFS(Calendar!$C$16:$C$141,Calendar!$A$16:$A$141,"&gt;="&amp;MAX(Y$7,$J140),Calendar!$A$16:$A$141,"&lt;="&amp;MIN(Y$7+4,$K140))=0,0,IF($H140="","EXT",SUMIFS(Calendar!$C$16:$C$141,Calendar!$A$16:$A$141,"&gt;="&amp;MAX(Y$7,$J140),Calendar!$A$16:$A$141,"&lt;="&amp;MIN(Y$7+4,$K140))*$H140/$G140)))</x:f>
        <x:v>0</x:v>
      </x:c>
      <x:c r="Z140" s="45" t="n">
        <x:f>IF(OR($J140="",$K140=""),"",IF(SUMIFS(Calendar!$C$16:$C$141,Calendar!$A$16:$A$141,"&gt;="&amp;MAX(Z$7,$J140),Calendar!$A$16:$A$141,"&lt;="&amp;MIN(Z$7+4,$K140))=0,0,IF($H140="","EXT",SUMIFS(Calendar!$C$16:$C$141,Calendar!$A$16:$A$141,"&gt;="&amp;MAX(Z$7,$J140),Calendar!$A$16:$A$141,"&lt;="&amp;MIN(Z$7+4,$K140))*$H140/$G140)))</x:f>
        <x:v>0</x:v>
      </x:c>
      <x:c r="AA140" s="45" t="n">
        <x:f>IF(OR($J140="",$K140=""),"",IF(SUMIFS(Calendar!$C$16:$C$141,Calendar!$A$16:$A$141,"&gt;="&amp;MAX(AA$7,$J140),Calendar!$A$16:$A$141,"&lt;="&amp;MIN(AA$7+4,$K140))=0,0,IF($H140="","EXT",SUMIFS(Calendar!$C$16:$C$141,Calendar!$A$16:$A$141,"&gt;="&amp;MAX(AA$7,$J140),Calendar!$A$16:$A$141,"&lt;="&amp;MIN(AA$7+4,$K140))*$H140/$G140)))</x:f>
        <x:v>0</x:v>
      </x:c>
      <x:c r="AB140" s="45" t="n">
        <x:f>IF(OR($J140="",$K140=""),"",IF(SUMIFS(Calendar!$C$16:$C$141,Calendar!$A$16:$A$141,"&gt;="&amp;MAX(AB$7,$J140),Calendar!$A$16:$A$141,"&lt;="&amp;MIN(AB$7+4,$K140))=0,0,IF($H140="","EXT",SUMIFS(Calendar!$C$16:$C$141,Calendar!$A$16:$A$141,"&gt;="&amp;MAX(AB$7,$J140),Calendar!$A$16:$A$141,"&lt;="&amp;MIN(AB$7+4,$K140))*$H140/$G140)))</x:f>
        <x:v>0</x:v>
      </x:c>
      <x:c r="AC140" s="45" t="n">
        <x:f>IF(OR($J140="",$K140=""),"",IF(SUMIFS(Calendar!$C$16:$C$141,Calendar!$A$16:$A$141,"&gt;="&amp;MAX(AC$7,$J140),Calendar!$A$16:$A$141,"&lt;="&amp;MIN(AC$7+4,$K140))=0,0,IF($H140="","EXT",SUMIFS(Calendar!$C$16:$C$141,Calendar!$A$16:$A$141,"&gt;="&amp;MAX(AC$7,$J140),Calendar!$A$16:$A$141,"&lt;="&amp;MIN(AC$7+4,$K140))*$H140/$G140)))</x:f>
        <x:v>0</x:v>
      </x:c>
      <x:c r="AD140" s="45" t="n">
        <x:f>IF(OR($J140="",$K140=""),"",IF(SUMIFS(Calendar!$C$16:$C$141,Calendar!$A$16:$A$141,"&gt;="&amp;MAX(AD$7,$J140),Calendar!$A$16:$A$141,"&lt;="&amp;MIN(AD$7+4,$K140))=0,0,IF($H140="","EXT",SUMIFS(Calendar!$C$16:$C$141,Calendar!$A$16:$A$141,"&gt;="&amp;MAX(AD$7,$J140),Calendar!$A$16:$A$141,"&lt;="&amp;MIN(AD$7+4,$K140))*$H140/$G140)))</x:f>
        <x:v>0</x:v>
      </x:c>
      <x:c r="AE140" s="45" t="n">
        <x:f>IF(OR($J140="",$K140=""),"",IF(SUMIFS(Calendar!$C$16:$C$141,Calendar!$A$16:$A$141,"&gt;="&amp;MAX(AE$7,$J140),Calendar!$A$16:$A$141,"&lt;="&amp;MIN(AE$7+4,$K140))=0,0,IF($H140="","EXT",SUMIFS(Calendar!$C$16:$C$141,Calendar!$A$16:$A$141,"&gt;="&amp;MAX(AE$7,$J140),Calendar!$A$16:$A$141,"&lt;="&amp;MIN(AE$7+4,$K140))*$H140/$G140)))</x:f>
        <x:v>0</x:v>
      </x:c>
      <x:c r="AF140" s="8" t="n">
        <x:f>IF(OR(M140&lt;&gt;"Scheduled",INDEX('Team and Gates'!$C$7:$C$13,MATCH($D140,'Team and Gates'!$A$7:$A$13,0))=""),"CHECK",SUM(N140:AE140)*INDEX('Team and Gates'!$C$7:$C$13,MATCH($D140,'Team and Gates'!$A$7:$A$13,0)))</x:f>
        <x:v>864</x:v>
      </x:c>
      <x:c r="AG140" s="46" t="str">
        <x:v>Developer checks and positive/negative acceptance examples pass; review AI-generated code before handoff.</x:v>
      </x:c>
      <x:c r="AH140" s="46" t="str">
        <x:v>Three-week feature implementation window after FSD signoff; use Codex with developer review and continuous tests. One UI/UX resource is assumed capable of frontend implementation, not design only.</x:v>
      </x:c>
    </x:row>
    <x:row r="141" ht="45" customHeight="1">
      <x:c r="A141" s="39" t="str">
        <x:v>F08</x:v>
      </x:c>
      <x:c r="B141" s="39" t="str">
        <x:v>Design / frontend</x:v>
      </x:c>
      <x:c r="C141" s="47" t="str">
        <x:v>SIT UI fixes: intent visibility and Triage interaction</x:v>
      </x:c>
      <x:c r="D141" s="22" t="str">
        <x:v>UI/UX</x:v>
      </x:c>
      <x:c r="E141" s="47" t="str">
        <x:v>F07</x:v>
      </x:c>
      <x:c r="F141" s="50" t="n">
        <x:v>26</x:v>
      </x:c>
      <x:c r="G141" s="50" t="n">
        <x:v>5</x:v>
      </x:c>
      <x:c r="H141" s="51" t="n">
        <x:v>2</x:v>
      </x:c>
      <x:c r="I141" s="39" t="n">
        <x:f>IF(OR(F141="",G141=""),"",F141+G141-1)</x:f>
        <x:v>30</x:v>
      </x:c>
      <x:c r="J141" s="41" t="n">
        <x:f>IF(OR(F141="",F141&lt;1,F141&gt;Calendar!$B$9),"",INDEX(Calendar!$A$16:$A$141,MATCH(F141,Calendar!$D$16:$D$141,0)))</x:f>
        <x:v>46363</x:v>
      </x:c>
      <x:c r="K141" s="41" t="n">
        <x:f>IF(OR(I141="",I141&lt;1,I141&gt;Calendar!$B$9),"",INDEX(Calendar!$A$16:$A$141,MATCH(I141,Calendar!$D$16:$D$141,0)))</x:f>
        <x:v>46367</x:v>
      </x:c>
      <x:c r="L141" s="53" t="n">
        <x:v>0</x:v>
      </x:c>
      <x:c r="M141" s="39" t="str">
        <x:f>IF(OR(F141="",G141="",H141=""),"Missing input",IF(OR(F141&lt;1,G141&lt;1,I141&gt;Calendar!$B$9),"Outside calendar",IF(F141&lt;MAX(INDEX($I$8:$I$157,MATCH("F07",$A$8:$A$157,0))+1),"Dependency conflict","Scheduled")))</x:f>
        <x:v>Scheduled</x:v>
      </x:c>
      <x:c r="N141" s="45" t="n">
        <x:f>IF(OR($J141="",$K141=""),"",IF(SUMIFS(Calendar!$C$16:$C$141,Calendar!$A$16:$A$141,"&gt;="&amp;MAX(N$7,$J141),Calendar!$A$16:$A$141,"&lt;="&amp;MIN(N$7+4,$K141))=0,0,IF($H141="","EXT",SUMIFS(Calendar!$C$16:$C$141,Calendar!$A$16:$A$141,"&gt;="&amp;MAX(N$7,$J141),Calendar!$A$16:$A$141,"&lt;="&amp;MIN(N$7+4,$K141))*$H141/$G141)))</x:f>
        <x:v>0</x:v>
      </x:c>
      <x:c r="O141" s="45" t="n">
        <x:f>IF(OR($J141="",$K141=""),"",IF(SUMIFS(Calendar!$C$16:$C$141,Calendar!$A$16:$A$141,"&gt;="&amp;MAX(O$7,$J141),Calendar!$A$16:$A$141,"&lt;="&amp;MIN(O$7+4,$K141))=0,0,IF($H141="","EXT",SUMIFS(Calendar!$C$16:$C$141,Calendar!$A$16:$A$141,"&gt;="&amp;MAX(O$7,$J141),Calendar!$A$16:$A$141,"&lt;="&amp;MIN(O$7+4,$K141))*$H141/$G141)))</x:f>
        <x:v>0</x:v>
      </x:c>
      <x:c r="P141" s="45" t="n">
        <x:f>IF(OR($J141="",$K141=""),"",IF(SUMIFS(Calendar!$C$16:$C$141,Calendar!$A$16:$A$141,"&gt;="&amp;MAX(P$7,$J141),Calendar!$A$16:$A$141,"&lt;="&amp;MIN(P$7+4,$K141))=0,0,IF($H141="","EXT",SUMIFS(Calendar!$C$16:$C$141,Calendar!$A$16:$A$141,"&gt;="&amp;MAX(P$7,$J141),Calendar!$A$16:$A$141,"&lt;="&amp;MIN(P$7+4,$K141))*$H141/$G141)))</x:f>
        <x:v>0</x:v>
      </x:c>
      <x:c r="Q141" s="45" t="n">
        <x:f>IF(OR($J141="",$K141=""),"",IF(SUMIFS(Calendar!$C$16:$C$141,Calendar!$A$16:$A$141,"&gt;="&amp;MAX(Q$7,$J141),Calendar!$A$16:$A$141,"&lt;="&amp;MIN(Q$7+4,$K141))=0,0,IF($H141="","EXT",SUMIFS(Calendar!$C$16:$C$141,Calendar!$A$16:$A$141,"&gt;="&amp;MAX(Q$7,$J141),Calendar!$A$16:$A$141,"&lt;="&amp;MIN(Q$7+4,$K141))*$H141/$G141)))</x:f>
        <x:v>0</x:v>
      </x:c>
      <x:c r="R141" s="45" t="n">
        <x:f>IF(OR($J141="",$K141=""),"",IF(SUMIFS(Calendar!$C$16:$C$141,Calendar!$A$16:$A$141,"&gt;="&amp;MAX(R$7,$J141),Calendar!$A$16:$A$141,"&lt;="&amp;MIN(R$7+4,$K141))=0,0,IF($H141="","EXT",SUMIFS(Calendar!$C$16:$C$141,Calendar!$A$16:$A$141,"&gt;="&amp;MAX(R$7,$J141),Calendar!$A$16:$A$141,"&lt;="&amp;MIN(R$7+4,$K141))*$H141/$G141)))</x:f>
        <x:v>0</x:v>
      </x:c>
      <x:c r="S141" s="45" t="n">
        <x:f>IF(OR($J141="",$K141=""),"",IF(SUMIFS(Calendar!$C$16:$C$141,Calendar!$A$16:$A$141,"&gt;="&amp;MAX(S$7,$J141),Calendar!$A$16:$A$141,"&lt;="&amp;MIN(S$7+4,$K141))=0,0,IF($H141="","EXT",SUMIFS(Calendar!$C$16:$C$141,Calendar!$A$16:$A$141,"&gt;="&amp;MAX(S$7,$J141),Calendar!$A$16:$A$141,"&lt;="&amp;MIN(S$7+4,$K141))*$H141/$G141)))</x:f>
        <x:v>2</x:v>
      </x:c>
      <x:c r="T141" s="45" t="n">
        <x:f>IF(OR($J141="",$K141=""),"",IF(SUMIFS(Calendar!$C$16:$C$141,Calendar!$A$16:$A$141,"&gt;="&amp;MAX(T$7,$J141),Calendar!$A$16:$A$141,"&lt;="&amp;MIN(T$7+4,$K141))=0,0,IF($H141="","EXT",SUMIFS(Calendar!$C$16:$C$141,Calendar!$A$16:$A$141,"&gt;="&amp;MAX(T$7,$J141),Calendar!$A$16:$A$141,"&lt;="&amp;MIN(T$7+4,$K141))*$H141/$G141)))</x:f>
        <x:v>0</x:v>
      </x:c>
      <x:c r="U141" s="45" t="n">
        <x:f>IF(OR($J141="",$K141=""),"",IF(SUMIFS(Calendar!$C$16:$C$141,Calendar!$A$16:$A$141,"&gt;="&amp;MAX(U$7,$J141),Calendar!$A$16:$A$141,"&lt;="&amp;MIN(U$7+4,$K141))=0,0,IF($H141="","EXT",SUMIFS(Calendar!$C$16:$C$141,Calendar!$A$16:$A$141,"&gt;="&amp;MAX(U$7,$J141),Calendar!$A$16:$A$141,"&lt;="&amp;MIN(U$7+4,$K141))*$H141/$G141)))</x:f>
        <x:v>0</x:v>
      </x:c>
      <x:c r="V141" s="45" t="n">
        <x:f>IF(OR($J141="",$K141=""),"",IF(SUMIFS(Calendar!$C$16:$C$141,Calendar!$A$16:$A$141,"&gt;="&amp;MAX(V$7,$J141),Calendar!$A$16:$A$141,"&lt;="&amp;MIN(V$7+4,$K141))=0,0,IF($H141="","EXT",SUMIFS(Calendar!$C$16:$C$141,Calendar!$A$16:$A$141,"&gt;="&amp;MAX(V$7,$J141),Calendar!$A$16:$A$141,"&lt;="&amp;MIN(V$7+4,$K141))*$H141/$G141)))</x:f>
        <x:v>0</x:v>
      </x:c>
      <x:c r="W141" s="45" t="n">
        <x:f>IF(OR($J141="",$K141=""),"",IF(SUMIFS(Calendar!$C$16:$C$141,Calendar!$A$16:$A$141,"&gt;="&amp;MAX(W$7,$J141),Calendar!$A$16:$A$141,"&lt;="&amp;MIN(W$7+4,$K141))=0,0,IF($H141="","EXT",SUMIFS(Calendar!$C$16:$C$141,Calendar!$A$16:$A$141,"&gt;="&amp;MAX(W$7,$J141),Calendar!$A$16:$A$141,"&lt;="&amp;MIN(W$7+4,$K141))*$H141/$G141)))</x:f>
        <x:v>0</x:v>
      </x:c>
      <x:c r="X141" s="45" t="n">
        <x:f>IF(OR($J141="",$K141=""),"",IF(SUMIFS(Calendar!$C$16:$C$141,Calendar!$A$16:$A$141,"&gt;="&amp;MAX(X$7,$J141),Calendar!$A$16:$A$141,"&lt;="&amp;MIN(X$7+4,$K141))=0,0,IF($H141="","EXT",SUMIFS(Calendar!$C$16:$C$141,Calendar!$A$16:$A$141,"&gt;="&amp;MAX(X$7,$J141),Calendar!$A$16:$A$141,"&lt;="&amp;MIN(X$7+4,$K141))*$H141/$G141)))</x:f>
        <x:v>0</x:v>
      </x:c>
      <x:c r="Y141" s="45" t="n">
        <x:f>IF(OR($J141="",$K141=""),"",IF(SUMIFS(Calendar!$C$16:$C$141,Calendar!$A$16:$A$141,"&gt;="&amp;MAX(Y$7,$J141),Calendar!$A$16:$A$141,"&lt;="&amp;MIN(Y$7+4,$K141))=0,0,IF($H141="","EXT",SUMIFS(Calendar!$C$16:$C$141,Calendar!$A$16:$A$141,"&gt;="&amp;MAX(Y$7,$J141),Calendar!$A$16:$A$141,"&lt;="&amp;MIN(Y$7+4,$K141))*$H141/$G141)))</x:f>
        <x:v>0</x:v>
      </x:c>
      <x:c r="Z141" s="45" t="n">
        <x:f>IF(OR($J141="",$K141=""),"",IF(SUMIFS(Calendar!$C$16:$C$141,Calendar!$A$16:$A$141,"&gt;="&amp;MAX(Z$7,$J141),Calendar!$A$16:$A$141,"&lt;="&amp;MIN(Z$7+4,$K141))=0,0,IF($H141="","EXT",SUMIFS(Calendar!$C$16:$C$141,Calendar!$A$16:$A$141,"&gt;="&amp;MAX(Z$7,$J141),Calendar!$A$16:$A$141,"&lt;="&amp;MIN(Z$7+4,$K141))*$H141/$G141)))</x:f>
        <x:v>0</x:v>
      </x:c>
      <x:c r="AA141" s="45" t="n">
        <x:f>IF(OR($J141="",$K141=""),"",IF(SUMIFS(Calendar!$C$16:$C$141,Calendar!$A$16:$A$141,"&gt;="&amp;MAX(AA$7,$J141),Calendar!$A$16:$A$141,"&lt;="&amp;MIN(AA$7+4,$K141))=0,0,IF($H141="","EXT",SUMIFS(Calendar!$C$16:$C$141,Calendar!$A$16:$A$141,"&gt;="&amp;MAX(AA$7,$J141),Calendar!$A$16:$A$141,"&lt;="&amp;MIN(AA$7+4,$K141))*$H141/$G141)))</x:f>
        <x:v>0</x:v>
      </x:c>
      <x:c r="AB141" s="45" t="n">
        <x:f>IF(OR($J141="",$K141=""),"",IF(SUMIFS(Calendar!$C$16:$C$141,Calendar!$A$16:$A$141,"&gt;="&amp;MAX(AB$7,$J141),Calendar!$A$16:$A$141,"&lt;="&amp;MIN(AB$7+4,$K141))=0,0,IF($H141="","EXT",SUMIFS(Calendar!$C$16:$C$141,Calendar!$A$16:$A$141,"&gt;="&amp;MAX(AB$7,$J141),Calendar!$A$16:$A$141,"&lt;="&amp;MIN(AB$7+4,$K141))*$H141/$G141)))</x:f>
        <x:v>0</x:v>
      </x:c>
      <x:c r="AC141" s="45" t="n">
        <x:f>IF(OR($J141="",$K141=""),"",IF(SUMIFS(Calendar!$C$16:$C$141,Calendar!$A$16:$A$141,"&gt;="&amp;MAX(AC$7,$J141),Calendar!$A$16:$A$141,"&lt;="&amp;MIN(AC$7+4,$K141))=0,0,IF($H141="","EXT",SUMIFS(Calendar!$C$16:$C$141,Calendar!$A$16:$A$141,"&gt;="&amp;MAX(AC$7,$J141),Calendar!$A$16:$A$141,"&lt;="&amp;MIN(AC$7+4,$K141))*$H141/$G141)))</x:f>
        <x:v>0</x:v>
      </x:c>
      <x:c r="AD141" s="45" t="n">
        <x:f>IF(OR($J141="",$K141=""),"",IF(SUMIFS(Calendar!$C$16:$C$141,Calendar!$A$16:$A$141,"&gt;="&amp;MAX(AD$7,$J141),Calendar!$A$16:$A$141,"&lt;="&amp;MIN(AD$7+4,$K141))=0,0,IF($H141="","EXT",SUMIFS(Calendar!$C$16:$C$141,Calendar!$A$16:$A$141,"&gt;="&amp;MAX(AD$7,$J141),Calendar!$A$16:$A$141,"&lt;="&amp;MIN(AD$7+4,$K141))*$H141/$G141)))</x:f>
        <x:v>0</x:v>
      </x:c>
      <x:c r="AE141" s="45" t="n">
        <x:f>IF(OR($J141="",$K141=""),"",IF(SUMIFS(Calendar!$C$16:$C$141,Calendar!$A$16:$A$141,"&gt;="&amp;MAX(AE$7,$J141),Calendar!$A$16:$A$141,"&lt;="&amp;MIN(AE$7+4,$K141))=0,0,IF($H141="","EXT",SUMIFS(Calendar!$C$16:$C$141,Calendar!$A$16:$A$141,"&gt;="&amp;MAX(AE$7,$J141),Calendar!$A$16:$A$141,"&lt;="&amp;MIN(AE$7+4,$K141))*$H141/$G141)))</x:f>
        <x:v>0</x:v>
      </x:c>
      <x:c r="AF141" s="8" t="n">
        <x:f>IF(OR(M141&lt;&gt;"Scheduled",INDEX('Team and Gates'!$C$7:$C$13,MATCH($D141,'Team and Gates'!$A$7:$A$13,0))=""),"CHECK",SUM(N141:AE141)*INDEX('Team and Gates'!$C$7:$C$13,MATCH($D141,'Team and Gates'!$A$7:$A$13,0)))</x:f>
        <x:v>720</x:v>
      </x:c>
      <x:c r="AG141" s="46" t="str">
        <x:v>Reproducible SIT evidence, defect disposition and affected-path retesting are recorded.</x:v>
      </x:c>
      <x:c r="AH141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42" ht="45" customHeight="1">
      <x:c r="A142" s="2" t="str">
        <x:v>F09</x:v>
      </x:c>
      <x:c r="B142" s="2" t="str">
        <x:v>Design / frontend</x:v>
      </x:c>
      <x:c r="C142" s="46" t="str">
        <x:v>SIT UI fixes: draft edits, sending states and error recovery</x:v>
      </x:c>
      <x:c r="D142" s="22" t="str">
        <x:v>UI/UX</x:v>
      </x:c>
      <x:c r="E142" s="46" t="str">
        <x:v>F08</x:v>
      </x:c>
      <x:c r="F142" s="50" t="n">
        <x:v>31</x:v>
      </x:c>
      <x:c r="G142" s="50" t="n">
        <x:v>5</x:v>
      </x:c>
      <x:c r="H142" s="51" t="n">
        <x:v>2</x:v>
      </x:c>
      <x:c r="I142" s="2" t="n">
        <x:f>IF(OR(F142="",G142=""),"",F142+G142-1)</x:f>
        <x:v>35</x:v>
      </x:c>
      <x:c r="J142" s="5" t="n">
        <x:f>IF(OR(F142="",F142&lt;1,F142&gt;Calendar!$B$9),"",INDEX(Calendar!$A$16:$A$141,MATCH(F142,Calendar!$D$16:$D$141,0)))</x:f>
        <x:v>46370</x:v>
      </x:c>
      <x:c r="K142" s="5" t="n">
        <x:f>IF(OR(I142="",I142&lt;1,I142&gt;Calendar!$B$9),"",INDEX(Calendar!$A$16:$A$141,MATCH(I142,Calendar!$D$16:$D$141,0)))</x:f>
        <x:v>46374</x:v>
      </x:c>
      <x:c r="L142" s="53" t="n">
        <x:v>0</x:v>
      </x:c>
      <x:c r="M142" s="2" t="str">
        <x:f>IF(OR(F142="",G142="",H142=""),"Missing input",IF(OR(F142&lt;1,G142&lt;1,I142&gt;Calendar!$B$9),"Outside calendar",IF(F142&lt;MAX(INDEX($I$8:$I$157,MATCH("F08",$A$8:$A$157,0))+1),"Dependency conflict","Scheduled")))</x:f>
        <x:v>Scheduled</x:v>
      </x:c>
      <x:c r="N142" s="45" t="n">
        <x:f>IF(OR($J142="",$K142=""),"",IF(SUMIFS(Calendar!$C$16:$C$141,Calendar!$A$16:$A$141,"&gt;="&amp;MAX(N$7,$J142),Calendar!$A$16:$A$141,"&lt;="&amp;MIN(N$7+4,$K142))=0,0,IF($H142="","EXT",SUMIFS(Calendar!$C$16:$C$141,Calendar!$A$16:$A$141,"&gt;="&amp;MAX(N$7,$J142),Calendar!$A$16:$A$141,"&lt;="&amp;MIN(N$7+4,$K142))*$H142/$G142)))</x:f>
        <x:v>0</x:v>
      </x:c>
      <x:c r="O142" s="45" t="n">
        <x:f>IF(OR($J142="",$K142=""),"",IF(SUMIFS(Calendar!$C$16:$C$141,Calendar!$A$16:$A$141,"&gt;="&amp;MAX(O$7,$J142),Calendar!$A$16:$A$141,"&lt;="&amp;MIN(O$7+4,$K142))=0,0,IF($H142="","EXT",SUMIFS(Calendar!$C$16:$C$141,Calendar!$A$16:$A$141,"&gt;="&amp;MAX(O$7,$J142),Calendar!$A$16:$A$141,"&lt;="&amp;MIN(O$7+4,$K142))*$H142/$G142)))</x:f>
        <x:v>0</x:v>
      </x:c>
      <x:c r="P142" s="45" t="n">
        <x:f>IF(OR($J142="",$K142=""),"",IF(SUMIFS(Calendar!$C$16:$C$141,Calendar!$A$16:$A$141,"&gt;="&amp;MAX(P$7,$J142),Calendar!$A$16:$A$141,"&lt;="&amp;MIN(P$7+4,$K142))=0,0,IF($H142="","EXT",SUMIFS(Calendar!$C$16:$C$141,Calendar!$A$16:$A$141,"&gt;="&amp;MAX(P$7,$J142),Calendar!$A$16:$A$141,"&lt;="&amp;MIN(P$7+4,$K142))*$H142/$G142)))</x:f>
        <x:v>0</x:v>
      </x:c>
      <x:c r="Q142" s="45" t="n">
        <x:f>IF(OR($J142="",$K142=""),"",IF(SUMIFS(Calendar!$C$16:$C$141,Calendar!$A$16:$A$141,"&gt;="&amp;MAX(Q$7,$J142),Calendar!$A$16:$A$141,"&lt;="&amp;MIN(Q$7+4,$K142))=0,0,IF($H142="","EXT",SUMIFS(Calendar!$C$16:$C$141,Calendar!$A$16:$A$141,"&gt;="&amp;MAX(Q$7,$J142),Calendar!$A$16:$A$141,"&lt;="&amp;MIN(Q$7+4,$K142))*$H142/$G142)))</x:f>
        <x:v>0</x:v>
      </x:c>
      <x:c r="R142" s="45" t="n">
        <x:f>IF(OR($J142="",$K142=""),"",IF(SUMIFS(Calendar!$C$16:$C$141,Calendar!$A$16:$A$141,"&gt;="&amp;MAX(R$7,$J142),Calendar!$A$16:$A$141,"&lt;="&amp;MIN(R$7+4,$K142))=0,0,IF($H142="","EXT",SUMIFS(Calendar!$C$16:$C$141,Calendar!$A$16:$A$141,"&gt;="&amp;MAX(R$7,$J142),Calendar!$A$16:$A$141,"&lt;="&amp;MIN(R$7+4,$K142))*$H142/$G142)))</x:f>
        <x:v>0</x:v>
      </x:c>
      <x:c r="S142" s="45" t="n">
        <x:f>IF(OR($J142="",$K142=""),"",IF(SUMIFS(Calendar!$C$16:$C$141,Calendar!$A$16:$A$141,"&gt;="&amp;MAX(S$7,$J142),Calendar!$A$16:$A$141,"&lt;="&amp;MIN(S$7+4,$K142))=0,0,IF($H142="","EXT",SUMIFS(Calendar!$C$16:$C$141,Calendar!$A$16:$A$141,"&gt;="&amp;MAX(S$7,$J142),Calendar!$A$16:$A$141,"&lt;="&amp;MIN(S$7+4,$K142))*$H142/$G142)))</x:f>
        <x:v>0</x:v>
      </x:c>
      <x:c r="T142" s="45" t="n">
        <x:f>IF(OR($J142="",$K142=""),"",IF(SUMIFS(Calendar!$C$16:$C$141,Calendar!$A$16:$A$141,"&gt;="&amp;MAX(T$7,$J142),Calendar!$A$16:$A$141,"&lt;="&amp;MIN(T$7+4,$K142))=0,0,IF($H142="","EXT",SUMIFS(Calendar!$C$16:$C$141,Calendar!$A$16:$A$141,"&gt;="&amp;MAX(T$7,$J142),Calendar!$A$16:$A$141,"&lt;="&amp;MIN(T$7+4,$K142))*$H142/$G142)))</x:f>
        <x:v>2</x:v>
      </x:c>
      <x:c r="U142" s="45" t="n">
        <x:f>IF(OR($J142="",$K142=""),"",IF(SUMIFS(Calendar!$C$16:$C$141,Calendar!$A$16:$A$141,"&gt;="&amp;MAX(U$7,$J142),Calendar!$A$16:$A$141,"&lt;="&amp;MIN(U$7+4,$K142))=0,0,IF($H142="","EXT",SUMIFS(Calendar!$C$16:$C$141,Calendar!$A$16:$A$141,"&gt;="&amp;MAX(U$7,$J142),Calendar!$A$16:$A$141,"&lt;="&amp;MIN(U$7+4,$K142))*$H142/$G142)))</x:f>
        <x:v>0</x:v>
      </x:c>
      <x:c r="V142" s="45" t="n">
        <x:f>IF(OR($J142="",$K142=""),"",IF(SUMIFS(Calendar!$C$16:$C$141,Calendar!$A$16:$A$141,"&gt;="&amp;MAX(V$7,$J142),Calendar!$A$16:$A$141,"&lt;="&amp;MIN(V$7+4,$K142))=0,0,IF($H142="","EXT",SUMIFS(Calendar!$C$16:$C$141,Calendar!$A$16:$A$141,"&gt;="&amp;MAX(V$7,$J142),Calendar!$A$16:$A$141,"&lt;="&amp;MIN(V$7+4,$K142))*$H142/$G142)))</x:f>
        <x:v>0</x:v>
      </x:c>
      <x:c r="W142" s="45" t="n">
        <x:f>IF(OR($J142="",$K142=""),"",IF(SUMIFS(Calendar!$C$16:$C$141,Calendar!$A$16:$A$141,"&gt;="&amp;MAX(W$7,$J142),Calendar!$A$16:$A$141,"&lt;="&amp;MIN(W$7+4,$K142))=0,0,IF($H142="","EXT",SUMIFS(Calendar!$C$16:$C$141,Calendar!$A$16:$A$141,"&gt;="&amp;MAX(W$7,$J142),Calendar!$A$16:$A$141,"&lt;="&amp;MIN(W$7+4,$K142))*$H142/$G142)))</x:f>
        <x:v>0</x:v>
      </x:c>
      <x:c r="X142" s="45" t="n">
        <x:f>IF(OR($J142="",$K142=""),"",IF(SUMIFS(Calendar!$C$16:$C$141,Calendar!$A$16:$A$141,"&gt;="&amp;MAX(X$7,$J142),Calendar!$A$16:$A$141,"&lt;="&amp;MIN(X$7+4,$K142))=0,0,IF($H142="","EXT",SUMIFS(Calendar!$C$16:$C$141,Calendar!$A$16:$A$141,"&gt;="&amp;MAX(X$7,$J142),Calendar!$A$16:$A$141,"&lt;="&amp;MIN(X$7+4,$K142))*$H142/$G142)))</x:f>
        <x:v>0</x:v>
      </x:c>
      <x:c r="Y142" s="45" t="n">
        <x:f>IF(OR($J142="",$K142=""),"",IF(SUMIFS(Calendar!$C$16:$C$141,Calendar!$A$16:$A$141,"&gt;="&amp;MAX(Y$7,$J142),Calendar!$A$16:$A$141,"&lt;="&amp;MIN(Y$7+4,$K142))=0,0,IF($H142="","EXT",SUMIFS(Calendar!$C$16:$C$141,Calendar!$A$16:$A$141,"&gt;="&amp;MAX(Y$7,$J142),Calendar!$A$16:$A$141,"&lt;="&amp;MIN(Y$7+4,$K142))*$H142/$G142)))</x:f>
        <x:v>0</x:v>
      </x:c>
      <x:c r="Z142" s="45" t="n">
        <x:f>IF(OR($J142="",$K142=""),"",IF(SUMIFS(Calendar!$C$16:$C$141,Calendar!$A$16:$A$141,"&gt;="&amp;MAX(Z$7,$J142),Calendar!$A$16:$A$141,"&lt;="&amp;MIN(Z$7+4,$K142))=0,0,IF($H142="","EXT",SUMIFS(Calendar!$C$16:$C$141,Calendar!$A$16:$A$141,"&gt;="&amp;MAX(Z$7,$J142),Calendar!$A$16:$A$141,"&lt;="&amp;MIN(Z$7+4,$K142))*$H142/$G142)))</x:f>
        <x:v>0</x:v>
      </x:c>
      <x:c r="AA142" s="45" t="n">
        <x:f>IF(OR($J142="",$K142=""),"",IF(SUMIFS(Calendar!$C$16:$C$141,Calendar!$A$16:$A$141,"&gt;="&amp;MAX(AA$7,$J142),Calendar!$A$16:$A$141,"&lt;="&amp;MIN(AA$7+4,$K142))=0,0,IF($H142="","EXT",SUMIFS(Calendar!$C$16:$C$141,Calendar!$A$16:$A$141,"&gt;="&amp;MAX(AA$7,$J142),Calendar!$A$16:$A$141,"&lt;="&amp;MIN(AA$7+4,$K142))*$H142/$G142)))</x:f>
        <x:v>0</x:v>
      </x:c>
      <x:c r="AB142" s="45" t="n">
        <x:f>IF(OR($J142="",$K142=""),"",IF(SUMIFS(Calendar!$C$16:$C$141,Calendar!$A$16:$A$141,"&gt;="&amp;MAX(AB$7,$J142),Calendar!$A$16:$A$141,"&lt;="&amp;MIN(AB$7+4,$K142))=0,0,IF($H142="","EXT",SUMIFS(Calendar!$C$16:$C$141,Calendar!$A$16:$A$141,"&gt;="&amp;MAX(AB$7,$J142),Calendar!$A$16:$A$141,"&lt;="&amp;MIN(AB$7+4,$K142))*$H142/$G142)))</x:f>
        <x:v>0</x:v>
      </x:c>
      <x:c r="AC142" s="45" t="n">
        <x:f>IF(OR($J142="",$K142=""),"",IF(SUMIFS(Calendar!$C$16:$C$141,Calendar!$A$16:$A$141,"&gt;="&amp;MAX(AC$7,$J142),Calendar!$A$16:$A$141,"&lt;="&amp;MIN(AC$7+4,$K142))=0,0,IF($H142="","EXT",SUMIFS(Calendar!$C$16:$C$141,Calendar!$A$16:$A$141,"&gt;="&amp;MAX(AC$7,$J142),Calendar!$A$16:$A$141,"&lt;="&amp;MIN(AC$7+4,$K142))*$H142/$G142)))</x:f>
        <x:v>0</x:v>
      </x:c>
      <x:c r="AD142" s="45" t="n">
        <x:f>IF(OR($J142="",$K142=""),"",IF(SUMIFS(Calendar!$C$16:$C$141,Calendar!$A$16:$A$141,"&gt;="&amp;MAX(AD$7,$J142),Calendar!$A$16:$A$141,"&lt;="&amp;MIN(AD$7+4,$K142))=0,0,IF($H142="","EXT",SUMIFS(Calendar!$C$16:$C$141,Calendar!$A$16:$A$141,"&gt;="&amp;MAX(AD$7,$J142),Calendar!$A$16:$A$141,"&lt;="&amp;MIN(AD$7+4,$K142))*$H142/$G142)))</x:f>
        <x:v>0</x:v>
      </x:c>
      <x:c r="AE142" s="45" t="n">
        <x:f>IF(OR($J142="",$K142=""),"",IF(SUMIFS(Calendar!$C$16:$C$141,Calendar!$A$16:$A$141,"&gt;="&amp;MAX(AE$7,$J142),Calendar!$A$16:$A$141,"&lt;="&amp;MIN(AE$7+4,$K142))=0,0,IF($H142="","EXT",SUMIFS(Calendar!$C$16:$C$141,Calendar!$A$16:$A$141,"&gt;="&amp;MAX(AE$7,$J142),Calendar!$A$16:$A$141,"&lt;="&amp;MIN(AE$7+4,$K142))*$H142/$G142)))</x:f>
        <x:v>0</x:v>
      </x:c>
      <x:c r="AF142" s="8" t="n">
        <x:f>IF(OR(M142&lt;&gt;"Scheduled",INDEX('Team and Gates'!$C$7:$C$13,MATCH($D142,'Team and Gates'!$A$7:$A$13,0))=""),"CHECK",SUM(N142:AE142)*INDEX('Team and Gates'!$C$7:$C$13,MATCH($D142,'Team and Gates'!$A$7:$A$13,0)))</x:f>
        <x:v>720</x:v>
      </x:c>
      <x:c r="AG142" s="46" t="str">
        <x:v>Reproducible SIT evidence, defect disposition and affected-path retesting are recorded.</x:v>
      </x:c>
      <x:c r="AH142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43" ht="45" customHeight="1">
      <x:c r="A143" s="39" t="str">
        <x:v>F10</x:v>
      </x:c>
      <x:c r="B143" s="39" t="str">
        <x:v>Design / frontend</x:v>
      </x:c>
      <x:c r="C143" s="47" t="str">
        <x:v>SIT UI fixes: Playbook preview, test results and publication</x:v>
      </x:c>
      <x:c r="D143" s="22" t="str">
        <x:v>UI/UX</x:v>
      </x:c>
      <x:c r="E143" s="47" t="str">
        <x:v>F09</x:v>
      </x:c>
      <x:c r="F143" s="50" t="n">
        <x:v>36</x:v>
      </x:c>
      <x:c r="G143" s="50" t="n">
        <x:v>5</x:v>
      </x:c>
      <x:c r="H143" s="51" t="n">
        <x:v>2</x:v>
      </x:c>
      <x:c r="I143" s="39" t="n">
        <x:f>IF(OR(F143="",G143=""),"",F143+G143-1)</x:f>
        <x:v>40</x:v>
      </x:c>
      <x:c r="J143" s="41" t="n">
        <x:f>IF(OR(F143="",F143&lt;1,F143&gt;Calendar!$B$9),"",INDEX(Calendar!$A$16:$A$141,MATCH(F143,Calendar!$D$16:$D$141,0)))</x:f>
        <x:v>46377</x:v>
      </x:c>
      <x:c r="K143" s="41" t="n">
        <x:f>IF(OR(I143="",I143&lt;1,I143&gt;Calendar!$B$9),"",INDEX(Calendar!$A$16:$A$141,MATCH(I143,Calendar!$D$16:$D$141,0)))</x:f>
        <x:v>46381</x:v>
      </x:c>
      <x:c r="L143" s="53" t="n">
        <x:v>0</x:v>
      </x:c>
      <x:c r="M143" s="39" t="str">
        <x:f>IF(OR(F143="",G143="",H143=""),"Missing input",IF(OR(F143&lt;1,G143&lt;1,I143&gt;Calendar!$B$9),"Outside calendar",IF(F143&lt;MAX(INDEX($I$8:$I$157,MATCH("F09",$A$8:$A$157,0))+1),"Dependency conflict","Scheduled")))</x:f>
        <x:v>Scheduled</x:v>
      </x:c>
      <x:c r="N143" s="45" t="n">
        <x:f>IF(OR($J143="",$K143=""),"",IF(SUMIFS(Calendar!$C$16:$C$141,Calendar!$A$16:$A$141,"&gt;="&amp;MAX(N$7,$J143),Calendar!$A$16:$A$141,"&lt;="&amp;MIN(N$7+4,$K143))=0,0,IF($H143="","EXT",SUMIFS(Calendar!$C$16:$C$141,Calendar!$A$16:$A$141,"&gt;="&amp;MAX(N$7,$J143),Calendar!$A$16:$A$141,"&lt;="&amp;MIN(N$7+4,$K143))*$H143/$G143)))</x:f>
        <x:v>0</x:v>
      </x:c>
      <x:c r="O143" s="45" t="n">
        <x:f>IF(OR($J143="",$K143=""),"",IF(SUMIFS(Calendar!$C$16:$C$141,Calendar!$A$16:$A$141,"&gt;="&amp;MAX(O$7,$J143),Calendar!$A$16:$A$141,"&lt;="&amp;MIN(O$7+4,$K143))=0,0,IF($H143="","EXT",SUMIFS(Calendar!$C$16:$C$141,Calendar!$A$16:$A$141,"&gt;="&amp;MAX(O$7,$J143),Calendar!$A$16:$A$141,"&lt;="&amp;MIN(O$7+4,$K143))*$H143/$G143)))</x:f>
        <x:v>0</x:v>
      </x:c>
      <x:c r="P143" s="45" t="n">
        <x:f>IF(OR($J143="",$K143=""),"",IF(SUMIFS(Calendar!$C$16:$C$141,Calendar!$A$16:$A$141,"&gt;="&amp;MAX(P$7,$J143),Calendar!$A$16:$A$141,"&lt;="&amp;MIN(P$7+4,$K143))=0,0,IF($H143="","EXT",SUMIFS(Calendar!$C$16:$C$141,Calendar!$A$16:$A$141,"&gt;="&amp;MAX(P$7,$J143),Calendar!$A$16:$A$141,"&lt;="&amp;MIN(P$7+4,$K143))*$H143/$G143)))</x:f>
        <x:v>0</x:v>
      </x:c>
      <x:c r="Q143" s="45" t="n">
        <x:f>IF(OR($J143="",$K143=""),"",IF(SUMIFS(Calendar!$C$16:$C$141,Calendar!$A$16:$A$141,"&gt;="&amp;MAX(Q$7,$J143),Calendar!$A$16:$A$141,"&lt;="&amp;MIN(Q$7+4,$K143))=0,0,IF($H143="","EXT",SUMIFS(Calendar!$C$16:$C$141,Calendar!$A$16:$A$141,"&gt;="&amp;MAX(Q$7,$J143),Calendar!$A$16:$A$141,"&lt;="&amp;MIN(Q$7+4,$K143))*$H143/$G143)))</x:f>
        <x:v>0</x:v>
      </x:c>
      <x:c r="R143" s="45" t="n">
        <x:f>IF(OR($J143="",$K143=""),"",IF(SUMIFS(Calendar!$C$16:$C$141,Calendar!$A$16:$A$141,"&gt;="&amp;MAX(R$7,$J143),Calendar!$A$16:$A$141,"&lt;="&amp;MIN(R$7+4,$K143))=0,0,IF($H143="","EXT",SUMIFS(Calendar!$C$16:$C$141,Calendar!$A$16:$A$141,"&gt;="&amp;MAX(R$7,$J143),Calendar!$A$16:$A$141,"&lt;="&amp;MIN(R$7+4,$K143))*$H143/$G143)))</x:f>
        <x:v>0</x:v>
      </x:c>
      <x:c r="S143" s="45" t="n">
        <x:f>IF(OR($J143="",$K143=""),"",IF(SUMIFS(Calendar!$C$16:$C$141,Calendar!$A$16:$A$141,"&gt;="&amp;MAX(S$7,$J143),Calendar!$A$16:$A$141,"&lt;="&amp;MIN(S$7+4,$K143))=0,0,IF($H143="","EXT",SUMIFS(Calendar!$C$16:$C$141,Calendar!$A$16:$A$141,"&gt;="&amp;MAX(S$7,$J143),Calendar!$A$16:$A$141,"&lt;="&amp;MIN(S$7+4,$K143))*$H143/$G143)))</x:f>
        <x:v>0</x:v>
      </x:c>
      <x:c r="T143" s="45" t="n">
        <x:f>IF(OR($J143="",$K143=""),"",IF(SUMIFS(Calendar!$C$16:$C$141,Calendar!$A$16:$A$141,"&gt;="&amp;MAX(T$7,$J143),Calendar!$A$16:$A$141,"&lt;="&amp;MIN(T$7+4,$K143))=0,0,IF($H143="","EXT",SUMIFS(Calendar!$C$16:$C$141,Calendar!$A$16:$A$141,"&gt;="&amp;MAX(T$7,$J143),Calendar!$A$16:$A$141,"&lt;="&amp;MIN(T$7+4,$K143))*$H143/$G143)))</x:f>
        <x:v>0</x:v>
      </x:c>
      <x:c r="U143" s="45" t="n">
        <x:f>IF(OR($J143="",$K143=""),"",IF(SUMIFS(Calendar!$C$16:$C$141,Calendar!$A$16:$A$141,"&gt;="&amp;MAX(U$7,$J143),Calendar!$A$16:$A$141,"&lt;="&amp;MIN(U$7+4,$K143))=0,0,IF($H143="","EXT",SUMIFS(Calendar!$C$16:$C$141,Calendar!$A$16:$A$141,"&gt;="&amp;MAX(U$7,$J143),Calendar!$A$16:$A$141,"&lt;="&amp;MIN(U$7+4,$K143))*$H143/$G143)))</x:f>
        <x:v>2</x:v>
      </x:c>
      <x:c r="V143" s="45" t="n">
        <x:f>IF(OR($J143="",$K143=""),"",IF(SUMIFS(Calendar!$C$16:$C$141,Calendar!$A$16:$A$141,"&gt;="&amp;MAX(V$7,$J143),Calendar!$A$16:$A$141,"&lt;="&amp;MIN(V$7+4,$K143))=0,0,IF($H143="","EXT",SUMIFS(Calendar!$C$16:$C$141,Calendar!$A$16:$A$141,"&gt;="&amp;MAX(V$7,$J143),Calendar!$A$16:$A$141,"&lt;="&amp;MIN(V$7+4,$K143))*$H143/$G143)))</x:f>
        <x:v>0</x:v>
      </x:c>
      <x:c r="W143" s="45" t="n">
        <x:f>IF(OR($J143="",$K143=""),"",IF(SUMIFS(Calendar!$C$16:$C$141,Calendar!$A$16:$A$141,"&gt;="&amp;MAX(W$7,$J143),Calendar!$A$16:$A$141,"&lt;="&amp;MIN(W$7+4,$K143))=0,0,IF($H143="","EXT",SUMIFS(Calendar!$C$16:$C$141,Calendar!$A$16:$A$141,"&gt;="&amp;MAX(W$7,$J143),Calendar!$A$16:$A$141,"&lt;="&amp;MIN(W$7+4,$K143))*$H143/$G143)))</x:f>
        <x:v>0</x:v>
      </x:c>
      <x:c r="X143" s="45" t="n">
        <x:f>IF(OR($J143="",$K143=""),"",IF(SUMIFS(Calendar!$C$16:$C$141,Calendar!$A$16:$A$141,"&gt;="&amp;MAX(X$7,$J143),Calendar!$A$16:$A$141,"&lt;="&amp;MIN(X$7+4,$K143))=0,0,IF($H143="","EXT",SUMIFS(Calendar!$C$16:$C$141,Calendar!$A$16:$A$141,"&gt;="&amp;MAX(X$7,$J143),Calendar!$A$16:$A$141,"&lt;="&amp;MIN(X$7+4,$K143))*$H143/$G143)))</x:f>
        <x:v>0</x:v>
      </x:c>
      <x:c r="Y143" s="45" t="n">
        <x:f>IF(OR($J143="",$K143=""),"",IF(SUMIFS(Calendar!$C$16:$C$141,Calendar!$A$16:$A$141,"&gt;="&amp;MAX(Y$7,$J143),Calendar!$A$16:$A$141,"&lt;="&amp;MIN(Y$7+4,$K143))=0,0,IF($H143="","EXT",SUMIFS(Calendar!$C$16:$C$141,Calendar!$A$16:$A$141,"&gt;="&amp;MAX(Y$7,$J143),Calendar!$A$16:$A$141,"&lt;="&amp;MIN(Y$7+4,$K143))*$H143/$G143)))</x:f>
        <x:v>0</x:v>
      </x:c>
      <x:c r="Z143" s="45" t="n">
        <x:f>IF(OR($J143="",$K143=""),"",IF(SUMIFS(Calendar!$C$16:$C$141,Calendar!$A$16:$A$141,"&gt;="&amp;MAX(Z$7,$J143),Calendar!$A$16:$A$141,"&lt;="&amp;MIN(Z$7+4,$K143))=0,0,IF($H143="","EXT",SUMIFS(Calendar!$C$16:$C$141,Calendar!$A$16:$A$141,"&gt;="&amp;MAX(Z$7,$J143),Calendar!$A$16:$A$141,"&lt;="&amp;MIN(Z$7+4,$K143))*$H143/$G143)))</x:f>
        <x:v>0</x:v>
      </x:c>
      <x:c r="AA143" s="45" t="n">
        <x:f>IF(OR($J143="",$K143=""),"",IF(SUMIFS(Calendar!$C$16:$C$141,Calendar!$A$16:$A$141,"&gt;="&amp;MAX(AA$7,$J143),Calendar!$A$16:$A$141,"&lt;="&amp;MIN(AA$7+4,$K143))=0,0,IF($H143="","EXT",SUMIFS(Calendar!$C$16:$C$141,Calendar!$A$16:$A$141,"&gt;="&amp;MAX(AA$7,$J143),Calendar!$A$16:$A$141,"&lt;="&amp;MIN(AA$7+4,$K143))*$H143/$G143)))</x:f>
        <x:v>0</x:v>
      </x:c>
      <x:c r="AB143" s="45" t="n">
        <x:f>IF(OR($J143="",$K143=""),"",IF(SUMIFS(Calendar!$C$16:$C$141,Calendar!$A$16:$A$141,"&gt;="&amp;MAX(AB$7,$J143),Calendar!$A$16:$A$141,"&lt;="&amp;MIN(AB$7+4,$K143))=0,0,IF($H143="","EXT",SUMIFS(Calendar!$C$16:$C$141,Calendar!$A$16:$A$141,"&gt;="&amp;MAX(AB$7,$J143),Calendar!$A$16:$A$141,"&lt;="&amp;MIN(AB$7+4,$K143))*$H143/$G143)))</x:f>
        <x:v>0</x:v>
      </x:c>
      <x:c r="AC143" s="45" t="n">
        <x:f>IF(OR($J143="",$K143=""),"",IF(SUMIFS(Calendar!$C$16:$C$141,Calendar!$A$16:$A$141,"&gt;="&amp;MAX(AC$7,$J143),Calendar!$A$16:$A$141,"&lt;="&amp;MIN(AC$7+4,$K143))=0,0,IF($H143="","EXT",SUMIFS(Calendar!$C$16:$C$141,Calendar!$A$16:$A$141,"&gt;="&amp;MAX(AC$7,$J143),Calendar!$A$16:$A$141,"&lt;="&amp;MIN(AC$7+4,$K143))*$H143/$G143)))</x:f>
        <x:v>0</x:v>
      </x:c>
      <x:c r="AD143" s="45" t="n">
        <x:f>IF(OR($J143="",$K143=""),"",IF(SUMIFS(Calendar!$C$16:$C$141,Calendar!$A$16:$A$141,"&gt;="&amp;MAX(AD$7,$J143),Calendar!$A$16:$A$141,"&lt;="&amp;MIN(AD$7+4,$K143))=0,0,IF($H143="","EXT",SUMIFS(Calendar!$C$16:$C$141,Calendar!$A$16:$A$141,"&gt;="&amp;MAX(AD$7,$J143),Calendar!$A$16:$A$141,"&lt;="&amp;MIN(AD$7+4,$K143))*$H143/$G143)))</x:f>
        <x:v>0</x:v>
      </x:c>
      <x:c r="AE143" s="45" t="n">
        <x:f>IF(OR($J143="",$K143=""),"",IF(SUMIFS(Calendar!$C$16:$C$141,Calendar!$A$16:$A$141,"&gt;="&amp;MAX(AE$7,$J143),Calendar!$A$16:$A$141,"&lt;="&amp;MIN(AE$7+4,$K143))=0,0,IF($H143="","EXT",SUMIFS(Calendar!$C$16:$C$141,Calendar!$A$16:$A$141,"&gt;="&amp;MAX(AE$7,$J143),Calendar!$A$16:$A$141,"&lt;="&amp;MIN(AE$7+4,$K143))*$H143/$G143)))</x:f>
        <x:v>0</x:v>
      </x:c>
      <x:c r="AF143" s="8" t="n">
        <x:f>IF(OR(M143&lt;&gt;"Scheduled",INDEX('Team and Gates'!$C$7:$C$13,MATCH($D143,'Team and Gates'!$A$7:$A$13,0))=""),"CHECK",SUM(N143:AE143)*INDEX('Team and Gates'!$C$7:$C$13,MATCH($D143,'Team and Gates'!$A$7:$A$13,0)))</x:f>
        <x:v>720</x:v>
      </x:c>
      <x:c r="AG143" s="46" t="str">
        <x:v>Reproducible SIT evidence, defect disposition and affected-path retesting are recorded.</x:v>
      </x:c>
      <x:c r="AH143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44" ht="45" customHeight="1">
      <x:c r="A144" s="2" t="str">
        <x:v>F11</x:v>
      </x:c>
      <x:c r="B144" s="2" t="str">
        <x:v>Design / frontend</x:v>
      </x:c>
      <x:c r="C144" s="46" t="str">
        <x:v>SIT UX regression and candidate polish</x:v>
      </x:c>
      <x:c r="D144" s="22" t="str">
        <x:v>UI/UX</x:v>
      </x:c>
      <x:c r="E144" s="46" t="str">
        <x:v>F10</x:v>
      </x:c>
      <x:c r="F144" s="50" t="n">
        <x:v>41</x:v>
      </x:c>
      <x:c r="G144" s="50" t="n">
        <x:v>5</x:v>
      </x:c>
      <x:c r="H144" s="51" t="n">
        <x:v>2</x:v>
      </x:c>
      <x:c r="I144" s="2" t="n">
        <x:f>IF(OR(F144="",G144=""),"",F144+G144-1)</x:f>
        <x:v>45</x:v>
      </x:c>
      <x:c r="J144" s="5" t="n">
        <x:f>IF(OR(F144="",F144&lt;1,F144&gt;Calendar!$B$9),"",INDEX(Calendar!$A$16:$A$141,MATCH(F144,Calendar!$D$16:$D$141,0)))</x:f>
        <x:v>46384</x:v>
      </x:c>
      <x:c r="K144" s="5" t="n">
        <x:f>IF(OR(I144="",I144&lt;1,I144&gt;Calendar!$B$9),"",INDEX(Calendar!$A$16:$A$141,MATCH(I144,Calendar!$D$16:$D$141,0)))</x:f>
        <x:v>46388</x:v>
      </x:c>
      <x:c r="L144" s="53" t="n">
        <x:v>0</x:v>
      </x:c>
      <x:c r="M144" s="2" t="str">
        <x:f>IF(OR(F144="",G144="",H144=""),"Missing input",IF(OR(F144&lt;1,G144&lt;1,I144&gt;Calendar!$B$9),"Outside calendar",IF(F144&lt;MAX(INDEX($I$8:$I$157,MATCH("F10",$A$8:$A$157,0))+1),"Dependency conflict","Scheduled")))</x:f>
        <x:v>Scheduled</x:v>
      </x:c>
      <x:c r="N144" s="45" t="n">
        <x:f>IF(OR($J144="",$K144=""),"",IF(SUMIFS(Calendar!$C$16:$C$141,Calendar!$A$16:$A$141,"&gt;="&amp;MAX(N$7,$J144),Calendar!$A$16:$A$141,"&lt;="&amp;MIN(N$7+4,$K144))=0,0,IF($H144="","EXT",SUMIFS(Calendar!$C$16:$C$141,Calendar!$A$16:$A$141,"&gt;="&amp;MAX(N$7,$J144),Calendar!$A$16:$A$141,"&lt;="&amp;MIN(N$7+4,$K144))*$H144/$G144)))</x:f>
        <x:v>0</x:v>
      </x:c>
      <x:c r="O144" s="45" t="n">
        <x:f>IF(OR($J144="",$K144=""),"",IF(SUMIFS(Calendar!$C$16:$C$141,Calendar!$A$16:$A$141,"&gt;="&amp;MAX(O$7,$J144),Calendar!$A$16:$A$141,"&lt;="&amp;MIN(O$7+4,$K144))=0,0,IF($H144="","EXT",SUMIFS(Calendar!$C$16:$C$141,Calendar!$A$16:$A$141,"&gt;="&amp;MAX(O$7,$J144),Calendar!$A$16:$A$141,"&lt;="&amp;MIN(O$7+4,$K144))*$H144/$G144)))</x:f>
        <x:v>0</x:v>
      </x:c>
      <x:c r="P144" s="45" t="n">
        <x:f>IF(OR($J144="",$K144=""),"",IF(SUMIFS(Calendar!$C$16:$C$141,Calendar!$A$16:$A$141,"&gt;="&amp;MAX(P$7,$J144),Calendar!$A$16:$A$141,"&lt;="&amp;MIN(P$7+4,$K144))=0,0,IF($H144="","EXT",SUMIFS(Calendar!$C$16:$C$141,Calendar!$A$16:$A$141,"&gt;="&amp;MAX(P$7,$J144),Calendar!$A$16:$A$141,"&lt;="&amp;MIN(P$7+4,$K144))*$H144/$G144)))</x:f>
        <x:v>0</x:v>
      </x:c>
      <x:c r="Q144" s="45" t="n">
        <x:f>IF(OR($J144="",$K144=""),"",IF(SUMIFS(Calendar!$C$16:$C$141,Calendar!$A$16:$A$141,"&gt;="&amp;MAX(Q$7,$J144),Calendar!$A$16:$A$141,"&lt;="&amp;MIN(Q$7+4,$K144))=0,0,IF($H144="","EXT",SUMIFS(Calendar!$C$16:$C$141,Calendar!$A$16:$A$141,"&gt;="&amp;MAX(Q$7,$J144),Calendar!$A$16:$A$141,"&lt;="&amp;MIN(Q$7+4,$K144))*$H144/$G144)))</x:f>
        <x:v>0</x:v>
      </x:c>
      <x:c r="R144" s="45" t="n">
        <x:f>IF(OR($J144="",$K144=""),"",IF(SUMIFS(Calendar!$C$16:$C$141,Calendar!$A$16:$A$141,"&gt;="&amp;MAX(R$7,$J144),Calendar!$A$16:$A$141,"&lt;="&amp;MIN(R$7+4,$K144))=0,0,IF($H144="","EXT",SUMIFS(Calendar!$C$16:$C$141,Calendar!$A$16:$A$141,"&gt;="&amp;MAX(R$7,$J144),Calendar!$A$16:$A$141,"&lt;="&amp;MIN(R$7+4,$K144))*$H144/$G144)))</x:f>
        <x:v>0</x:v>
      </x:c>
      <x:c r="S144" s="45" t="n">
        <x:f>IF(OR($J144="",$K144=""),"",IF(SUMIFS(Calendar!$C$16:$C$141,Calendar!$A$16:$A$141,"&gt;="&amp;MAX(S$7,$J144),Calendar!$A$16:$A$141,"&lt;="&amp;MIN(S$7+4,$K144))=0,0,IF($H144="","EXT",SUMIFS(Calendar!$C$16:$C$141,Calendar!$A$16:$A$141,"&gt;="&amp;MAX(S$7,$J144),Calendar!$A$16:$A$141,"&lt;="&amp;MIN(S$7+4,$K144))*$H144/$G144)))</x:f>
        <x:v>0</x:v>
      </x:c>
      <x:c r="T144" s="45" t="n">
        <x:f>IF(OR($J144="",$K144=""),"",IF(SUMIFS(Calendar!$C$16:$C$141,Calendar!$A$16:$A$141,"&gt;="&amp;MAX(T$7,$J144),Calendar!$A$16:$A$141,"&lt;="&amp;MIN(T$7+4,$K144))=0,0,IF($H144="","EXT",SUMIFS(Calendar!$C$16:$C$141,Calendar!$A$16:$A$141,"&gt;="&amp;MAX(T$7,$J144),Calendar!$A$16:$A$141,"&lt;="&amp;MIN(T$7+4,$K144))*$H144/$G144)))</x:f>
        <x:v>0</x:v>
      </x:c>
      <x:c r="U144" s="45" t="n">
        <x:f>IF(OR($J144="",$K144=""),"",IF(SUMIFS(Calendar!$C$16:$C$141,Calendar!$A$16:$A$141,"&gt;="&amp;MAX(U$7,$J144),Calendar!$A$16:$A$141,"&lt;="&amp;MIN(U$7+4,$K144))=0,0,IF($H144="","EXT",SUMIFS(Calendar!$C$16:$C$141,Calendar!$A$16:$A$141,"&gt;="&amp;MAX(U$7,$J144),Calendar!$A$16:$A$141,"&lt;="&amp;MIN(U$7+4,$K144))*$H144/$G144)))</x:f>
        <x:v>0</x:v>
      </x:c>
      <x:c r="V144" s="45" t="n">
        <x:f>IF(OR($J144="",$K144=""),"",IF(SUMIFS(Calendar!$C$16:$C$141,Calendar!$A$16:$A$141,"&gt;="&amp;MAX(V$7,$J144),Calendar!$A$16:$A$141,"&lt;="&amp;MIN(V$7+4,$K144))=0,0,IF($H144="","EXT",SUMIFS(Calendar!$C$16:$C$141,Calendar!$A$16:$A$141,"&gt;="&amp;MAX(V$7,$J144),Calendar!$A$16:$A$141,"&lt;="&amp;MIN(V$7+4,$K144))*$H144/$G144)))</x:f>
        <x:v>2</x:v>
      </x:c>
      <x:c r="W144" s="45" t="n">
        <x:f>IF(OR($J144="",$K144=""),"",IF(SUMIFS(Calendar!$C$16:$C$141,Calendar!$A$16:$A$141,"&gt;="&amp;MAX(W$7,$J144),Calendar!$A$16:$A$141,"&lt;="&amp;MIN(W$7+4,$K144))=0,0,IF($H144="","EXT",SUMIFS(Calendar!$C$16:$C$141,Calendar!$A$16:$A$141,"&gt;="&amp;MAX(W$7,$J144),Calendar!$A$16:$A$141,"&lt;="&amp;MIN(W$7+4,$K144))*$H144/$G144)))</x:f>
        <x:v>0</x:v>
      </x:c>
      <x:c r="X144" s="45" t="n">
        <x:f>IF(OR($J144="",$K144=""),"",IF(SUMIFS(Calendar!$C$16:$C$141,Calendar!$A$16:$A$141,"&gt;="&amp;MAX(X$7,$J144),Calendar!$A$16:$A$141,"&lt;="&amp;MIN(X$7+4,$K144))=0,0,IF($H144="","EXT",SUMIFS(Calendar!$C$16:$C$141,Calendar!$A$16:$A$141,"&gt;="&amp;MAX(X$7,$J144),Calendar!$A$16:$A$141,"&lt;="&amp;MIN(X$7+4,$K144))*$H144/$G144)))</x:f>
        <x:v>0</x:v>
      </x:c>
      <x:c r="Y144" s="45" t="n">
        <x:f>IF(OR($J144="",$K144=""),"",IF(SUMIFS(Calendar!$C$16:$C$141,Calendar!$A$16:$A$141,"&gt;="&amp;MAX(Y$7,$J144),Calendar!$A$16:$A$141,"&lt;="&amp;MIN(Y$7+4,$K144))=0,0,IF($H144="","EXT",SUMIFS(Calendar!$C$16:$C$141,Calendar!$A$16:$A$141,"&gt;="&amp;MAX(Y$7,$J144),Calendar!$A$16:$A$141,"&lt;="&amp;MIN(Y$7+4,$K144))*$H144/$G144)))</x:f>
        <x:v>0</x:v>
      </x:c>
      <x:c r="Z144" s="45" t="n">
        <x:f>IF(OR($J144="",$K144=""),"",IF(SUMIFS(Calendar!$C$16:$C$141,Calendar!$A$16:$A$141,"&gt;="&amp;MAX(Z$7,$J144),Calendar!$A$16:$A$141,"&lt;="&amp;MIN(Z$7+4,$K144))=0,0,IF($H144="","EXT",SUMIFS(Calendar!$C$16:$C$141,Calendar!$A$16:$A$141,"&gt;="&amp;MAX(Z$7,$J144),Calendar!$A$16:$A$141,"&lt;="&amp;MIN(Z$7+4,$K144))*$H144/$G144)))</x:f>
        <x:v>0</x:v>
      </x:c>
      <x:c r="AA144" s="45" t="n">
        <x:f>IF(OR($J144="",$K144=""),"",IF(SUMIFS(Calendar!$C$16:$C$141,Calendar!$A$16:$A$141,"&gt;="&amp;MAX(AA$7,$J144),Calendar!$A$16:$A$141,"&lt;="&amp;MIN(AA$7+4,$K144))=0,0,IF($H144="","EXT",SUMIFS(Calendar!$C$16:$C$141,Calendar!$A$16:$A$141,"&gt;="&amp;MAX(AA$7,$J144),Calendar!$A$16:$A$141,"&lt;="&amp;MIN(AA$7+4,$K144))*$H144/$G144)))</x:f>
        <x:v>0</x:v>
      </x:c>
      <x:c r="AB144" s="45" t="n">
        <x:f>IF(OR($J144="",$K144=""),"",IF(SUMIFS(Calendar!$C$16:$C$141,Calendar!$A$16:$A$141,"&gt;="&amp;MAX(AB$7,$J144),Calendar!$A$16:$A$141,"&lt;="&amp;MIN(AB$7+4,$K144))=0,0,IF($H144="","EXT",SUMIFS(Calendar!$C$16:$C$141,Calendar!$A$16:$A$141,"&gt;="&amp;MAX(AB$7,$J144),Calendar!$A$16:$A$141,"&lt;="&amp;MIN(AB$7+4,$K144))*$H144/$G144)))</x:f>
        <x:v>0</x:v>
      </x:c>
      <x:c r="AC144" s="45" t="n">
        <x:f>IF(OR($J144="",$K144=""),"",IF(SUMIFS(Calendar!$C$16:$C$141,Calendar!$A$16:$A$141,"&gt;="&amp;MAX(AC$7,$J144),Calendar!$A$16:$A$141,"&lt;="&amp;MIN(AC$7+4,$K144))=0,0,IF($H144="","EXT",SUMIFS(Calendar!$C$16:$C$141,Calendar!$A$16:$A$141,"&gt;="&amp;MAX(AC$7,$J144),Calendar!$A$16:$A$141,"&lt;="&amp;MIN(AC$7+4,$K144))*$H144/$G144)))</x:f>
        <x:v>0</x:v>
      </x:c>
      <x:c r="AD144" s="45" t="n">
        <x:f>IF(OR($J144="",$K144=""),"",IF(SUMIFS(Calendar!$C$16:$C$141,Calendar!$A$16:$A$141,"&gt;="&amp;MAX(AD$7,$J144),Calendar!$A$16:$A$141,"&lt;="&amp;MIN(AD$7+4,$K144))=0,0,IF($H144="","EXT",SUMIFS(Calendar!$C$16:$C$141,Calendar!$A$16:$A$141,"&gt;="&amp;MAX(AD$7,$J144),Calendar!$A$16:$A$141,"&lt;="&amp;MIN(AD$7+4,$K144))*$H144/$G144)))</x:f>
        <x:v>0</x:v>
      </x:c>
      <x:c r="AE144" s="45" t="n">
        <x:f>IF(OR($J144="",$K144=""),"",IF(SUMIFS(Calendar!$C$16:$C$141,Calendar!$A$16:$A$141,"&gt;="&amp;MAX(AE$7,$J144),Calendar!$A$16:$A$141,"&lt;="&amp;MIN(AE$7+4,$K144))=0,0,IF($H144="","EXT",SUMIFS(Calendar!$C$16:$C$141,Calendar!$A$16:$A$141,"&gt;="&amp;MAX(AE$7,$J144),Calendar!$A$16:$A$141,"&lt;="&amp;MIN(AE$7+4,$K144))*$H144/$G144)))</x:f>
        <x:v>0</x:v>
      </x:c>
      <x:c r="AF144" s="8" t="n">
        <x:f>IF(OR(M144&lt;&gt;"Scheduled",INDEX('Team and Gates'!$C$7:$C$13,MATCH($D144,'Team and Gates'!$A$7:$A$13,0))=""),"CHECK",SUM(N144:AE144)*INDEX('Team and Gates'!$C$7:$C$13,MATCH($D144,'Team and Gates'!$A$7:$A$13,0)))</x:f>
        <x:v>720</x:v>
      </x:c>
      <x:c r="AG144" s="46" t="str">
        <x:v>Reproducible SIT evidence, defect disposition and affected-path retesting are recorded.</x:v>
      </x:c>
      <x:c r="AH144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45" ht="45" customHeight="1">
      <x:c r="A145" s="39" t="str">
        <x:v>F-FB10</x:v>
      </x:c>
      <x:c r="B145" s="39" t="str">
        <x:v>Design / frontend</x:v>
      </x:c>
      <x:c r="C145" s="47" t="str">
        <x:v>Cross-scenario UX fixes and full-journey regression</x:v>
      </x:c>
      <x:c r="D145" s="22" t="str">
        <x:v>UI/UX</x:v>
      </x:c>
      <x:c r="E145" s="47" t="str">
        <x:v>F11</x:v>
      </x:c>
      <x:c r="F145" s="50" t="n">
        <x:v>46</x:v>
      </x:c>
      <x:c r="G145" s="50" t="n">
        <x:v>5</x:v>
      </x:c>
      <x:c r="H145" s="51" t="n">
        <x:v>2</x:v>
      </x:c>
      <x:c r="I145" s="39" t="n">
        <x:f>IF(OR(F145="",G145=""),"",F145+G145-1)</x:f>
        <x:v>50</x:v>
      </x:c>
      <x:c r="J145" s="41" t="n">
        <x:f>IF(OR(F145="",F145&lt;1,F145&gt;Calendar!$B$9),"",INDEX(Calendar!$A$16:$A$141,MATCH(F145,Calendar!$D$16:$D$141,0)))</x:f>
        <x:v>46391</x:v>
      </x:c>
      <x:c r="K145" s="41" t="n">
        <x:f>IF(OR(I145="",I145&lt;1,I145&gt;Calendar!$B$9),"",INDEX(Calendar!$A$16:$A$141,MATCH(I145,Calendar!$D$16:$D$141,0)))</x:f>
        <x:v>46395</x:v>
      </x:c>
      <x:c r="L145" s="53" t="n">
        <x:v>0</x:v>
      </x:c>
      <x:c r="M145" s="39" t="str">
        <x:f>IF(OR(F145="",G145="",H145=""),"Missing input",IF(OR(F145&lt;1,G145&lt;1,I145&gt;Calendar!$B$9),"Outside calendar",IF(F145&lt;MAX(INDEX($I$8:$I$157,MATCH("F11",$A$8:$A$157,0))+1),"Dependency conflict","Scheduled")))</x:f>
        <x:v>Scheduled</x:v>
      </x:c>
      <x:c r="N145" s="45" t="n">
        <x:f>IF(OR($J145="",$K145=""),"",IF(SUMIFS(Calendar!$C$16:$C$141,Calendar!$A$16:$A$141,"&gt;="&amp;MAX(N$7,$J145),Calendar!$A$16:$A$141,"&lt;="&amp;MIN(N$7+4,$K145))=0,0,IF($H145="","EXT",SUMIFS(Calendar!$C$16:$C$141,Calendar!$A$16:$A$141,"&gt;="&amp;MAX(N$7,$J145),Calendar!$A$16:$A$141,"&lt;="&amp;MIN(N$7+4,$K145))*$H145/$G145)))</x:f>
        <x:v>0</x:v>
      </x:c>
      <x:c r="O145" s="45" t="n">
        <x:f>IF(OR($J145="",$K145=""),"",IF(SUMIFS(Calendar!$C$16:$C$141,Calendar!$A$16:$A$141,"&gt;="&amp;MAX(O$7,$J145),Calendar!$A$16:$A$141,"&lt;="&amp;MIN(O$7+4,$K145))=0,0,IF($H145="","EXT",SUMIFS(Calendar!$C$16:$C$141,Calendar!$A$16:$A$141,"&gt;="&amp;MAX(O$7,$J145),Calendar!$A$16:$A$141,"&lt;="&amp;MIN(O$7+4,$K145))*$H145/$G145)))</x:f>
        <x:v>0</x:v>
      </x:c>
      <x:c r="P145" s="45" t="n">
        <x:f>IF(OR($J145="",$K145=""),"",IF(SUMIFS(Calendar!$C$16:$C$141,Calendar!$A$16:$A$141,"&gt;="&amp;MAX(P$7,$J145),Calendar!$A$16:$A$141,"&lt;="&amp;MIN(P$7+4,$K145))=0,0,IF($H145="","EXT",SUMIFS(Calendar!$C$16:$C$141,Calendar!$A$16:$A$141,"&gt;="&amp;MAX(P$7,$J145),Calendar!$A$16:$A$141,"&lt;="&amp;MIN(P$7+4,$K145))*$H145/$G145)))</x:f>
        <x:v>0</x:v>
      </x:c>
      <x:c r="Q145" s="45" t="n">
        <x:f>IF(OR($J145="",$K145=""),"",IF(SUMIFS(Calendar!$C$16:$C$141,Calendar!$A$16:$A$141,"&gt;="&amp;MAX(Q$7,$J145),Calendar!$A$16:$A$141,"&lt;="&amp;MIN(Q$7+4,$K145))=0,0,IF($H145="","EXT",SUMIFS(Calendar!$C$16:$C$141,Calendar!$A$16:$A$141,"&gt;="&amp;MAX(Q$7,$J145),Calendar!$A$16:$A$141,"&lt;="&amp;MIN(Q$7+4,$K145))*$H145/$G145)))</x:f>
        <x:v>0</x:v>
      </x:c>
      <x:c r="R145" s="45" t="n">
        <x:f>IF(OR($J145="",$K145=""),"",IF(SUMIFS(Calendar!$C$16:$C$141,Calendar!$A$16:$A$141,"&gt;="&amp;MAX(R$7,$J145),Calendar!$A$16:$A$141,"&lt;="&amp;MIN(R$7+4,$K145))=0,0,IF($H145="","EXT",SUMIFS(Calendar!$C$16:$C$141,Calendar!$A$16:$A$141,"&gt;="&amp;MAX(R$7,$J145),Calendar!$A$16:$A$141,"&lt;="&amp;MIN(R$7+4,$K145))*$H145/$G145)))</x:f>
        <x:v>0</x:v>
      </x:c>
      <x:c r="S145" s="45" t="n">
        <x:f>IF(OR($J145="",$K145=""),"",IF(SUMIFS(Calendar!$C$16:$C$141,Calendar!$A$16:$A$141,"&gt;="&amp;MAX(S$7,$J145),Calendar!$A$16:$A$141,"&lt;="&amp;MIN(S$7+4,$K145))=0,0,IF($H145="","EXT",SUMIFS(Calendar!$C$16:$C$141,Calendar!$A$16:$A$141,"&gt;="&amp;MAX(S$7,$J145),Calendar!$A$16:$A$141,"&lt;="&amp;MIN(S$7+4,$K145))*$H145/$G145)))</x:f>
        <x:v>0</x:v>
      </x:c>
      <x:c r="T145" s="45" t="n">
        <x:f>IF(OR($J145="",$K145=""),"",IF(SUMIFS(Calendar!$C$16:$C$141,Calendar!$A$16:$A$141,"&gt;="&amp;MAX(T$7,$J145),Calendar!$A$16:$A$141,"&lt;="&amp;MIN(T$7+4,$K145))=0,0,IF($H145="","EXT",SUMIFS(Calendar!$C$16:$C$141,Calendar!$A$16:$A$141,"&gt;="&amp;MAX(T$7,$J145),Calendar!$A$16:$A$141,"&lt;="&amp;MIN(T$7+4,$K145))*$H145/$G145)))</x:f>
        <x:v>0</x:v>
      </x:c>
      <x:c r="U145" s="45" t="n">
        <x:f>IF(OR($J145="",$K145=""),"",IF(SUMIFS(Calendar!$C$16:$C$141,Calendar!$A$16:$A$141,"&gt;="&amp;MAX(U$7,$J145),Calendar!$A$16:$A$141,"&lt;="&amp;MIN(U$7+4,$K145))=0,0,IF($H145="","EXT",SUMIFS(Calendar!$C$16:$C$141,Calendar!$A$16:$A$141,"&gt;="&amp;MAX(U$7,$J145),Calendar!$A$16:$A$141,"&lt;="&amp;MIN(U$7+4,$K145))*$H145/$G145)))</x:f>
        <x:v>0</x:v>
      </x:c>
      <x:c r="V145" s="45" t="n">
        <x:f>IF(OR($J145="",$K145=""),"",IF(SUMIFS(Calendar!$C$16:$C$141,Calendar!$A$16:$A$141,"&gt;="&amp;MAX(V$7,$J145),Calendar!$A$16:$A$141,"&lt;="&amp;MIN(V$7+4,$K145))=0,0,IF($H145="","EXT",SUMIFS(Calendar!$C$16:$C$141,Calendar!$A$16:$A$141,"&gt;="&amp;MAX(V$7,$J145),Calendar!$A$16:$A$141,"&lt;="&amp;MIN(V$7+4,$K145))*$H145/$G145)))</x:f>
        <x:v>0</x:v>
      </x:c>
      <x:c r="W145" s="45" t="n">
        <x:f>IF(OR($J145="",$K145=""),"",IF(SUMIFS(Calendar!$C$16:$C$141,Calendar!$A$16:$A$141,"&gt;="&amp;MAX(W$7,$J145),Calendar!$A$16:$A$141,"&lt;="&amp;MIN(W$7+4,$K145))=0,0,IF($H145="","EXT",SUMIFS(Calendar!$C$16:$C$141,Calendar!$A$16:$A$141,"&gt;="&amp;MAX(W$7,$J145),Calendar!$A$16:$A$141,"&lt;="&amp;MIN(W$7+4,$K145))*$H145/$G145)))</x:f>
        <x:v>2</x:v>
      </x:c>
      <x:c r="X145" s="45" t="n">
        <x:f>IF(OR($J145="",$K145=""),"",IF(SUMIFS(Calendar!$C$16:$C$141,Calendar!$A$16:$A$141,"&gt;="&amp;MAX(X$7,$J145),Calendar!$A$16:$A$141,"&lt;="&amp;MIN(X$7+4,$K145))=0,0,IF($H145="","EXT",SUMIFS(Calendar!$C$16:$C$141,Calendar!$A$16:$A$141,"&gt;="&amp;MAX(X$7,$J145),Calendar!$A$16:$A$141,"&lt;="&amp;MIN(X$7+4,$K145))*$H145/$G145)))</x:f>
        <x:v>0</x:v>
      </x:c>
      <x:c r="Y145" s="45" t="n">
        <x:f>IF(OR($J145="",$K145=""),"",IF(SUMIFS(Calendar!$C$16:$C$141,Calendar!$A$16:$A$141,"&gt;="&amp;MAX(Y$7,$J145),Calendar!$A$16:$A$141,"&lt;="&amp;MIN(Y$7+4,$K145))=0,0,IF($H145="","EXT",SUMIFS(Calendar!$C$16:$C$141,Calendar!$A$16:$A$141,"&gt;="&amp;MAX(Y$7,$J145),Calendar!$A$16:$A$141,"&lt;="&amp;MIN(Y$7+4,$K145))*$H145/$G145)))</x:f>
        <x:v>0</x:v>
      </x:c>
      <x:c r="Z145" s="45" t="n">
        <x:f>IF(OR($J145="",$K145=""),"",IF(SUMIFS(Calendar!$C$16:$C$141,Calendar!$A$16:$A$141,"&gt;="&amp;MAX(Z$7,$J145),Calendar!$A$16:$A$141,"&lt;="&amp;MIN(Z$7+4,$K145))=0,0,IF($H145="","EXT",SUMIFS(Calendar!$C$16:$C$141,Calendar!$A$16:$A$141,"&gt;="&amp;MAX(Z$7,$J145),Calendar!$A$16:$A$141,"&lt;="&amp;MIN(Z$7+4,$K145))*$H145/$G145)))</x:f>
        <x:v>0</x:v>
      </x:c>
      <x:c r="AA145" s="45" t="n">
        <x:f>IF(OR($J145="",$K145=""),"",IF(SUMIFS(Calendar!$C$16:$C$141,Calendar!$A$16:$A$141,"&gt;="&amp;MAX(AA$7,$J145),Calendar!$A$16:$A$141,"&lt;="&amp;MIN(AA$7+4,$K145))=0,0,IF($H145="","EXT",SUMIFS(Calendar!$C$16:$C$141,Calendar!$A$16:$A$141,"&gt;="&amp;MAX(AA$7,$J145),Calendar!$A$16:$A$141,"&lt;="&amp;MIN(AA$7+4,$K145))*$H145/$G145)))</x:f>
        <x:v>0</x:v>
      </x:c>
      <x:c r="AB145" s="45" t="n">
        <x:f>IF(OR($J145="",$K145=""),"",IF(SUMIFS(Calendar!$C$16:$C$141,Calendar!$A$16:$A$141,"&gt;="&amp;MAX(AB$7,$J145),Calendar!$A$16:$A$141,"&lt;="&amp;MIN(AB$7+4,$K145))=0,0,IF($H145="","EXT",SUMIFS(Calendar!$C$16:$C$141,Calendar!$A$16:$A$141,"&gt;="&amp;MAX(AB$7,$J145),Calendar!$A$16:$A$141,"&lt;="&amp;MIN(AB$7+4,$K145))*$H145/$G145)))</x:f>
        <x:v>0</x:v>
      </x:c>
      <x:c r="AC145" s="45" t="n">
        <x:f>IF(OR($J145="",$K145=""),"",IF(SUMIFS(Calendar!$C$16:$C$141,Calendar!$A$16:$A$141,"&gt;="&amp;MAX(AC$7,$J145),Calendar!$A$16:$A$141,"&lt;="&amp;MIN(AC$7+4,$K145))=0,0,IF($H145="","EXT",SUMIFS(Calendar!$C$16:$C$141,Calendar!$A$16:$A$141,"&gt;="&amp;MAX(AC$7,$J145),Calendar!$A$16:$A$141,"&lt;="&amp;MIN(AC$7+4,$K145))*$H145/$G145)))</x:f>
        <x:v>0</x:v>
      </x:c>
      <x:c r="AD145" s="45" t="n">
        <x:f>IF(OR($J145="",$K145=""),"",IF(SUMIFS(Calendar!$C$16:$C$141,Calendar!$A$16:$A$141,"&gt;="&amp;MAX(AD$7,$J145),Calendar!$A$16:$A$141,"&lt;="&amp;MIN(AD$7+4,$K145))=0,0,IF($H145="","EXT",SUMIFS(Calendar!$C$16:$C$141,Calendar!$A$16:$A$141,"&gt;="&amp;MAX(AD$7,$J145),Calendar!$A$16:$A$141,"&lt;="&amp;MIN(AD$7+4,$K145))*$H145/$G145)))</x:f>
        <x:v>0</x:v>
      </x:c>
      <x:c r="AE145" s="45" t="n">
        <x:f>IF(OR($J145="",$K145=""),"",IF(SUMIFS(Calendar!$C$16:$C$141,Calendar!$A$16:$A$141,"&gt;="&amp;MAX(AE$7,$J145),Calendar!$A$16:$A$141,"&lt;="&amp;MIN(AE$7+4,$K145))=0,0,IF($H145="","EXT",SUMIFS(Calendar!$C$16:$C$141,Calendar!$A$16:$A$141,"&gt;="&amp;MAX(AE$7,$J145),Calendar!$A$16:$A$141,"&lt;="&amp;MIN(AE$7+4,$K145))*$H145/$G145)))</x:f>
        <x:v>0</x:v>
      </x:c>
      <x:c r="AF145" s="8" t="n">
        <x:f>IF(OR(M145&lt;&gt;"Scheduled",INDEX('Team and Gates'!$C$7:$C$13,MATCH($D145,'Team and Gates'!$A$7:$A$13,0))=""),"CHECK",SUM(N145:AE145)*INDEX('Team and Gates'!$C$7:$C$13,MATCH($D145,'Team and Gates'!$A$7:$A$13,0)))</x:f>
        <x:v>720</x:v>
      </x:c>
      <x:c r="AG145" s="46" t="str">
        <x:v>Record versioned technical/business results, QA feedback, DS/developer fixes and affected-path retests. Business validation remains independent of DS tuning.</x:v>
      </x:c>
      <x:c r="AH145" s="46" t="str">
        <x:v>Two additional weeks of tuning, independent QA and stabilization recovered from shorter preparation/coding.</x:v>
      </x:c>
    </x:row>
    <x:row r="146" ht="45" customHeight="1">
      <x:c r="A146" s="2" t="str">
        <x:v>F-FB11</x:v>
      </x:c>
      <x:c r="B146" s="2" t="str">
        <x:v>Design / frontend</x:v>
      </x:c>
      <x:c r="C146" s="46" t="str">
        <x:v>Browser/accessibility checks and UAT guide preparation</x:v>
      </x:c>
      <x:c r="D146" s="22" t="str">
        <x:v>UI/UX</x:v>
      </x:c>
      <x:c r="E146" s="46" t="str">
        <x:v>F-FB10</x:v>
      </x:c>
      <x:c r="F146" s="50" t="n">
        <x:v>51</x:v>
      </x:c>
      <x:c r="G146" s="50" t="n">
        <x:v>5</x:v>
      </x:c>
      <x:c r="H146" s="51" t="n">
        <x:v>2</x:v>
      </x:c>
      <x:c r="I146" s="2" t="n">
        <x:f>IF(OR(F146="",G146=""),"",F146+G146-1)</x:f>
        <x:v>55</x:v>
      </x:c>
      <x:c r="J146" s="5" t="n">
        <x:f>IF(OR(F146="",F146&lt;1,F146&gt;Calendar!$B$9),"",INDEX(Calendar!$A$16:$A$141,MATCH(F146,Calendar!$D$16:$D$141,0)))</x:f>
        <x:v>46398</x:v>
      </x:c>
      <x:c r="K146" s="5" t="n">
        <x:f>IF(OR(I146="",I146&lt;1,I146&gt;Calendar!$B$9),"",INDEX(Calendar!$A$16:$A$141,MATCH(I146,Calendar!$D$16:$D$141,0)))</x:f>
        <x:v>46402</x:v>
      </x:c>
      <x:c r="L146" s="53" t="n">
        <x:v>0</x:v>
      </x:c>
      <x:c r="M146" s="2" t="str">
        <x:f>IF(OR(F146="",G146="",H146=""),"Missing input",IF(OR(F146&lt;1,G146&lt;1,I146&gt;Calendar!$B$9),"Outside calendar",IF(F146&lt;MAX(INDEX($I$8:$I$157,MATCH("F-FB10",$A$8:$A$157,0))+1),"Dependency conflict","Scheduled")))</x:f>
        <x:v>Scheduled</x:v>
      </x:c>
      <x:c r="N146" s="45" t="n">
        <x:f>IF(OR($J146="",$K146=""),"",IF(SUMIFS(Calendar!$C$16:$C$141,Calendar!$A$16:$A$141,"&gt;="&amp;MAX(N$7,$J146),Calendar!$A$16:$A$141,"&lt;="&amp;MIN(N$7+4,$K146))=0,0,IF($H146="","EXT",SUMIFS(Calendar!$C$16:$C$141,Calendar!$A$16:$A$141,"&gt;="&amp;MAX(N$7,$J146),Calendar!$A$16:$A$141,"&lt;="&amp;MIN(N$7+4,$K146))*$H146/$G146)))</x:f>
        <x:v>0</x:v>
      </x:c>
      <x:c r="O146" s="45" t="n">
        <x:f>IF(OR($J146="",$K146=""),"",IF(SUMIFS(Calendar!$C$16:$C$141,Calendar!$A$16:$A$141,"&gt;="&amp;MAX(O$7,$J146),Calendar!$A$16:$A$141,"&lt;="&amp;MIN(O$7+4,$K146))=0,0,IF($H146="","EXT",SUMIFS(Calendar!$C$16:$C$141,Calendar!$A$16:$A$141,"&gt;="&amp;MAX(O$7,$J146),Calendar!$A$16:$A$141,"&lt;="&amp;MIN(O$7+4,$K146))*$H146/$G146)))</x:f>
        <x:v>0</x:v>
      </x:c>
      <x:c r="P146" s="45" t="n">
        <x:f>IF(OR($J146="",$K146=""),"",IF(SUMIFS(Calendar!$C$16:$C$141,Calendar!$A$16:$A$141,"&gt;="&amp;MAX(P$7,$J146),Calendar!$A$16:$A$141,"&lt;="&amp;MIN(P$7+4,$K146))=0,0,IF($H146="","EXT",SUMIFS(Calendar!$C$16:$C$141,Calendar!$A$16:$A$141,"&gt;="&amp;MAX(P$7,$J146),Calendar!$A$16:$A$141,"&lt;="&amp;MIN(P$7+4,$K146))*$H146/$G146)))</x:f>
        <x:v>0</x:v>
      </x:c>
      <x:c r="Q146" s="45" t="n">
        <x:f>IF(OR($J146="",$K146=""),"",IF(SUMIFS(Calendar!$C$16:$C$141,Calendar!$A$16:$A$141,"&gt;="&amp;MAX(Q$7,$J146),Calendar!$A$16:$A$141,"&lt;="&amp;MIN(Q$7+4,$K146))=0,0,IF($H146="","EXT",SUMIFS(Calendar!$C$16:$C$141,Calendar!$A$16:$A$141,"&gt;="&amp;MAX(Q$7,$J146),Calendar!$A$16:$A$141,"&lt;="&amp;MIN(Q$7+4,$K146))*$H146/$G146)))</x:f>
        <x:v>0</x:v>
      </x:c>
      <x:c r="R146" s="45" t="n">
        <x:f>IF(OR($J146="",$K146=""),"",IF(SUMIFS(Calendar!$C$16:$C$141,Calendar!$A$16:$A$141,"&gt;="&amp;MAX(R$7,$J146),Calendar!$A$16:$A$141,"&lt;="&amp;MIN(R$7+4,$K146))=0,0,IF($H146="","EXT",SUMIFS(Calendar!$C$16:$C$141,Calendar!$A$16:$A$141,"&gt;="&amp;MAX(R$7,$J146),Calendar!$A$16:$A$141,"&lt;="&amp;MIN(R$7+4,$K146))*$H146/$G146)))</x:f>
        <x:v>0</x:v>
      </x:c>
      <x:c r="S146" s="45" t="n">
        <x:f>IF(OR($J146="",$K146=""),"",IF(SUMIFS(Calendar!$C$16:$C$141,Calendar!$A$16:$A$141,"&gt;="&amp;MAX(S$7,$J146),Calendar!$A$16:$A$141,"&lt;="&amp;MIN(S$7+4,$K146))=0,0,IF($H146="","EXT",SUMIFS(Calendar!$C$16:$C$141,Calendar!$A$16:$A$141,"&gt;="&amp;MAX(S$7,$J146),Calendar!$A$16:$A$141,"&lt;="&amp;MIN(S$7+4,$K146))*$H146/$G146)))</x:f>
        <x:v>0</x:v>
      </x:c>
      <x:c r="T146" s="45" t="n">
        <x:f>IF(OR($J146="",$K146=""),"",IF(SUMIFS(Calendar!$C$16:$C$141,Calendar!$A$16:$A$141,"&gt;="&amp;MAX(T$7,$J146),Calendar!$A$16:$A$141,"&lt;="&amp;MIN(T$7+4,$K146))=0,0,IF($H146="","EXT",SUMIFS(Calendar!$C$16:$C$141,Calendar!$A$16:$A$141,"&gt;="&amp;MAX(T$7,$J146),Calendar!$A$16:$A$141,"&lt;="&amp;MIN(T$7+4,$K146))*$H146/$G146)))</x:f>
        <x:v>0</x:v>
      </x:c>
      <x:c r="U146" s="45" t="n">
        <x:f>IF(OR($J146="",$K146=""),"",IF(SUMIFS(Calendar!$C$16:$C$141,Calendar!$A$16:$A$141,"&gt;="&amp;MAX(U$7,$J146),Calendar!$A$16:$A$141,"&lt;="&amp;MIN(U$7+4,$K146))=0,0,IF($H146="","EXT",SUMIFS(Calendar!$C$16:$C$141,Calendar!$A$16:$A$141,"&gt;="&amp;MAX(U$7,$J146),Calendar!$A$16:$A$141,"&lt;="&amp;MIN(U$7+4,$K146))*$H146/$G146)))</x:f>
        <x:v>0</x:v>
      </x:c>
      <x:c r="V146" s="45" t="n">
        <x:f>IF(OR($J146="",$K146=""),"",IF(SUMIFS(Calendar!$C$16:$C$141,Calendar!$A$16:$A$141,"&gt;="&amp;MAX(V$7,$J146),Calendar!$A$16:$A$141,"&lt;="&amp;MIN(V$7+4,$K146))=0,0,IF($H146="","EXT",SUMIFS(Calendar!$C$16:$C$141,Calendar!$A$16:$A$141,"&gt;="&amp;MAX(V$7,$J146),Calendar!$A$16:$A$141,"&lt;="&amp;MIN(V$7+4,$K146))*$H146/$G146)))</x:f>
        <x:v>0</x:v>
      </x:c>
      <x:c r="W146" s="45" t="n">
        <x:f>IF(OR($J146="",$K146=""),"",IF(SUMIFS(Calendar!$C$16:$C$141,Calendar!$A$16:$A$141,"&gt;="&amp;MAX(W$7,$J146),Calendar!$A$16:$A$141,"&lt;="&amp;MIN(W$7+4,$K146))=0,0,IF($H146="","EXT",SUMIFS(Calendar!$C$16:$C$141,Calendar!$A$16:$A$141,"&gt;="&amp;MAX(W$7,$J146),Calendar!$A$16:$A$141,"&lt;="&amp;MIN(W$7+4,$K146))*$H146/$G146)))</x:f>
        <x:v>0</x:v>
      </x:c>
      <x:c r="X146" s="45" t="n">
        <x:f>IF(OR($J146="",$K146=""),"",IF(SUMIFS(Calendar!$C$16:$C$141,Calendar!$A$16:$A$141,"&gt;="&amp;MAX(X$7,$J146),Calendar!$A$16:$A$141,"&lt;="&amp;MIN(X$7+4,$K146))=0,0,IF($H146="","EXT",SUMIFS(Calendar!$C$16:$C$141,Calendar!$A$16:$A$141,"&gt;="&amp;MAX(X$7,$J146),Calendar!$A$16:$A$141,"&lt;="&amp;MIN(X$7+4,$K146))*$H146/$G146)))</x:f>
        <x:v>2</x:v>
      </x:c>
      <x:c r="Y146" s="45" t="n">
        <x:f>IF(OR($J146="",$K146=""),"",IF(SUMIFS(Calendar!$C$16:$C$141,Calendar!$A$16:$A$141,"&gt;="&amp;MAX(Y$7,$J146),Calendar!$A$16:$A$141,"&lt;="&amp;MIN(Y$7+4,$K146))=0,0,IF($H146="","EXT",SUMIFS(Calendar!$C$16:$C$141,Calendar!$A$16:$A$141,"&gt;="&amp;MAX(Y$7,$J146),Calendar!$A$16:$A$141,"&lt;="&amp;MIN(Y$7+4,$K146))*$H146/$G146)))</x:f>
        <x:v>0</x:v>
      </x:c>
      <x:c r="Z146" s="45" t="n">
        <x:f>IF(OR($J146="",$K146=""),"",IF(SUMIFS(Calendar!$C$16:$C$141,Calendar!$A$16:$A$141,"&gt;="&amp;MAX(Z$7,$J146),Calendar!$A$16:$A$141,"&lt;="&amp;MIN(Z$7+4,$K146))=0,0,IF($H146="","EXT",SUMIFS(Calendar!$C$16:$C$141,Calendar!$A$16:$A$141,"&gt;="&amp;MAX(Z$7,$J146),Calendar!$A$16:$A$141,"&lt;="&amp;MIN(Z$7+4,$K146))*$H146/$G146)))</x:f>
        <x:v>0</x:v>
      </x:c>
      <x:c r="AA146" s="45" t="n">
        <x:f>IF(OR($J146="",$K146=""),"",IF(SUMIFS(Calendar!$C$16:$C$141,Calendar!$A$16:$A$141,"&gt;="&amp;MAX(AA$7,$J146),Calendar!$A$16:$A$141,"&lt;="&amp;MIN(AA$7+4,$K146))=0,0,IF($H146="","EXT",SUMIFS(Calendar!$C$16:$C$141,Calendar!$A$16:$A$141,"&gt;="&amp;MAX(AA$7,$J146),Calendar!$A$16:$A$141,"&lt;="&amp;MIN(AA$7+4,$K146))*$H146/$G146)))</x:f>
        <x:v>0</x:v>
      </x:c>
      <x:c r="AB146" s="45" t="n">
        <x:f>IF(OR($J146="",$K146=""),"",IF(SUMIFS(Calendar!$C$16:$C$141,Calendar!$A$16:$A$141,"&gt;="&amp;MAX(AB$7,$J146),Calendar!$A$16:$A$141,"&lt;="&amp;MIN(AB$7+4,$K146))=0,0,IF($H146="","EXT",SUMIFS(Calendar!$C$16:$C$141,Calendar!$A$16:$A$141,"&gt;="&amp;MAX(AB$7,$J146),Calendar!$A$16:$A$141,"&lt;="&amp;MIN(AB$7+4,$K146))*$H146/$G146)))</x:f>
        <x:v>0</x:v>
      </x:c>
      <x:c r="AC146" s="45" t="n">
        <x:f>IF(OR($J146="",$K146=""),"",IF(SUMIFS(Calendar!$C$16:$C$141,Calendar!$A$16:$A$141,"&gt;="&amp;MAX(AC$7,$J146),Calendar!$A$16:$A$141,"&lt;="&amp;MIN(AC$7+4,$K146))=0,0,IF($H146="","EXT",SUMIFS(Calendar!$C$16:$C$141,Calendar!$A$16:$A$141,"&gt;="&amp;MAX(AC$7,$J146),Calendar!$A$16:$A$141,"&lt;="&amp;MIN(AC$7+4,$K146))*$H146/$G146)))</x:f>
        <x:v>0</x:v>
      </x:c>
      <x:c r="AD146" s="45" t="n">
        <x:f>IF(OR($J146="",$K146=""),"",IF(SUMIFS(Calendar!$C$16:$C$141,Calendar!$A$16:$A$141,"&gt;="&amp;MAX(AD$7,$J146),Calendar!$A$16:$A$141,"&lt;="&amp;MIN(AD$7+4,$K146))=0,0,IF($H146="","EXT",SUMIFS(Calendar!$C$16:$C$141,Calendar!$A$16:$A$141,"&gt;="&amp;MAX(AD$7,$J146),Calendar!$A$16:$A$141,"&lt;="&amp;MIN(AD$7+4,$K146))*$H146/$G146)))</x:f>
        <x:v>0</x:v>
      </x:c>
      <x:c r="AE146" s="45" t="n">
        <x:f>IF(OR($J146="",$K146=""),"",IF(SUMIFS(Calendar!$C$16:$C$141,Calendar!$A$16:$A$141,"&gt;="&amp;MAX(AE$7,$J146),Calendar!$A$16:$A$141,"&lt;="&amp;MIN(AE$7+4,$K146))=0,0,IF($H146="","EXT",SUMIFS(Calendar!$C$16:$C$141,Calendar!$A$16:$A$141,"&gt;="&amp;MAX(AE$7,$J146),Calendar!$A$16:$A$141,"&lt;="&amp;MIN(AE$7+4,$K146))*$H146/$G146)))</x:f>
        <x:v>0</x:v>
      </x:c>
      <x:c r="AF146" s="8" t="n">
        <x:f>IF(OR(M146&lt;&gt;"Scheduled",INDEX('Team and Gates'!$C$7:$C$13,MATCH($D146,'Team and Gates'!$A$7:$A$13,0))=""),"CHECK",SUM(N146:AE146)*INDEX('Team and Gates'!$C$7:$C$13,MATCH($D146,'Team and Gates'!$A$7:$A$13,0)))</x:f>
        <x:v>720</x:v>
      </x:c>
      <x:c r="AG146" s="46" t="str">
        <x:v>Record versioned technical/business results, QA feedback, DS/developer fixes and affected-path retests. Business validation remains independent of DS tuning.</x:v>
      </x:c>
      <x:c r="AH146" s="46" t="str">
        <x:v>Two additional weeks of tuning, independent QA and stabilization recovered from shorter preparation/coding.</x:v>
      </x:c>
    </x:row>
    <x:row r="147" ht="45" customHeight="1">
      <x:c r="A147" s="39" t="str">
        <x:v>F12</x:v>
      </x:c>
      <x:c r="B147" s="39" t="str">
        <x:v>Design / frontend</x:v>
      </x:c>
      <x:c r="C147" s="47" t="str">
        <x:v>Extended SIT usability fixes and UAT guide preparation</x:v>
      </x:c>
      <x:c r="D147" s="22" t="str">
        <x:v>UI/UX</x:v>
      </x:c>
      <x:c r="E147" s="47" t="str">
        <x:v>F11, F-FB11</x:v>
      </x:c>
      <x:c r="F147" s="50" t="n">
        <x:v>56</x:v>
      </x:c>
      <x:c r="G147" s="50" t="n">
        <x:v>5</x:v>
      </x:c>
      <x:c r="H147" s="51" t="n">
        <x:v>2</x:v>
      </x:c>
      <x:c r="I147" s="39" t="n">
        <x:f>IF(OR(F147="",G147=""),"",F147+G147-1)</x:f>
        <x:v>60</x:v>
      </x:c>
      <x:c r="J147" s="41" t="n">
        <x:f>IF(OR(F147="",F147&lt;1,F147&gt;Calendar!$B$9),"",INDEX(Calendar!$A$16:$A$141,MATCH(F147,Calendar!$D$16:$D$141,0)))</x:f>
        <x:v>46405</x:v>
      </x:c>
      <x:c r="K147" s="41" t="n">
        <x:f>IF(OR(I147="",I147&lt;1,I147&gt;Calendar!$B$9),"",INDEX(Calendar!$A$16:$A$141,MATCH(I147,Calendar!$D$16:$D$141,0)))</x:f>
        <x:v>46409</x:v>
      </x:c>
      <x:c r="L147" s="53" t="n">
        <x:v>0</x:v>
      </x:c>
      <x:c r="M147" s="39" t="str">
        <x:f>IF(OR(F147="",G147="",H147=""),"Missing input",IF(OR(F147&lt;1,G147&lt;1,I147&gt;Calendar!$B$9),"Outside calendar",IF(F147&lt;MAX(INDEX($I$8:$I$157,MATCH("F11",$A$8:$A$157,0))+1,INDEX($I$8:$I$157,MATCH("F-FB11",$A$8:$A$157,0))+1),"Dependency conflict","Scheduled")))</x:f>
        <x:v>Scheduled</x:v>
      </x:c>
      <x:c r="N147" s="45" t="n">
        <x:f>IF(OR($J147="",$K147=""),"",IF(SUMIFS(Calendar!$C$16:$C$141,Calendar!$A$16:$A$141,"&gt;="&amp;MAX(N$7,$J147),Calendar!$A$16:$A$141,"&lt;="&amp;MIN(N$7+4,$K147))=0,0,IF($H147="","EXT",SUMIFS(Calendar!$C$16:$C$141,Calendar!$A$16:$A$141,"&gt;="&amp;MAX(N$7,$J147),Calendar!$A$16:$A$141,"&lt;="&amp;MIN(N$7+4,$K147))*$H147/$G147)))</x:f>
        <x:v>0</x:v>
      </x:c>
      <x:c r="O147" s="45" t="n">
        <x:f>IF(OR($J147="",$K147=""),"",IF(SUMIFS(Calendar!$C$16:$C$141,Calendar!$A$16:$A$141,"&gt;="&amp;MAX(O$7,$J147),Calendar!$A$16:$A$141,"&lt;="&amp;MIN(O$7+4,$K147))=0,0,IF($H147="","EXT",SUMIFS(Calendar!$C$16:$C$141,Calendar!$A$16:$A$141,"&gt;="&amp;MAX(O$7,$J147),Calendar!$A$16:$A$141,"&lt;="&amp;MIN(O$7+4,$K147))*$H147/$G147)))</x:f>
        <x:v>0</x:v>
      </x:c>
      <x:c r="P147" s="45" t="n">
        <x:f>IF(OR($J147="",$K147=""),"",IF(SUMIFS(Calendar!$C$16:$C$141,Calendar!$A$16:$A$141,"&gt;="&amp;MAX(P$7,$J147),Calendar!$A$16:$A$141,"&lt;="&amp;MIN(P$7+4,$K147))=0,0,IF($H147="","EXT",SUMIFS(Calendar!$C$16:$C$141,Calendar!$A$16:$A$141,"&gt;="&amp;MAX(P$7,$J147),Calendar!$A$16:$A$141,"&lt;="&amp;MIN(P$7+4,$K147))*$H147/$G147)))</x:f>
        <x:v>0</x:v>
      </x:c>
      <x:c r="Q147" s="45" t="n">
        <x:f>IF(OR($J147="",$K147=""),"",IF(SUMIFS(Calendar!$C$16:$C$141,Calendar!$A$16:$A$141,"&gt;="&amp;MAX(Q$7,$J147),Calendar!$A$16:$A$141,"&lt;="&amp;MIN(Q$7+4,$K147))=0,0,IF($H147="","EXT",SUMIFS(Calendar!$C$16:$C$141,Calendar!$A$16:$A$141,"&gt;="&amp;MAX(Q$7,$J147),Calendar!$A$16:$A$141,"&lt;="&amp;MIN(Q$7+4,$K147))*$H147/$G147)))</x:f>
        <x:v>0</x:v>
      </x:c>
      <x:c r="R147" s="45" t="n">
        <x:f>IF(OR($J147="",$K147=""),"",IF(SUMIFS(Calendar!$C$16:$C$141,Calendar!$A$16:$A$141,"&gt;="&amp;MAX(R$7,$J147),Calendar!$A$16:$A$141,"&lt;="&amp;MIN(R$7+4,$K147))=0,0,IF($H147="","EXT",SUMIFS(Calendar!$C$16:$C$141,Calendar!$A$16:$A$141,"&gt;="&amp;MAX(R$7,$J147),Calendar!$A$16:$A$141,"&lt;="&amp;MIN(R$7+4,$K147))*$H147/$G147)))</x:f>
        <x:v>0</x:v>
      </x:c>
      <x:c r="S147" s="45" t="n">
        <x:f>IF(OR($J147="",$K147=""),"",IF(SUMIFS(Calendar!$C$16:$C$141,Calendar!$A$16:$A$141,"&gt;="&amp;MAX(S$7,$J147),Calendar!$A$16:$A$141,"&lt;="&amp;MIN(S$7+4,$K147))=0,0,IF($H147="","EXT",SUMIFS(Calendar!$C$16:$C$141,Calendar!$A$16:$A$141,"&gt;="&amp;MAX(S$7,$J147),Calendar!$A$16:$A$141,"&lt;="&amp;MIN(S$7+4,$K147))*$H147/$G147)))</x:f>
        <x:v>0</x:v>
      </x:c>
      <x:c r="T147" s="45" t="n">
        <x:f>IF(OR($J147="",$K147=""),"",IF(SUMIFS(Calendar!$C$16:$C$141,Calendar!$A$16:$A$141,"&gt;="&amp;MAX(T$7,$J147),Calendar!$A$16:$A$141,"&lt;="&amp;MIN(T$7+4,$K147))=0,0,IF($H147="","EXT",SUMIFS(Calendar!$C$16:$C$141,Calendar!$A$16:$A$141,"&gt;="&amp;MAX(T$7,$J147),Calendar!$A$16:$A$141,"&lt;="&amp;MIN(T$7+4,$K147))*$H147/$G147)))</x:f>
        <x:v>0</x:v>
      </x:c>
      <x:c r="U147" s="45" t="n">
        <x:f>IF(OR($J147="",$K147=""),"",IF(SUMIFS(Calendar!$C$16:$C$141,Calendar!$A$16:$A$141,"&gt;="&amp;MAX(U$7,$J147),Calendar!$A$16:$A$141,"&lt;="&amp;MIN(U$7+4,$K147))=0,0,IF($H147="","EXT",SUMIFS(Calendar!$C$16:$C$141,Calendar!$A$16:$A$141,"&gt;="&amp;MAX(U$7,$J147),Calendar!$A$16:$A$141,"&lt;="&amp;MIN(U$7+4,$K147))*$H147/$G147)))</x:f>
        <x:v>0</x:v>
      </x:c>
      <x:c r="V147" s="45" t="n">
        <x:f>IF(OR($J147="",$K147=""),"",IF(SUMIFS(Calendar!$C$16:$C$141,Calendar!$A$16:$A$141,"&gt;="&amp;MAX(V$7,$J147),Calendar!$A$16:$A$141,"&lt;="&amp;MIN(V$7+4,$K147))=0,0,IF($H147="","EXT",SUMIFS(Calendar!$C$16:$C$141,Calendar!$A$16:$A$141,"&gt;="&amp;MAX(V$7,$J147),Calendar!$A$16:$A$141,"&lt;="&amp;MIN(V$7+4,$K147))*$H147/$G147)))</x:f>
        <x:v>0</x:v>
      </x:c>
      <x:c r="W147" s="45" t="n">
        <x:f>IF(OR($J147="",$K147=""),"",IF(SUMIFS(Calendar!$C$16:$C$141,Calendar!$A$16:$A$141,"&gt;="&amp;MAX(W$7,$J147),Calendar!$A$16:$A$141,"&lt;="&amp;MIN(W$7+4,$K147))=0,0,IF($H147="","EXT",SUMIFS(Calendar!$C$16:$C$141,Calendar!$A$16:$A$141,"&gt;="&amp;MAX(W$7,$J147),Calendar!$A$16:$A$141,"&lt;="&amp;MIN(W$7+4,$K147))*$H147/$G147)))</x:f>
        <x:v>0</x:v>
      </x:c>
      <x:c r="X147" s="45" t="n">
        <x:f>IF(OR($J147="",$K147=""),"",IF(SUMIFS(Calendar!$C$16:$C$141,Calendar!$A$16:$A$141,"&gt;="&amp;MAX(X$7,$J147),Calendar!$A$16:$A$141,"&lt;="&amp;MIN(X$7+4,$K147))=0,0,IF($H147="","EXT",SUMIFS(Calendar!$C$16:$C$141,Calendar!$A$16:$A$141,"&gt;="&amp;MAX(X$7,$J147),Calendar!$A$16:$A$141,"&lt;="&amp;MIN(X$7+4,$K147))*$H147/$G147)))</x:f>
        <x:v>0</x:v>
      </x:c>
      <x:c r="Y147" s="45" t="n">
        <x:f>IF(OR($J147="",$K147=""),"",IF(SUMIFS(Calendar!$C$16:$C$141,Calendar!$A$16:$A$141,"&gt;="&amp;MAX(Y$7,$J147),Calendar!$A$16:$A$141,"&lt;="&amp;MIN(Y$7+4,$K147))=0,0,IF($H147="","EXT",SUMIFS(Calendar!$C$16:$C$141,Calendar!$A$16:$A$141,"&gt;="&amp;MAX(Y$7,$J147),Calendar!$A$16:$A$141,"&lt;="&amp;MIN(Y$7+4,$K147))*$H147/$G147)))</x:f>
        <x:v>2</x:v>
      </x:c>
      <x:c r="Z147" s="45" t="n">
        <x:f>IF(OR($J147="",$K147=""),"",IF(SUMIFS(Calendar!$C$16:$C$141,Calendar!$A$16:$A$141,"&gt;="&amp;MAX(Z$7,$J147),Calendar!$A$16:$A$141,"&lt;="&amp;MIN(Z$7+4,$K147))=0,0,IF($H147="","EXT",SUMIFS(Calendar!$C$16:$C$141,Calendar!$A$16:$A$141,"&gt;="&amp;MAX(Z$7,$J147),Calendar!$A$16:$A$141,"&lt;="&amp;MIN(Z$7+4,$K147))*$H147/$G147)))</x:f>
        <x:v>0</x:v>
      </x:c>
      <x:c r="AA147" s="45" t="n">
        <x:f>IF(OR($J147="",$K147=""),"",IF(SUMIFS(Calendar!$C$16:$C$141,Calendar!$A$16:$A$141,"&gt;="&amp;MAX(AA$7,$J147),Calendar!$A$16:$A$141,"&lt;="&amp;MIN(AA$7+4,$K147))=0,0,IF($H147="","EXT",SUMIFS(Calendar!$C$16:$C$141,Calendar!$A$16:$A$141,"&gt;="&amp;MAX(AA$7,$J147),Calendar!$A$16:$A$141,"&lt;="&amp;MIN(AA$7+4,$K147))*$H147/$G147)))</x:f>
        <x:v>0</x:v>
      </x:c>
      <x:c r="AB147" s="45" t="n">
        <x:f>IF(OR($J147="",$K147=""),"",IF(SUMIFS(Calendar!$C$16:$C$141,Calendar!$A$16:$A$141,"&gt;="&amp;MAX(AB$7,$J147),Calendar!$A$16:$A$141,"&lt;="&amp;MIN(AB$7+4,$K147))=0,0,IF($H147="","EXT",SUMIFS(Calendar!$C$16:$C$141,Calendar!$A$16:$A$141,"&gt;="&amp;MAX(AB$7,$J147),Calendar!$A$16:$A$141,"&lt;="&amp;MIN(AB$7+4,$K147))*$H147/$G147)))</x:f>
        <x:v>0</x:v>
      </x:c>
      <x:c r="AC147" s="45" t="n">
        <x:f>IF(OR($J147="",$K147=""),"",IF(SUMIFS(Calendar!$C$16:$C$141,Calendar!$A$16:$A$141,"&gt;="&amp;MAX(AC$7,$J147),Calendar!$A$16:$A$141,"&lt;="&amp;MIN(AC$7+4,$K147))=0,0,IF($H147="","EXT",SUMIFS(Calendar!$C$16:$C$141,Calendar!$A$16:$A$141,"&gt;="&amp;MAX(AC$7,$J147),Calendar!$A$16:$A$141,"&lt;="&amp;MIN(AC$7+4,$K147))*$H147/$G147)))</x:f>
        <x:v>0</x:v>
      </x:c>
      <x:c r="AD147" s="45" t="n">
        <x:f>IF(OR($J147="",$K147=""),"",IF(SUMIFS(Calendar!$C$16:$C$141,Calendar!$A$16:$A$141,"&gt;="&amp;MAX(AD$7,$J147),Calendar!$A$16:$A$141,"&lt;="&amp;MIN(AD$7+4,$K147))=0,0,IF($H147="","EXT",SUMIFS(Calendar!$C$16:$C$141,Calendar!$A$16:$A$141,"&gt;="&amp;MAX(AD$7,$J147),Calendar!$A$16:$A$141,"&lt;="&amp;MIN(AD$7+4,$K147))*$H147/$G147)))</x:f>
        <x:v>0</x:v>
      </x:c>
      <x:c r="AE147" s="45" t="n">
        <x:f>IF(OR($J147="",$K147=""),"",IF(SUMIFS(Calendar!$C$16:$C$141,Calendar!$A$16:$A$141,"&gt;="&amp;MAX(AE$7,$J147),Calendar!$A$16:$A$141,"&lt;="&amp;MIN(AE$7+4,$K147))=0,0,IF($H147="","EXT",SUMIFS(Calendar!$C$16:$C$141,Calendar!$A$16:$A$141,"&gt;="&amp;MAX(AE$7,$J147),Calendar!$A$16:$A$141,"&lt;="&amp;MIN(AE$7+4,$K147))*$H147/$G147)))</x:f>
        <x:v>0</x:v>
      </x:c>
      <x:c r="AF147" s="8" t="n">
        <x:f>IF(OR(M147&lt;&gt;"Scheduled",INDEX('Team and Gates'!$C$7:$C$13,MATCH($D147,'Team and Gates'!$A$7:$A$13,0))=""),"CHECK",SUM(N147:AE147)*INDEX('Team and Gates'!$C$7:$C$13,MATCH($D147,'Team and Gates'!$A$7:$A$13,0)))</x:f>
        <x:v>720</x:v>
      </x:c>
      <x:c r="AG147" s="46" t="str">
        <x:v>SIT evidence, defect retests and UAT-readiness artifacts are recorded; formal AM UAT is after the holiday.</x:v>
      </x:c>
      <x:c r="AH147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48" ht="45" customHeight="1">
      <x:c r="A148" s="2" t="str">
        <x:v>F13</x:v>
      </x:c>
      <x:c r="B148" s="2" t="str">
        <x:v>Design / frontend</x:v>
      </x:c>
      <x:c r="C148" s="46" t="str">
        <x:v>SIT UI acceptance and deploy Portal to UAT environment</x:v>
      </x:c>
      <x:c r="D148" s="22" t="str">
        <x:v>UI/UX</x:v>
      </x:c>
      <x:c r="E148" s="46" t="str">
        <x:v>F12</x:v>
      </x:c>
      <x:c r="F148" s="50" t="n">
        <x:v>61</x:v>
      </x:c>
      <x:c r="G148" s="50" t="n">
        <x:v>5</x:v>
      </x:c>
      <x:c r="H148" s="51" t="n">
        <x:v>2</x:v>
      </x:c>
      <x:c r="I148" s="2" t="n">
        <x:f>IF(OR(F148="",G148=""),"",F148+G148-1)</x:f>
        <x:v>65</x:v>
      </x:c>
      <x:c r="J148" s="5" t="n">
        <x:f>IF(OR(F148="",F148&lt;1,F148&gt;Calendar!$B$9),"",INDEX(Calendar!$A$16:$A$141,MATCH(F148,Calendar!$D$16:$D$141,0)))</x:f>
        <x:v>46412</x:v>
      </x:c>
      <x:c r="K148" s="5" t="n">
        <x:f>IF(OR(I148="",I148&lt;1,I148&gt;Calendar!$B$9),"",INDEX(Calendar!$A$16:$A$141,MATCH(I148,Calendar!$D$16:$D$141,0)))</x:f>
        <x:v>46416</x:v>
      </x:c>
      <x:c r="L148" s="53" t="n">
        <x:v>0</x:v>
      </x:c>
      <x:c r="M148" s="2" t="str">
        <x:f>IF(OR(F148="",G148="",H148=""),"Missing input",IF(OR(F148&lt;1,G148&lt;1,I148&gt;Calendar!$B$9),"Outside calendar",IF(F148&lt;MAX(INDEX($I$8:$I$157,MATCH("F12",$A$8:$A$157,0))+1),"Dependency conflict","Scheduled")))</x:f>
        <x:v>Scheduled</x:v>
      </x:c>
      <x:c r="N148" s="45" t="n">
        <x:f>IF(OR($J148="",$K148=""),"",IF(SUMIFS(Calendar!$C$16:$C$141,Calendar!$A$16:$A$141,"&gt;="&amp;MAX(N$7,$J148),Calendar!$A$16:$A$141,"&lt;="&amp;MIN(N$7+4,$K148))=0,0,IF($H148="","EXT",SUMIFS(Calendar!$C$16:$C$141,Calendar!$A$16:$A$141,"&gt;="&amp;MAX(N$7,$J148),Calendar!$A$16:$A$141,"&lt;="&amp;MIN(N$7+4,$K148))*$H148/$G148)))</x:f>
        <x:v>0</x:v>
      </x:c>
      <x:c r="O148" s="45" t="n">
        <x:f>IF(OR($J148="",$K148=""),"",IF(SUMIFS(Calendar!$C$16:$C$141,Calendar!$A$16:$A$141,"&gt;="&amp;MAX(O$7,$J148),Calendar!$A$16:$A$141,"&lt;="&amp;MIN(O$7+4,$K148))=0,0,IF($H148="","EXT",SUMIFS(Calendar!$C$16:$C$141,Calendar!$A$16:$A$141,"&gt;="&amp;MAX(O$7,$J148),Calendar!$A$16:$A$141,"&lt;="&amp;MIN(O$7+4,$K148))*$H148/$G148)))</x:f>
        <x:v>0</x:v>
      </x:c>
      <x:c r="P148" s="45" t="n">
        <x:f>IF(OR($J148="",$K148=""),"",IF(SUMIFS(Calendar!$C$16:$C$141,Calendar!$A$16:$A$141,"&gt;="&amp;MAX(P$7,$J148),Calendar!$A$16:$A$141,"&lt;="&amp;MIN(P$7+4,$K148))=0,0,IF($H148="","EXT",SUMIFS(Calendar!$C$16:$C$141,Calendar!$A$16:$A$141,"&gt;="&amp;MAX(P$7,$J148),Calendar!$A$16:$A$141,"&lt;="&amp;MIN(P$7+4,$K148))*$H148/$G148)))</x:f>
        <x:v>0</x:v>
      </x:c>
      <x:c r="Q148" s="45" t="n">
        <x:f>IF(OR($J148="",$K148=""),"",IF(SUMIFS(Calendar!$C$16:$C$141,Calendar!$A$16:$A$141,"&gt;="&amp;MAX(Q$7,$J148),Calendar!$A$16:$A$141,"&lt;="&amp;MIN(Q$7+4,$K148))=0,0,IF($H148="","EXT",SUMIFS(Calendar!$C$16:$C$141,Calendar!$A$16:$A$141,"&gt;="&amp;MAX(Q$7,$J148),Calendar!$A$16:$A$141,"&lt;="&amp;MIN(Q$7+4,$K148))*$H148/$G148)))</x:f>
        <x:v>0</x:v>
      </x:c>
      <x:c r="R148" s="45" t="n">
        <x:f>IF(OR($J148="",$K148=""),"",IF(SUMIFS(Calendar!$C$16:$C$141,Calendar!$A$16:$A$141,"&gt;="&amp;MAX(R$7,$J148),Calendar!$A$16:$A$141,"&lt;="&amp;MIN(R$7+4,$K148))=0,0,IF($H148="","EXT",SUMIFS(Calendar!$C$16:$C$141,Calendar!$A$16:$A$141,"&gt;="&amp;MAX(R$7,$J148),Calendar!$A$16:$A$141,"&lt;="&amp;MIN(R$7+4,$K148))*$H148/$G148)))</x:f>
        <x:v>0</x:v>
      </x:c>
      <x:c r="S148" s="45" t="n">
        <x:f>IF(OR($J148="",$K148=""),"",IF(SUMIFS(Calendar!$C$16:$C$141,Calendar!$A$16:$A$141,"&gt;="&amp;MAX(S$7,$J148),Calendar!$A$16:$A$141,"&lt;="&amp;MIN(S$7+4,$K148))=0,0,IF($H148="","EXT",SUMIFS(Calendar!$C$16:$C$141,Calendar!$A$16:$A$141,"&gt;="&amp;MAX(S$7,$J148),Calendar!$A$16:$A$141,"&lt;="&amp;MIN(S$7+4,$K148))*$H148/$G148)))</x:f>
        <x:v>0</x:v>
      </x:c>
      <x:c r="T148" s="45" t="n">
        <x:f>IF(OR($J148="",$K148=""),"",IF(SUMIFS(Calendar!$C$16:$C$141,Calendar!$A$16:$A$141,"&gt;="&amp;MAX(T$7,$J148),Calendar!$A$16:$A$141,"&lt;="&amp;MIN(T$7+4,$K148))=0,0,IF($H148="","EXT",SUMIFS(Calendar!$C$16:$C$141,Calendar!$A$16:$A$141,"&gt;="&amp;MAX(T$7,$J148),Calendar!$A$16:$A$141,"&lt;="&amp;MIN(T$7+4,$K148))*$H148/$G148)))</x:f>
        <x:v>0</x:v>
      </x:c>
      <x:c r="U148" s="45" t="n">
        <x:f>IF(OR($J148="",$K148=""),"",IF(SUMIFS(Calendar!$C$16:$C$141,Calendar!$A$16:$A$141,"&gt;="&amp;MAX(U$7,$J148),Calendar!$A$16:$A$141,"&lt;="&amp;MIN(U$7+4,$K148))=0,0,IF($H148="","EXT",SUMIFS(Calendar!$C$16:$C$141,Calendar!$A$16:$A$141,"&gt;="&amp;MAX(U$7,$J148),Calendar!$A$16:$A$141,"&lt;="&amp;MIN(U$7+4,$K148))*$H148/$G148)))</x:f>
        <x:v>0</x:v>
      </x:c>
      <x:c r="V148" s="45" t="n">
        <x:f>IF(OR($J148="",$K148=""),"",IF(SUMIFS(Calendar!$C$16:$C$141,Calendar!$A$16:$A$141,"&gt;="&amp;MAX(V$7,$J148),Calendar!$A$16:$A$141,"&lt;="&amp;MIN(V$7+4,$K148))=0,0,IF($H148="","EXT",SUMIFS(Calendar!$C$16:$C$141,Calendar!$A$16:$A$141,"&gt;="&amp;MAX(V$7,$J148),Calendar!$A$16:$A$141,"&lt;="&amp;MIN(V$7+4,$K148))*$H148/$G148)))</x:f>
        <x:v>0</x:v>
      </x:c>
      <x:c r="W148" s="45" t="n">
        <x:f>IF(OR($J148="",$K148=""),"",IF(SUMIFS(Calendar!$C$16:$C$141,Calendar!$A$16:$A$141,"&gt;="&amp;MAX(W$7,$J148),Calendar!$A$16:$A$141,"&lt;="&amp;MIN(W$7+4,$K148))=0,0,IF($H148="","EXT",SUMIFS(Calendar!$C$16:$C$141,Calendar!$A$16:$A$141,"&gt;="&amp;MAX(W$7,$J148),Calendar!$A$16:$A$141,"&lt;="&amp;MIN(W$7+4,$K148))*$H148/$G148)))</x:f>
        <x:v>0</x:v>
      </x:c>
      <x:c r="X148" s="45" t="n">
        <x:f>IF(OR($J148="",$K148=""),"",IF(SUMIFS(Calendar!$C$16:$C$141,Calendar!$A$16:$A$141,"&gt;="&amp;MAX(X$7,$J148),Calendar!$A$16:$A$141,"&lt;="&amp;MIN(X$7+4,$K148))=0,0,IF($H148="","EXT",SUMIFS(Calendar!$C$16:$C$141,Calendar!$A$16:$A$141,"&gt;="&amp;MAX(X$7,$J148),Calendar!$A$16:$A$141,"&lt;="&amp;MIN(X$7+4,$K148))*$H148/$G148)))</x:f>
        <x:v>0</x:v>
      </x:c>
      <x:c r="Y148" s="45" t="n">
        <x:f>IF(OR($J148="",$K148=""),"",IF(SUMIFS(Calendar!$C$16:$C$141,Calendar!$A$16:$A$141,"&gt;="&amp;MAX(Y$7,$J148),Calendar!$A$16:$A$141,"&lt;="&amp;MIN(Y$7+4,$K148))=0,0,IF($H148="","EXT",SUMIFS(Calendar!$C$16:$C$141,Calendar!$A$16:$A$141,"&gt;="&amp;MAX(Y$7,$J148),Calendar!$A$16:$A$141,"&lt;="&amp;MIN(Y$7+4,$K148))*$H148/$G148)))</x:f>
        <x:v>0</x:v>
      </x:c>
      <x:c r="Z148" s="45" t="n">
        <x:f>IF(OR($J148="",$K148=""),"",IF(SUMIFS(Calendar!$C$16:$C$141,Calendar!$A$16:$A$141,"&gt;="&amp;MAX(Z$7,$J148),Calendar!$A$16:$A$141,"&lt;="&amp;MIN(Z$7+4,$K148))=0,0,IF($H148="","EXT",SUMIFS(Calendar!$C$16:$C$141,Calendar!$A$16:$A$141,"&gt;="&amp;MAX(Z$7,$J148),Calendar!$A$16:$A$141,"&lt;="&amp;MIN(Z$7+4,$K148))*$H148/$G148)))</x:f>
        <x:v>2</x:v>
      </x:c>
      <x:c r="AA148" s="45" t="n">
        <x:f>IF(OR($J148="",$K148=""),"",IF(SUMIFS(Calendar!$C$16:$C$141,Calendar!$A$16:$A$141,"&gt;="&amp;MAX(AA$7,$J148),Calendar!$A$16:$A$141,"&lt;="&amp;MIN(AA$7+4,$K148))=0,0,IF($H148="","EXT",SUMIFS(Calendar!$C$16:$C$141,Calendar!$A$16:$A$141,"&gt;="&amp;MAX(AA$7,$J148),Calendar!$A$16:$A$141,"&lt;="&amp;MIN(AA$7+4,$K148))*$H148/$G148)))</x:f>
        <x:v>0</x:v>
      </x:c>
      <x:c r="AB148" s="45" t="n">
        <x:f>IF(OR($J148="",$K148=""),"",IF(SUMIFS(Calendar!$C$16:$C$141,Calendar!$A$16:$A$141,"&gt;="&amp;MAX(AB$7,$J148),Calendar!$A$16:$A$141,"&lt;="&amp;MIN(AB$7+4,$K148))=0,0,IF($H148="","EXT",SUMIFS(Calendar!$C$16:$C$141,Calendar!$A$16:$A$141,"&gt;="&amp;MAX(AB$7,$J148),Calendar!$A$16:$A$141,"&lt;="&amp;MIN(AB$7+4,$K148))*$H148/$G148)))</x:f>
        <x:v>0</x:v>
      </x:c>
      <x:c r="AC148" s="45" t="n">
        <x:f>IF(OR($J148="",$K148=""),"",IF(SUMIFS(Calendar!$C$16:$C$141,Calendar!$A$16:$A$141,"&gt;="&amp;MAX(AC$7,$J148),Calendar!$A$16:$A$141,"&lt;="&amp;MIN(AC$7+4,$K148))=0,0,IF($H148="","EXT",SUMIFS(Calendar!$C$16:$C$141,Calendar!$A$16:$A$141,"&gt;="&amp;MAX(AC$7,$J148),Calendar!$A$16:$A$141,"&lt;="&amp;MIN(AC$7+4,$K148))*$H148/$G148)))</x:f>
        <x:v>0</x:v>
      </x:c>
      <x:c r="AD148" s="45" t="n">
        <x:f>IF(OR($J148="",$K148=""),"",IF(SUMIFS(Calendar!$C$16:$C$141,Calendar!$A$16:$A$141,"&gt;="&amp;MAX(AD$7,$J148),Calendar!$A$16:$A$141,"&lt;="&amp;MIN(AD$7+4,$K148))=0,0,IF($H148="","EXT",SUMIFS(Calendar!$C$16:$C$141,Calendar!$A$16:$A$141,"&gt;="&amp;MAX(AD$7,$J148),Calendar!$A$16:$A$141,"&lt;="&amp;MIN(AD$7+4,$K148))*$H148/$G148)))</x:f>
        <x:v>0</x:v>
      </x:c>
      <x:c r="AE148" s="45" t="n">
        <x:f>IF(OR($J148="",$K148=""),"",IF(SUMIFS(Calendar!$C$16:$C$141,Calendar!$A$16:$A$141,"&gt;="&amp;MAX(AE$7,$J148),Calendar!$A$16:$A$141,"&lt;="&amp;MIN(AE$7+4,$K148))=0,0,IF($H148="","EXT",SUMIFS(Calendar!$C$16:$C$141,Calendar!$A$16:$A$141,"&gt;="&amp;MAX(AE$7,$J148),Calendar!$A$16:$A$141,"&lt;="&amp;MIN(AE$7+4,$K148))*$H148/$G148)))</x:f>
        <x:v>0</x:v>
      </x:c>
      <x:c r="AF148" s="8" t="n">
        <x:f>IF(OR(M148&lt;&gt;"Scheduled",INDEX('Team and Gates'!$C$7:$C$13,MATCH($D148,'Team and Gates'!$A$7:$A$13,0))=""),"CHECK",SUM(N148:AE148)*INDEX('Team and Gates'!$C$7:$C$13,MATCH($D148,'Team and Gates'!$A$7:$A$13,0)))</x:f>
        <x:v>720</x:v>
      </x:c>
      <x:c r="AG148" s="46" t="str">
        <x:v>SIT evidence, defect retests and UAT-readiness artifacts are recorded; formal AM UAT is after the holiday.</x:v>
      </x:c>
      <x:c r="AH148" s="46" t="str">
        <x:v>Protect extended SIT, tuning and post-holiday UAT time. If quality gates slip, reduce scope or replan; do not assume more AI coding fixes quality. One UI/UX resource is assumed capable of frontend implementation, not design only.</x:v>
      </x:c>
    </x:row>
    <x:row r="149" ht="45" customHeight="1">
      <x:c r="A149" s="39" t="str">
        <x:v>F14</x:v>
      </x:c>
      <x:c r="B149" s="39" t="str">
        <x:v>Design / frontend</x:v>
      </x:c>
      <x:c r="C149" s="47" t="str">
        <x:v>UAT Portal smoke and pre-holiday frontend freeze</x:v>
      </x:c>
      <x:c r="D149" s="22" t="str">
        <x:v>UI/UX</x:v>
      </x:c>
      <x:c r="E149" s="47" t="str">
        <x:v>F13</x:v>
      </x:c>
      <x:c r="F149" s="50" t="n">
        <x:v>66</x:v>
      </x:c>
      <x:c r="G149" s="50" t="n">
        <x:v>2</x:v>
      </x:c>
      <x:c r="H149" s="51" t="n">
        <x:v>1</x:v>
      </x:c>
      <x:c r="I149" s="39" t="n">
        <x:f>IF(OR(F149="",G149=""),"",F149+G149-1)</x:f>
        <x:v>67</x:v>
      </x:c>
      <x:c r="J149" s="41" t="n">
        <x:f>IF(OR(F149="",F149&lt;1,F149&gt;Calendar!$B$9),"",INDEX(Calendar!$A$16:$A$141,MATCH(F149,Calendar!$D$16:$D$141,0)))</x:f>
        <x:v>46419</x:v>
      </x:c>
      <x:c r="K149" s="41" t="n">
        <x:f>IF(OR(I149="",I149&lt;1,I149&gt;Calendar!$B$9),"",INDEX(Calendar!$A$16:$A$141,MATCH(I149,Calendar!$D$16:$D$141,0)))</x:f>
        <x:v>46420</x:v>
      </x:c>
      <x:c r="L149" s="53" t="n">
        <x:v>0</x:v>
      </x:c>
      <x:c r="M149" s="39" t="str">
        <x:f>IF(OR(F149="",G149="",H149=""),"Missing input",IF(OR(F149&lt;1,G149&lt;1,I149&gt;Calendar!$B$9),"Outside calendar",IF(F149&lt;MAX(INDEX($I$8:$I$157,MATCH("F13",$A$8:$A$157,0))+1),"Dependency conflict","Scheduled")))</x:f>
        <x:v>Scheduled</x:v>
      </x:c>
      <x:c r="N149" s="45" t="n">
        <x:f>IF(OR($J149="",$K149=""),"",IF(SUMIFS(Calendar!$C$16:$C$141,Calendar!$A$16:$A$141,"&gt;="&amp;MAX(N$7,$J149),Calendar!$A$16:$A$141,"&lt;="&amp;MIN(N$7+4,$K149))=0,0,IF($H149="","EXT",SUMIFS(Calendar!$C$16:$C$141,Calendar!$A$16:$A$141,"&gt;="&amp;MAX(N$7,$J149),Calendar!$A$16:$A$141,"&lt;="&amp;MIN(N$7+4,$K149))*$H149/$G149)))</x:f>
        <x:v>0</x:v>
      </x:c>
      <x:c r="O149" s="45" t="n">
        <x:f>IF(OR($J149="",$K149=""),"",IF(SUMIFS(Calendar!$C$16:$C$141,Calendar!$A$16:$A$141,"&gt;="&amp;MAX(O$7,$J149),Calendar!$A$16:$A$141,"&lt;="&amp;MIN(O$7+4,$K149))=0,0,IF($H149="","EXT",SUMIFS(Calendar!$C$16:$C$141,Calendar!$A$16:$A$141,"&gt;="&amp;MAX(O$7,$J149),Calendar!$A$16:$A$141,"&lt;="&amp;MIN(O$7+4,$K149))*$H149/$G149)))</x:f>
        <x:v>0</x:v>
      </x:c>
      <x:c r="P149" s="45" t="n">
        <x:f>IF(OR($J149="",$K149=""),"",IF(SUMIFS(Calendar!$C$16:$C$141,Calendar!$A$16:$A$141,"&gt;="&amp;MAX(P$7,$J149),Calendar!$A$16:$A$141,"&lt;="&amp;MIN(P$7+4,$K149))=0,0,IF($H149="","EXT",SUMIFS(Calendar!$C$16:$C$141,Calendar!$A$16:$A$141,"&gt;="&amp;MAX(P$7,$J149),Calendar!$A$16:$A$141,"&lt;="&amp;MIN(P$7+4,$K149))*$H149/$G149)))</x:f>
        <x:v>0</x:v>
      </x:c>
      <x:c r="Q149" s="45" t="n">
        <x:f>IF(OR($J149="",$K149=""),"",IF(SUMIFS(Calendar!$C$16:$C$141,Calendar!$A$16:$A$141,"&gt;="&amp;MAX(Q$7,$J149),Calendar!$A$16:$A$141,"&lt;="&amp;MIN(Q$7+4,$K149))=0,0,IF($H149="","EXT",SUMIFS(Calendar!$C$16:$C$141,Calendar!$A$16:$A$141,"&gt;="&amp;MAX(Q$7,$J149),Calendar!$A$16:$A$141,"&lt;="&amp;MIN(Q$7+4,$K149))*$H149/$G149)))</x:f>
        <x:v>0</x:v>
      </x:c>
      <x:c r="R149" s="45" t="n">
        <x:f>IF(OR($J149="",$K149=""),"",IF(SUMIFS(Calendar!$C$16:$C$141,Calendar!$A$16:$A$141,"&gt;="&amp;MAX(R$7,$J149),Calendar!$A$16:$A$141,"&lt;="&amp;MIN(R$7+4,$K149))=0,0,IF($H149="","EXT",SUMIFS(Calendar!$C$16:$C$141,Calendar!$A$16:$A$141,"&gt;="&amp;MAX(R$7,$J149),Calendar!$A$16:$A$141,"&lt;="&amp;MIN(R$7+4,$K149))*$H149/$G149)))</x:f>
        <x:v>0</x:v>
      </x:c>
      <x:c r="S149" s="45" t="n">
        <x:f>IF(OR($J149="",$K149=""),"",IF(SUMIFS(Calendar!$C$16:$C$141,Calendar!$A$16:$A$141,"&gt;="&amp;MAX(S$7,$J149),Calendar!$A$16:$A$141,"&lt;="&amp;MIN(S$7+4,$K149))=0,0,IF($H149="","EXT",SUMIFS(Calendar!$C$16:$C$141,Calendar!$A$16:$A$141,"&gt;="&amp;MAX(S$7,$J149),Calendar!$A$16:$A$141,"&lt;="&amp;MIN(S$7+4,$K149))*$H149/$G149)))</x:f>
        <x:v>0</x:v>
      </x:c>
      <x:c r="T149" s="45" t="n">
        <x:f>IF(OR($J149="",$K149=""),"",IF(SUMIFS(Calendar!$C$16:$C$141,Calendar!$A$16:$A$141,"&gt;="&amp;MAX(T$7,$J149),Calendar!$A$16:$A$141,"&lt;="&amp;MIN(T$7+4,$K149))=0,0,IF($H149="","EXT",SUMIFS(Calendar!$C$16:$C$141,Calendar!$A$16:$A$141,"&gt;="&amp;MAX(T$7,$J149),Calendar!$A$16:$A$141,"&lt;="&amp;MIN(T$7+4,$K149))*$H149/$G149)))</x:f>
        <x:v>0</x:v>
      </x:c>
      <x:c r="U149" s="45" t="n">
        <x:f>IF(OR($J149="",$K149=""),"",IF(SUMIFS(Calendar!$C$16:$C$141,Calendar!$A$16:$A$141,"&gt;="&amp;MAX(U$7,$J149),Calendar!$A$16:$A$141,"&lt;="&amp;MIN(U$7+4,$K149))=0,0,IF($H149="","EXT",SUMIFS(Calendar!$C$16:$C$141,Calendar!$A$16:$A$141,"&gt;="&amp;MAX(U$7,$J149),Calendar!$A$16:$A$141,"&lt;="&amp;MIN(U$7+4,$K149))*$H149/$G149)))</x:f>
        <x:v>0</x:v>
      </x:c>
      <x:c r="V149" s="45" t="n">
        <x:f>IF(OR($J149="",$K149=""),"",IF(SUMIFS(Calendar!$C$16:$C$141,Calendar!$A$16:$A$141,"&gt;="&amp;MAX(V$7,$J149),Calendar!$A$16:$A$141,"&lt;="&amp;MIN(V$7+4,$K149))=0,0,IF($H149="","EXT",SUMIFS(Calendar!$C$16:$C$141,Calendar!$A$16:$A$141,"&gt;="&amp;MAX(V$7,$J149),Calendar!$A$16:$A$141,"&lt;="&amp;MIN(V$7+4,$K149))*$H149/$G149)))</x:f>
        <x:v>0</x:v>
      </x:c>
      <x:c r="W149" s="45" t="n">
        <x:f>IF(OR($J149="",$K149=""),"",IF(SUMIFS(Calendar!$C$16:$C$141,Calendar!$A$16:$A$141,"&gt;="&amp;MAX(W$7,$J149),Calendar!$A$16:$A$141,"&lt;="&amp;MIN(W$7+4,$K149))=0,0,IF($H149="","EXT",SUMIFS(Calendar!$C$16:$C$141,Calendar!$A$16:$A$141,"&gt;="&amp;MAX(W$7,$J149),Calendar!$A$16:$A$141,"&lt;="&amp;MIN(W$7+4,$K149))*$H149/$G149)))</x:f>
        <x:v>0</x:v>
      </x:c>
      <x:c r="X149" s="45" t="n">
        <x:f>IF(OR($J149="",$K149=""),"",IF(SUMIFS(Calendar!$C$16:$C$141,Calendar!$A$16:$A$141,"&gt;="&amp;MAX(X$7,$J149),Calendar!$A$16:$A$141,"&lt;="&amp;MIN(X$7+4,$K149))=0,0,IF($H149="","EXT",SUMIFS(Calendar!$C$16:$C$141,Calendar!$A$16:$A$141,"&gt;="&amp;MAX(X$7,$J149),Calendar!$A$16:$A$141,"&lt;="&amp;MIN(X$7+4,$K149))*$H149/$G149)))</x:f>
        <x:v>0</x:v>
      </x:c>
      <x:c r="Y149" s="45" t="n">
        <x:f>IF(OR($J149="",$K149=""),"",IF(SUMIFS(Calendar!$C$16:$C$141,Calendar!$A$16:$A$141,"&gt;="&amp;MAX(Y$7,$J149),Calendar!$A$16:$A$141,"&lt;="&amp;MIN(Y$7+4,$K149))=0,0,IF($H149="","EXT",SUMIFS(Calendar!$C$16:$C$141,Calendar!$A$16:$A$141,"&gt;="&amp;MAX(Y$7,$J149),Calendar!$A$16:$A$141,"&lt;="&amp;MIN(Y$7+4,$K149))*$H149/$G149)))</x:f>
        <x:v>0</x:v>
      </x:c>
      <x:c r="Z149" s="45" t="n">
        <x:f>IF(OR($J149="",$K149=""),"",IF(SUMIFS(Calendar!$C$16:$C$141,Calendar!$A$16:$A$141,"&gt;="&amp;MAX(Z$7,$J149),Calendar!$A$16:$A$141,"&lt;="&amp;MIN(Z$7+4,$K149))=0,0,IF($H149="","EXT",SUMIFS(Calendar!$C$16:$C$141,Calendar!$A$16:$A$141,"&gt;="&amp;MAX(Z$7,$J149),Calendar!$A$16:$A$141,"&lt;="&amp;MIN(Z$7+4,$K149))*$H149/$G149)))</x:f>
        <x:v>0</x:v>
      </x:c>
      <x:c r="AA149" s="45" t="n">
        <x:f>IF(OR($J149="",$K149=""),"",IF(SUMIFS(Calendar!$C$16:$C$141,Calendar!$A$16:$A$141,"&gt;="&amp;MAX(AA$7,$J149),Calendar!$A$16:$A$141,"&lt;="&amp;MIN(AA$7+4,$K149))=0,0,IF($H149="","EXT",SUMIFS(Calendar!$C$16:$C$141,Calendar!$A$16:$A$141,"&gt;="&amp;MAX(AA$7,$J149),Calendar!$A$16:$A$141,"&lt;="&amp;MIN(AA$7+4,$K149))*$H149/$G149)))</x:f>
        <x:v>1</x:v>
      </x:c>
      <x:c r="AB149" s="45" t="n">
        <x:f>IF(OR($J149="",$K149=""),"",IF(SUMIFS(Calendar!$C$16:$C$141,Calendar!$A$16:$A$141,"&gt;="&amp;MAX(AB$7,$J149),Calendar!$A$16:$A$141,"&lt;="&amp;MIN(AB$7+4,$K149))=0,0,IF($H149="","EXT",SUMIFS(Calendar!$C$16:$C$141,Calendar!$A$16:$A$141,"&gt;="&amp;MAX(AB$7,$J149),Calendar!$A$16:$A$141,"&lt;="&amp;MIN(AB$7+4,$K149))*$H149/$G149)))</x:f>
        <x:v>0</x:v>
      </x:c>
      <x:c r="AC149" s="45" t="n">
        <x:f>IF(OR($J149="",$K149=""),"",IF(SUMIFS(Calendar!$C$16:$C$141,Calendar!$A$16:$A$141,"&gt;="&amp;MAX(AC$7,$J149),Calendar!$A$16:$A$141,"&lt;="&amp;MIN(AC$7+4,$K149))=0,0,IF($H149="","EXT",SUMIFS(Calendar!$C$16:$C$141,Calendar!$A$16:$A$141,"&gt;="&amp;MAX(AC$7,$J149),Calendar!$A$16:$A$141,"&lt;="&amp;MIN(AC$7+4,$K149))*$H149/$G149)))</x:f>
        <x:v>0</x:v>
      </x:c>
      <x:c r="AD149" s="45" t="n">
        <x:f>IF(OR($J149="",$K149=""),"",IF(SUMIFS(Calendar!$C$16:$C$141,Calendar!$A$16:$A$141,"&gt;="&amp;MAX(AD$7,$J149),Calendar!$A$16:$A$141,"&lt;="&amp;MIN(AD$7+4,$K149))=0,0,IF($H149="","EXT",SUMIFS(Calendar!$C$16:$C$141,Calendar!$A$16:$A$141,"&gt;="&amp;MAX(AD$7,$J149),Calendar!$A$16:$A$141,"&lt;="&amp;MIN(AD$7+4,$K149))*$H149/$G149)))</x:f>
        <x:v>0</x:v>
      </x:c>
      <x:c r="AE149" s="45" t="n">
        <x:f>IF(OR($J149="",$K149=""),"",IF(SUMIFS(Calendar!$C$16:$C$141,Calendar!$A$16:$A$141,"&gt;="&amp;MAX(AE$7,$J149),Calendar!$A$16:$A$141,"&lt;="&amp;MIN(AE$7+4,$K149))=0,0,IF($H149="","EXT",SUMIFS(Calendar!$C$16:$C$141,Calendar!$A$16:$A$141,"&gt;="&amp;MAX(AE$7,$J149),Calendar!$A$16:$A$141,"&lt;="&amp;MIN(AE$7+4,$K149))*$H149/$G149)))</x:f>
        <x:v>0</x:v>
      </x:c>
      <x:c r="AF149" s="8" t="n">
        <x:f>IF(OR(M149&lt;&gt;"Scheduled",INDEX('Team and Gates'!$C$7:$C$13,MATCH($D149,'Team and Gates'!$A$7:$A$13,0))=""),"CHECK",SUM(N149:AE149)*INDEX('Team and Gates'!$C$7:$C$13,MATCH($D149,'Team and Gates'!$A$7:$A$13,0)))</x:f>
        <x:v>360</x:v>
      </x:c>
      <x:c r="AG149" s="46" t="str">
        <x:v>Qualified release artifacts, operational checks and named handover evidence are recorded.</x:v>
      </x:c>
      <x:c r="AH149" s="46" t="str">
        <x:v> One UI/UX resource is assumed capable of frontend implementation, not design only.</x:v>
      </x:c>
    </x:row>
    <x:row r="150" ht="45" customHeight="1">
      <x:c r="A150" s="2" t="str">
        <x:v>F16</x:v>
      </x:c>
      <x:c r="B150" s="2" t="str">
        <x:v>Design / frontend</x:v>
      </x:c>
      <x:c r="C150" s="46" t="str">
        <x:v>Formal AM UAT usability support and final UI acceptance</x:v>
      </x:c>
      <x:c r="D150" s="22" t="str">
        <x:v>UI/UX</x:v>
      </x:c>
      <x:c r="E150" s="46" t="str">
        <x:v>F14</x:v>
      </x:c>
      <x:c r="F150" s="50" t="n">
        <x:v>68</x:v>
      </x:c>
      <x:c r="G150" s="50" t="n">
        <x:v>5</x:v>
      </x:c>
      <x:c r="H150" s="51" t="n">
        <x:v>2</x:v>
      </x:c>
      <x:c r="I150" s="2" t="n">
        <x:f>IF(OR(F150="",G150=""),"",F150+G150-1)</x:f>
        <x:v>72</x:v>
      </x:c>
      <x:c r="J150" s="5" t="n">
        <x:f>IF(OR(F150="",F150&lt;1,F150&gt;Calendar!$B$9),"",INDEX(Calendar!$A$16:$A$141,MATCH(F150,Calendar!$D$16:$D$141,0)))</x:f>
        <x:v>46433</x:v>
      </x:c>
      <x:c r="K150" s="5" t="n">
        <x:f>IF(OR(I150="",I150&lt;1,I150&gt;Calendar!$B$9),"",INDEX(Calendar!$A$16:$A$141,MATCH(I150,Calendar!$D$16:$D$141,0)))</x:f>
        <x:v>46437</x:v>
      </x:c>
      <x:c r="L150" s="53" t="n">
        <x:v>0</x:v>
      </x:c>
      <x:c r="M150" s="2" t="str">
        <x:f>IF(OR(F150="",G150="",H150=""),"Missing input",IF(OR(F150&lt;1,G150&lt;1,I150&gt;Calendar!$B$9),"Outside calendar",IF(F150&lt;MAX(INDEX($I$8:$I$157,MATCH("F14",$A$8:$A$157,0))+1),"Dependency conflict","Scheduled")))</x:f>
        <x:v>Scheduled</x:v>
      </x:c>
      <x:c r="N150" s="45" t="n">
        <x:f>IF(OR($J150="",$K150=""),"",IF(SUMIFS(Calendar!$C$16:$C$141,Calendar!$A$16:$A$141,"&gt;="&amp;MAX(N$7,$J150),Calendar!$A$16:$A$141,"&lt;="&amp;MIN(N$7+4,$K150))=0,0,IF($H150="","EXT",SUMIFS(Calendar!$C$16:$C$141,Calendar!$A$16:$A$141,"&gt;="&amp;MAX(N$7,$J150),Calendar!$A$16:$A$141,"&lt;="&amp;MIN(N$7+4,$K150))*$H150/$G150)))</x:f>
        <x:v>0</x:v>
      </x:c>
      <x:c r="O150" s="45" t="n">
        <x:f>IF(OR($J150="",$K150=""),"",IF(SUMIFS(Calendar!$C$16:$C$141,Calendar!$A$16:$A$141,"&gt;="&amp;MAX(O$7,$J150),Calendar!$A$16:$A$141,"&lt;="&amp;MIN(O$7+4,$K150))=0,0,IF($H150="","EXT",SUMIFS(Calendar!$C$16:$C$141,Calendar!$A$16:$A$141,"&gt;="&amp;MAX(O$7,$J150),Calendar!$A$16:$A$141,"&lt;="&amp;MIN(O$7+4,$K150))*$H150/$G150)))</x:f>
        <x:v>0</x:v>
      </x:c>
      <x:c r="P150" s="45" t="n">
        <x:f>IF(OR($J150="",$K150=""),"",IF(SUMIFS(Calendar!$C$16:$C$141,Calendar!$A$16:$A$141,"&gt;="&amp;MAX(P$7,$J150),Calendar!$A$16:$A$141,"&lt;="&amp;MIN(P$7+4,$K150))=0,0,IF($H150="","EXT",SUMIFS(Calendar!$C$16:$C$141,Calendar!$A$16:$A$141,"&gt;="&amp;MAX(P$7,$J150),Calendar!$A$16:$A$141,"&lt;="&amp;MIN(P$7+4,$K150))*$H150/$G150)))</x:f>
        <x:v>0</x:v>
      </x:c>
      <x:c r="Q150" s="45" t="n">
        <x:f>IF(OR($J150="",$K150=""),"",IF(SUMIFS(Calendar!$C$16:$C$141,Calendar!$A$16:$A$141,"&gt;="&amp;MAX(Q$7,$J150),Calendar!$A$16:$A$141,"&lt;="&amp;MIN(Q$7+4,$K150))=0,0,IF($H150="","EXT",SUMIFS(Calendar!$C$16:$C$141,Calendar!$A$16:$A$141,"&gt;="&amp;MAX(Q$7,$J150),Calendar!$A$16:$A$141,"&lt;="&amp;MIN(Q$7+4,$K150))*$H150/$G150)))</x:f>
        <x:v>0</x:v>
      </x:c>
      <x:c r="R150" s="45" t="n">
        <x:f>IF(OR($J150="",$K150=""),"",IF(SUMIFS(Calendar!$C$16:$C$141,Calendar!$A$16:$A$141,"&gt;="&amp;MAX(R$7,$J150),Calendar!$A$16:$A$141,"&lt;="&amp;MIN(R$7+4,$K150))=0,0,IF($H150="","EXT",SUMIFS(Calendar!$C$16:$C$141,Calendar!$A$16:$A$141,"&gt;="&amp;MAX(R$7,$J150),Calendar!$A$16:$A$141,"&lt;="&amp;MIN(R$7+4,$K150))*$H150/$G150)))</x:f>
        <x:v>0</x:v>
      </x:c>
      <x:c r="S150" s="45" t="n">
        <x:f>IF(OR($J150="",$K150=""),"",IF(SUMIFS(Calendar!$C$16:$C$141,Calendar!$A$16:$A$141,"&gt;="&amp;MAX(S$7,$J150),Calendar!$A$16:$A$141,"&lt;="&amp;MIN(S$7+4,$K150))=0,0,IF($H150="","EXT",SUMIFS(Calendar!$C$16:$C$141,Calendar!$A$16:$A$141,"&gt;="&amp;MAX(S$7,$J150),Calendar!$A$16:$A$141,"&lt;="&amp;MIN(S$7+4,$K150))*$H150/$G150)))</x:f>
        <x:v>0</x:v>
      </x:c>
      <x:c r="T150" s="45" t="n">
        <x:f>IF(OR($J150="",$K150=""),"",IF(SUMIFS(Calendar!$C$16:$C$141,Calendar!$A$16:$A$141,"&gt;="&amp;MAX(T$7,$J150),Calendar!$A$16:$A$141,"&lt;="&amp;MIN(T$7+4,$K150))=0,0,IF($H150="","EXT",SUMIFS(Calendar!$C$16:$C$141,Calendar!$A$16:$A$141,"&gt;="&amp;MAX(T$7,$J150),Calendar!$A$16:$A$141,"&lt;="&amp;MIN(T$7+4,$K150))*$H150/$G150)))</x:f>
        <x:v>0</x:v>
      </x:c>
      <x:c r="U150" s="45" t="n">
        <x:f>IF(OR($J150="",$K150=""),"",IF(SUMIFS(Calendar!$C$16:$C$141,Calendar!$A$16:$A$141,"&gt;="&amp;MAX(U$7,$J150),Calendar!$A$16:$A$141,"&lt;="&amp;MIN(U$7+4,$K150))=0,0,IF($H150="","EXT",SUMIFS(Calendar!$C$16:$C$141,Calendar!$A$16:$A$141,"&gt;="&amp;MAX(U$7,$J150),Calendar!$A$16:$A$141,"&lt;="&amp;MIN(U$7+4,$K150))*$H150/$G150)))</x:f>
        <x:v>0</x:v>
      </x:c>
      <x:c r="V150" s="45" t="n">
        <x:f>IF(OR($J150="",$K150=""),"",IF(SUMIFS(Calendar!$C$16:$C$141,Calendar!$A$16:$A$141,"&gt;="&amp;MAX(V$7,$J150),Calendar!$A$16:$A$141,"&lt;="&amp;MIN(V$7+4,$K150))=0,0,IF($H150="","EXT",SUMIFS(Calendar!$C$16:$C$141,Calendar!$A$16:$A$141,"&gt;="&amp;MAX(V$7,$J150),Calendar!$A$16:$A$141,"&lt;="&amp;MIN(V$7+4,$K150))*$H150/$G150)))</x:f>
        <x:v>0</x:v>
      </x:c>
      <x:c r="W150" s="45" t="n">
        <x:f>IF(OR($J150="",$K150=""),"",IF(SUMIFS(Calendar!$C$16:$C$141,Calendar!$A$16:$A$141,"&gt;="&amp;MAX(W$7,$J150),Calendar!$A$16:$A$141,"&lt;="&amp;MIN(W$7+4,$K150))=0,0,IF($H150="","EXT",SUMIFS(Calendar!$C$16:$C$141,Calendar!$A$16:$A$141,"&gt;="&amp;MAX(W$7,$J150),Calendar!$A$16:$A$141,"&lt;="&amp;MIN(W$7+4,$K150))*$H150/$G150)))</x:f>
        <x:v>0</x:v>
      </x:c>
      <x:c r="X150" s="45" t="n">
        <x:f>IF(OR($J150="",$K150=""),"",IF(SUMIFS(Calendar!$C$16:$C$141,Calendar!$A$16:$A$141,"&gt;="&amp;MAX(X$7,$J150),Calendar!$A$16:$A$141,"&lt;="&amp;MIN(X$7+4,$K150))=0,0,IF($H150="","EXT",SUMIFS(Calendar!$C$16:$C$141,Calendar!$A$16:$A$141,"&gt;="&amp;MAX(X$7,$J150),Calendar!$A$16:$A$141,"&lt;="&amp;MIN(X$7+4,$K150))*$H150/$G150)))</x:f>
        <x:v>0</x:v>
      </x:c>
      <x:c r="Y150" s="45" t="n">
        <x:f>IF(OR($J150="",$K150=""),"",IF(SUMIFS(Calendar!$C$16:$C$141,Calendar!$A$16:$A$141,"&gt;="&amp;MAX(Y$7,$J150),Calendar!$A$16:$A$141,"&lt;="&amp;MIN(Y$7+4,$K150))=0,0,IF($H150="","EXT",SUMIFS(Calendar!$C$16:$C$141,Calendar!$A$16:$A$141,"&gt;="&amp;MAX(Y$7,$J150),Calendar!$A$16:$A$141,"&lt;="&amp;MIN(Y$7+4,$K150))*$H150/$G150)))</x:f>
        <x:v>0</x:v>
      </x:c>
      <x:c r="Z150" s="45" t="n">
        <x:f>IF(OR($J150="",$K150=""),"",IF(SUMIFS(Calendar!$C$16:$C$141,Calendar!$A$16:$A$141,"&gt;="&amp;MAX(Z$7,$J150),Calendar!$A$16:$A$141,"&lt;="&amp;MIN(Z$7+4,$K150))=0,0,IF($H150="","EXT",SUMIFS(Calendar!$C$16:$C$141,Calendar!$A$16:$A$141,"&gt;="&amp;MAX(Z$7,$J150),Calendar!$A$16:$A$141,"&lt;="&amp;MIN(Z$7+4,$K150))*$H150/$G150)))</x:f>
        <x:v>0</x:v>
      </x:c>
      <x:c r="AA150" s="45" t="n">
        <x:f>IF(OR($J150="",$K150=""),"",IF(SUMIFS(Calendar!$C$16:$C$141,Calendar!$A$16:$A$141,"&gt;="&amp;MAX(AA$7,$J150),Calendar!$A$16:$A$141,"&lt;="&amp;MIN(AA$7+4,$K150))=0,0,IF($H150="","EXT",SUMIFS(Calendar!$C$16:$C$141,Calendar!$A$16:$A$141,"&gt;="&amp;MAX(AA$7,$J150),Calendar!$A$16:$A$141,"&lt;="&amp;MIN(AA$7+4,$K150))*$H150/$G150)))</x:f>
        <x:v>0</x:v>
      </x:c>
      <x:c r="AB150" s="45" t="n">
        <x:f>IF(OR($J150="",$K150=""),"",IF(SUMIFS(Calendar!$C$16:$C$141,Calendar!$A$16:$A$141,"&gt;="&amp;MAX(AB$7,$J150),Calendar!$A$16:$A$141,"&lt;="&amp;MIN(AB$7+4,$K150))=0,0,IF($H150="","EXT",SUMIFS(Calendar!$C$16:$C$141,Calendar!$A$16:$A$141,"&gt;="&amp;MAX(AB$7,$J150),Calendar!$A$16:$A$141,"&lt;="&amp;MIN(AB$7+4,$K150))*$H150/$G150)))</x:f>
        <x:v>0</x:v>
      </x:c>
      <x:c r="AC150" s="45" t="n">
        <x:f>IF(OR($J150="",$K150=""),"",IF(SUMIFS(Calendar!$C$16:$C$141,Calendar!$A$16:$A$141,"&gt;="&amp;MAX(AC$7,$J150),Calendar!$A$16:$A$141,"&lt;="&amp;MIN(AC$7+4,$K150))=0,0,IF($H150="","EXT",SUMIFS(Calendar!$C$16:$C$141,Calendar!$A$16:$A$141,"&gt;="&amp;MAX(AC$7,$J150),Calendar!$A$16:$A$141,"&lt;="&amp;MIN(AC$7+4,$K150))*$H150/$G150)))</x:f>
        <x:v>2</x:v>
      </x:c>
      <x:c r="AD150" s="45" t="n">
        <x:f>IF(OR($J150="",$K150=""),"",IF(SUMIFS(Calendar!$C$16:$C$141,Calendar!$A$16:$A$141,"&gt;="&amp;MAX(AD$7,$J150),Calendar!$A$16:$A$141,"&lt;="&amp;MIN(AD$7+4,$K150))=0,0,IF($H150="","EXT",SUMIFS(Calendar!$C$16:$C$141,Calendar!$A$16:$A$141,"&gt;="&amp;MAX(AD$7,$J150),Calendar!$A$16:$A$141,"&lt;="&amp;MIN(AD$7+4,$K150))*$H150/$G150)))</x:f>
        <x:v>0</x:v>
      </x:c>
      <x:c r="AE150" s="45" t="n">
        <x:f>IF(OR($J150="",$K150=""),"",IF(SUMIFS(Calendar!$C$16:$C$141,Calendar!$A$16:$A$141,"&gt;="&amp;MAX(AE$7,$J150),Calendar!$A$16:$A$141,"&lt;="&amp;MIN(AE$7+4,$K150))=0,0,IF($H150="","EXT",SUMIFS(Calendar!$C$16:$C$141,Calendar!$A$16:$A$141,"&gt;="&amp;MAX(AE$7,$J150),Calendar!$A$16:$A$141,"&lt;="&amp;MIN(AE$7+4,$K150))*$H150/$G150)))</x:f>
        <x:v>0</x:v>
      </x:c>
      <x:c r="AF150" s="8" t="n">
        <x:f>IF(OR(M150&lt;&gt;"Scheduled",INDEX('Team and Gates'!$C$7:$C$13,MATCH($D150,'Team and Gates'!$A$7:$A$13,0))=""),"CHECK",SUM(N150:AE150)*INDEX('Team and Gates'!$C$7:$C$13,MATCH($D150,'Team and Gates'!$A$7:$A$13,0)))</x:f>
        <x:v>720</x:v>
      </x:c>
      <x:c r="AG150" s="46" t="str">
        <x:v>Pilot AMs execute first-week UAT scenarios; defects and affected regression/AI retests are recorded for final acceptance on Feb 24.</x:v>
      </x:c>
      <x:c r="AH150" s="46" t="str">
        <x:v> One UI/UX resource is assumed capable of frontend implementation, not design only.</x:v>
      </x:c>
    </x:row>
    <x:row r="151" ht="45" customHeight="1">
      <x:c r="A151" s="39" t="str">
        <x:v>F17</x:v>
      </x:c>
      <x:c r="B151" s="39" t="str">
        <x:v>Design / frontend</x:v>
      </x:c>
      <x:c r="C151" s="47" t="str">
        <x:v>Final UAT usability retests and accepted frontend release</x:v>
      </x:c>
      <x:c r="D151" s="22" t="str">
        <x:v>UI/UX</x:v>
      </x:c>
      <x:c r="E151" s="47" t="str">
        <x:v>F16, Q16, U16</x:v>
      </x:c>
      <x:c r="F151" s="50" t="n">
        <x:v>73</x:v>
      </x:c>
      <x:c r="G151" s="50" t="n">
        <x:v>3</x:v>
      </x:c>
      <x:c r="H151" s="51" t="n">
        <x:v>1.2</x:v>
      </x:c>
      <x:c r="I151" s="39" t="n">
        <x:f>IF(OR(F151="",G151=""),"",F151+G151-1)</x:f>
        <x:v>75</x:v>
      </x:c>
      <x:c r="J151" s="41" t="n">
        <x:f>IF(OR(F151="",F151&lt;1,F151&gt;Calendar!$B$9),"",INDEX(Calendar!$A$16:$A$141,MATCH(F151,Calendar!$D$16:$D$141,0)))</x:f>
        <x:v>46440</x:v>
      </x:c>
      <x:c r="K151" s="41" t="n">
        <x:f>IF(OR(I151="",I151&lt;1,I151&gt;Calendar!$B$9),"",INDEX(Calendar!$A$16:$A$141,MATCH(I151,Calendar!$D$16:$D$141,0)))</x:f>
        <x:v>46442</x:v>
      </x:c>
      <x:c r="L151" s="53" t="n">
        <x:v>0</x:v>
      </x:c>
      <x:c r="M151" s="39" t="str">
        <x:f>IF(OR(F151="",G151="",H151=""),"Missing input",IF(OR(F151&lt;1,G151&lt;1,I151&gt;Calendar!$B$9),"Outside calendar",IF(F151&lt;MAX(INDEX($I$8:$I$157,MATCH("F16",$A$8:$A$157,0))+1,INDEX($I$8:$I$157,MATCH("Q16",$A$8:$A$157,0))+1,INDEX($I$8:$I$157,MATCH("U16",$A$8:$A$157,0))+1),"Dependency conflict","Scheduled")))</x:f>
        <x:v>Scheduled</x:v>
      </x:c>
      <x:c r="N151" s="45" t="n">
        <x:f>IF(OR($J151="",$K151=""),"",IF(SUMIFS(Calendar!$C$16:$C$141,Calendar!$A$16:$A$141,"&gt;="&amp;MAX(N$7,$J151),Calendar!$A$16:$A$141,"&lt;="&amp;MIN(N$7+4,$K151))=0,0,IF($H151="","EXT",SUMIFS(Calendar!$C$16:$C$141,Calendar!$A$16:$A$141,"&gt;="&amp;MAX(N$7,$J151),Calendar!$A$16:$A$141,"&lt;="&amp;MIN(N$7+4,$K151))*$H151/$G151)))</x:f>
        <x:v>0</x:v>
      </x:c>
      <x:c r="O151" s="45" t="n">
        <x:f>IF(OR($J151="",$K151=""),"",IF(SUMIFS(Calendar!$C$16:$C$141,Calendar!$A$16:$A$141,"&gt;="&amp;MAX(O$7,$J151),Calendar!$A$16:$A$141,"&lt;="&amp;MIN(O$7+4,$K151))=0,0,IF($H151="","EXT",SUMIFS(Calendar!$C$16:$C$141,Calendar!$A$16:$A$141,"&gt;="&amp;MAX(O$7,$J151),Calendar!$A$16:$A$141,"&lt;="&amp;MIN(O$7+4,$K151))*$H151/$G151)))</x:f>
        <x:v>0</x:v>
      </x:c>
      <x:c r="P151" s="45" t="n">
        <x:f>IF(OR($J151="",$K151=""),"",IF(SUMIFS(Calendar!$C$16:$C$141,Calendar!$A$16:$A$141,"&gt;="&amp;MAX(P$7,$J151),Calendar!$A$16:$A$141,"&lt;="&amp;MIN(P$7+4,$K151))=0,0,IF($H151="","EXT",SUMIFS(Calendar!$C$16:$C$141,Calendar!$A$16:$A$141,"&gt;="&amp;MAX(P$7,$J151),Calendar!$A$16:$A$141,"&lt;="&amp;MIN(P$7+4,$K151))*$H151/$G151)))</x:f>
        <x:v>0</x:v>
      </x:c>
      <x:c r="Q151" s="45" t="n">
        <x:f>IF(OR($J151="",$K151=""),"",IF(SUMIFS(Calendar!$C$16:$C$141,Calendar!$A$16:$A$141,"&gt;="&amp;MAX(Q$7,$J151),Calendar!$A$16:$A$141,"&lt;="&amp;MIN(Q$7+4,$K151))=0,0,IF($H151="","EXT",SUMIFS(Calendar!$C$16:$C$141,Calendar!$A$16:$A$141,"&gt;="&amp;MAX(Q$7,$J151),Calendar!$A$16:$A$141,"&lt;="&amp;MIN(Q$7+4,$K151))*$H151/$G151)))</x:f>
        <x:v>0</x:v>
      </x:c>
      <x:c r="R151" s="45" t="n">
        <x:f>IF(OR($J151="",$K151=""),"",IF(SUMIFS(Calendar!$C$16:$C$141,Calendar!$A$16:$A$141,"&gt;="&amp;MAX(R$7,$J151),Calendar!$A$16:$A$141,"&lt;="&amp;MIN(R$7+4,$K151))=0,0,IF($H151="","EXT",SUMIFS(Calendar!$C$16:$C$141,Calendar!$A$16:$A$141,"&gt;="&amp;MAX(R$7,$J151),Calendar!$A$16:$A$141,"&lt;="&amp;MIN(R$7+4,$K151))*$H151/$G151)))</x:f>
        <x:v>0</x:v>
      </x:c>
      <x:c r="S151" s="45" t="n">
        <x:f>IF(OR($J151="",$K151=""),"",IF(SUMIFS(Calendar!$C$16:$C$141,Calendar!$A$16:$A$141,"&gt;="&amp;MAX(S$7,$J151),Calendar!$A$16:$A$141,"&lt;="&amp;MIN(S$7+4,$K151))=0,0,IF($H151="","EXT",SUMIFS(Calendar!$C$16:$C$141,Calendar!$A$16:$A$141,"&gt;="&amp;MAX(S$7,$J151),Calendar!$A$16:$A$141,"&lt;="&amp;MIN(S$7+4,$K151))*$H151/$G151)))</x:f>
        <x:v>0</x:v>
      </x:c>
      <x:c r="T151" s="45" t="n">
        <x:f>IF(OR($J151="",$K151=""),"",IF(SUMIFS(Calendar!$C$16:$C$141,Calendar!$A$16:$A$141,"&gt;="&amp;MAX(T$7,$J151),Calendar!$A$16:$A$141,"&lt;="&amp;MIN(T$7+4,$K151))=0,0,IF($H151="","EXT",SUMIFS(Calendar!$C$16:$C$141,Calendar!$A$16:$A$141,"&gt;="&amp;MAX(T$7,$J151),Calendar!$A$16:$A$141,"&lt;="&amp;MIN(T$7+4,$K151))*$H151/$G151)))</x:f>
        <x:v>0</x:v>
      </x:c>
      <x:c r="U151" s="45" t="n">
        <x:f>IF(OR($J151="",$K151=""),"",IF(SUMIFS(Calendar!$C$16:$C$141,Calendar!$A$16:$A$141,"&gt;="&amp;MAX(U$7,$J151),Calendar!$A$16:$A$141,"&lt;="&amp;MIN(U$7+4,$K151))=0,0,IF($H151="","EXT",SUMIFS(Calendar!$C$16:$C$141,Calendar!$A$16:$A$141,"&gt;="&amp;MAX(U$7,$J151),Calendar!$A$16:$A$141,"&lt;="&amp;MIN(U$7+4,$K151))*$H151/$G151)))</x:f>
        <x:v>0</x:v>
      </x:c>
      <x:c r="V151" s="45" t="n">
        <x:f>IF(OR($J151="",$K151=""),"",IF(SUMIFS(Calendar!$C$16:$C$141,Calendar!$A$16:$A$141,"&gt;="&amp;MAX(V$7,$J151),Calendar!$A$16:$A$141,"&lt;="&amp;MIN(V$7+4,$K151))=0,0,IF($H151="","EXT",SUMIFS(Calendar!$C$16:$C$141,Calendar!$A$16:$A$141,"&gt;="&amp;MAX(V$7,$J151),Calendar!$A$16:$A$141,"&lt;="&amp;MIN(V$7+4,$K151))*$H151/$G151)))</x:f>
        <x:v>0</x:v>
      </x:c>
      <x:c r="W151" s="45" t="n">
        <x:f>IF(OR($J151="",$K151=""),"",IF(SUMIFS(Calendar!$C$16:$C$141,Calendar!$A$16:$A$141,"&gt;="&amp;MAX(W$7,$J151),Calendar!$A$16:$A$141,"&lt;="&amp;MIN(W$7+4,$K151))=0,0,IF($H151="","EXT",SUMIFS(Calendar!$C$16:$C$141,Calendar!$A$16:$A$141,"&gt;="&amp;MAX(W$7,$J151),Calendar!$A$16:$A$141,"&lt;="&amp;MIN(W$7+4,$K151))*$H151/$G151)))</x:f>
        <x:v>0</x:v>
      </x:c>
      <x:c r="X151" s="45" t="n">
        <x:f>IF(OR($J151="",$K151=""),"",IF(SUMIFS(Calendar!$C$16:$C$141,Calendar!$A$16:$A$141,"&gt;="&amp;MAX(X$7,$J151),Calendar!$A$16:$A$141,"&lt;="&amp;MIN(X$7+4,$K151))=0,0,IF($H151="","EXT",SUMIFS(Calendar!$C$16:$C$141,Calendar!$A$16:$A$141,"&gt;="&amp;MAX(X$7,$J151),Calendar!$A$16:$A$141,"&lt;="&amp;MIN(X$7+4,$K151))*$H151/$G151)))</x:f>
        <x:v>0</x:v>
      </x:c>
      <x:c r="Y151" s="45" t="n">
        <x:f>IF(OR($J151="",$K151=""),"",IF(SUMIFS(Calendar!$C$16:$C$141,Calendar!$A$16:$A$141,"&gt;="&amp;MAX(Y$7,$J151),Calendar!$A$16:$A$141,"&lt;="&amp;MIN(Y$7+4,$K151))=0,0,IF($H151="","EXT",SUMIFS(Calendar!$C$16:$C$141,Calendar!$A$16:$A$141,"&gt;="&amp;MAX(Y$7,$J151),Calendar!$A$16:$A$141,"&lt;="&amp;MIN(Y$7+4,$K151))*$H151/$G151)))</x:f>
        <x:v>0</x:v>
      </x:c>
      <x:c r="Z151" s="45" t="n">
        <x:f>IF(OR($J151="",$K151=""),"",IF(SUMIFS(Calendar!$C$16:$C$141,Calendar!$A$16:$A$141,"&gt;="&amp;MAX(Z$7,$J151),Calendar!$A$16:$A$141,"&lt;="&amp;MIN(Z$7+4,$K151))=0,0,IF($H151="","EXT",SUMIFS(Calendar!$C$16:$C$141,Calendar!$A$16:$A$141,"&gt;="&amp;MAX(Z$7,$J151),Calendar!$A$16:$A$141,"&lt;="&amp;MIN(Z$7+4,$K151))*$H151/$G151)))</x:f>
        <x:v>0</x:v>
      </x:c>
      <x:c r="AA151" s="45" t="n">
        <x:f>IF(OR($J151="",$K151=""),"",IF(SUMIFS(Calendar!$C$16:$C$141,Calendar!$A$16:$A$141,"&gt;="&amp;MAX(AA$7,$J151),Calendar!$A$16:$A$141,"&lt;="&amp;MIN(AA$7+4,$K151))=0,0,IF($H151="","EXT",SUMIFS(Calendar!$C$16:$C$141,Calendar!$A$16:$A$141,"&gt;="&amp;MAX(AA$7,$J151),Calendar!$A$16:$A$141,"&lt;="&amp;MIN(AA$7+4,$K151))*$H151/$G151)))</x:f>
        <x:v>0</x:v>
      </x:c>
      <x:c r="AB151" s="45" t="n">
        <x:f>IF(OR($J151="",$K151=""),"",IF(SUMIFS(Calendar!$C$16:$C$141,Calendar!$A$16:$A$141,"&gt;="&amp;MAX(AB$7,$J151),Calendar!$A$16:$A$141,"&lt;="&amp;MIN(AB$7+4,$K151))=0,0,IF($H151="","EXT",SUMIFS(Calendar!$C$16:$C$141,Calendar!$A$16:$A$141,"&gt;="&amp;MAX(AB$7,$J151),Calendar!$A$16:$A$141,"&lt;="&amp;MIN(AB$7+4,$K151))*$H151/$G151)))</x:f>
        <x:v>0</x:v>
      </x:c>
      <x:c r="AC151" s="45" t="n">
        <x:f>IF(OR($J151="",$K151=""),"",IF(SUMIFS(Calendar!$C$16:$C$141,Calendar!$A$16:$A$141,"&gt;="&amp;MAX(AC$7,$J151),Calendar!$A$16:$A$141,"&lt;="&amp;MIN(AC$7+4,$K151))=0,0,IF($H151="","EXT",SUMIFS(Calendar!$C$16:$C$141,Calendar!$A$16:$A$141,"&gt;="&amp;MAX(AC$7,$J151),Calendar!$A$16:$A$141,"&lt;="&amp;MIN(AC$7+4,$K151))*$H151/$G151)))</x:f>
        <x:v>0</x:v>
      </x:c>
      <x:c r="AD151" s="45" t="n">
        <x:f>IF(OR($J151="",$K151=""),"",IF(SUMIFS(Calendar!$C$16:$C$141,Calendar!$A$16:$A$141,"&gt;="&amp;MAX(AD$7,$J151),Calendar!$A$16:$A$141,"&lt;="&amp;MIN(AD$7+4,$K151))=0,0,IF($H151="","EXT",SUMIFS(Calendar!$C$16:$C$141,Calendar!$A$16:$A$141,"&gt;="&amp;MAX(AD$7,$J151),Calendar!$A$16:$A$141,"&lt;="&amp;MIN(AD$7+4,$K151))*$H151/$G151)))</x:f>
        <x:v>1.2</x:v>
      </x:c>
      <x:c r="AE151" s="45" t="n">
        <x:f>IF(OR($J151="",$K151=""),"",IF(SUMIFS(Calendar!$C$16:$C$141,Calendar!$A$16:$A$141,"&gt;="&amp;MAX(AE$7,$J151),Calendar!$A$16:$A$141,"&lt;="&amp;MIN(AE$7+4,$K151))=0,0,IF($H151="","EXT",SUMIFS(Calendar!$C$16:$C$141,Calendar!$A$16:$A$141,"&gt;="&amp;MAX(AE$7,$J151),Calendar!$A$16:$A$141,"&lt;="&amp;MIN(AE$7+4,$K151))*$H151/$G151)))</x:f>
        <x:v>0</x:v>
      </x:c>
      <x:c r="AF151" s="8" t="n">
        <x:f>IF(OR(M151&lt;&gt;"Scheduled",INDEX('Team and Gates'!$C$7:$C$13,MATCH($D151,'Team and Gates'!$A$7:$A$13,0))=""),"CHECK",SUM(N151:AE151)*INDEX('Team and Gates'!$C$7:$C$13,MATCH($D151,'Team and Gates'!$A$7:$A$13,0)))</x:f>
        <x:v>432</x:v>
      </x:c>
      <x:c r="AG151" s="46" t="str">
        <x:v>Final UAT evidence, controlled defect retests and business-owner approval are recorded by Feb 24.</x:v>
      </x:c>
      <x:c r="AH151" s="46" t="str">
        <x:v> One UI/UX resource is assumed capable of frontend implementation, not design only.</x:v>
      </x:c>
    </x:row>
    <x:row r="152" ht="45" customHeight="1">
      <x:c r="A152" s="2" t="str">
        <x:v>F-GATE</x:v>
      </x:c>
      <x:c r="B152" s="2" t="str">
        <x:v>Design / frontend</x:v>
      </x:c>
      <x:c r="C152" s="46" t="str">
        <x:v>Feb 25 release readiness and Go/No-Go checks</x:v>
      </x:c>
      <x:c r="D152" s="22" t="str">
        <x:v>UI/UX</x:v>
      </x:c>
      <x:c r="E152" s="46" t="str">
        <x:v>F17, BA17, Q17, U17</x:v>
      </x:c>
      <x:c r="F152" s="50" t="n">
        <x:v>76</x:v>
      </x:c>
      <x:c r="G152" s="50" t="n">
        <x:v>1</x:v>
      </x:c>
      <x:c r="H152" s="51" t="n">
        <x:v>0.4</x:v>
      </x:c>
      <x:c r="I152" s="2" t="n">
        <x:f>IF(OR(F152="",G152=""),"",F152+G152-1)</x:f>
        <x:v>76</x:v>
      </x:c>
      <x:c r="J152" s="5" t="n">
        <x:f>IF(OR(F152="",F152&lt;1,F152&gt;Calendar!$B$9),"",INDEX(Calendar!$A$16:$A$141,MATCH(F152,Calendar!$D$16:$D$141,0)))</x:f>
        <x:v>46443</x:v>
      </x:c>
      <x:c r="K152" s="5" t="n">
        <x:f>IF(OR(I152="",I152&lt;1,I152&gt;Calendar!$B$9),"",INDEX(Calendar!$A$16:$A$141,MATCH(I152,Calendar!$D$16:$D$141,0)))</x:f>
        <x:v>46443</x:v>
      </x:c>
      <x:c r="L152" s="53" t="n">
        <x:v>0</x:v>
      </x:c>
      <x:c r="M152" s="2" t="str">
        <x:f>IF(OR(F152="",G152="",H152=""),"Missing input",IF(OR(F152&lt;1,G152&lt;1,I152&gt;Calendar!$B$9),"Outside calendar",IF(F152&lt;MAX(INDEX($I$8:$I$157,MATCH("F17",$A$8:$A$157,0))+1,INDEX($I$8:$I$157,MATCH("BA17",$A$8:$A$157,0))+1,INDEX($I$8:$I$157,MATCH("Q17",$A$8:$A$157,0))+1,INDEX($I$8:$I$157,MATCH("U17",$A$8:$A$157,0))+1),"Dependency conflict","Scheduled")))</x:f>
        <x:v>Scheduled</x:v>
      </x:c>
      <x:c r="N152" s="45" t="n">
        <x:f>IF(OR($J152="",$K152=""),"",IF(SUMIFS(Calendar!$C$16:$C$141,Calendar!$A$16:$A$141,"&gt;="&amp;MAX(N$7,$J152),Calendar!$A$16:$A$141,"&lt;="&amp;MIN(N$7+4,$K152))=0,0,IF($H152="","EXT",SUMIFS(Calendar!$C$16:$C$141,Calendar!$A$16:$A$141,"&gt;="&amp;MAX(N$7,$J152),Calendar!$A$16:$A$141,"&lt;="&amp;MIN(N$7+4,$K152))*$H152/$G152)))</x:f>
        <x:v>0</x:v>
      </x:c>
      <x:c r="O152" s="45" t="n">
        <x:f>IF(OR($J152="",$K152=""),"",IF(SUMIFS(Calendar!$C$16:$C$141,Calendar!$A$16:$A$141,"&gt;="&amp;MAX(O$7,$J152),Calendar!$A$16:$A$141,"&lt;="&amp;MIN(O$7+4,$K152))=0,0,IF($H152="","EXT",SUMIFS(Calendar!$C$16:$C$141,Calendar!$A$16:$A$141,"&gt;="&amp;MAX(O$7,$J152),Calendar!$A$16:$A$141,"&lt;="&amp;MIN(O$7+4,$K152))*$H152/$G152)))</x:f>
        <x:v>0</x:v>
      </x:c>
      <x:c r="P152" s="45" t="n">
        <x:f>IF(OR($J152="",$K152=""),"",IF(SUMIFS(Calendar!$C$16:$C$141,Calendar!$A$16:$A$141,"&gt;="&amp;MAX(P$7,$J152),Calendar!$A$16:$A$141,"&lt;="&amp;MIN(P$7+4,$K152))=0,0,IF($H152="","EXT",SUMIFS(Calendar!$C$16:$C$141,Calendar!$A$16:$A$141,"&gt;="&amp;MAX(P$7,$J152),Calendar!$A$16:$A$141,"&lt;="&amp;MIN(P$7+4,$K152))*$H152/$G152)))</x:f>
        <x:v>0</x:v>
      </x:c>
      <x:c r="Q152" s="45" t="n">
        <x:f>IF(OR($J152="",$K152=""),"",IF(SUMIFS(Calendar!$C$16:$C$141,Calendar!$A$16:$A$141,"&gt;="&amp;MAX(Q$7,$J152),Calendar!$A$16:$A$141,"&lt;="&amp;MIN(Q$7+4,$K152))=0,0,IF($H152="","EXT",SUMIFS(Calendar!$C$16:$C$141,Calendar!$A$16:$A$141,"&gt;="&amp;MAX(Q$7,$J152),Calendar!$A$16:$A$141,"&lt;="&amp;MIN(Q$7+4,$K152))*$H152/$G152)))</x:f>
        <x:v>0</x:v>
      </x:c>
      <x:c r="R152" s="45" t="n">
        <x:f>IF(OR($J152="",$K152=""),"",IF(SUMIFS(Calendar!$C$16:$C$141,Calendar!$A$16:$A$141,"&gt;="&amp;MAX(R$7,$J152),Calendar!$A$16:$A$141,"&lt;="&amp;MIN(R$7+4,$K152))=0,0,IF($H152="","EXT",SUMIFS(Calendar!$C$16:$C$141,Calendar!$A$16:$A$141,"&gt;="&amp;MAX(R$7,$J152),Calendar!$A$16:$A$141,"&lt;="&amp;MIN(R$7+4,$K152))*$H152/$G152)))</x:f>
        <x:v>0</x:v>
      </x:c>
      <x:c r="S152" s="45" t="n">
        <x:f>IF(OR($J152="",$K152=""),"",IF(SUMIFS(Calendar!$C$16:$C$141,Calendar!$A$16:$A$141,"&gt;="&amp;MAX(S$7,$J152),Calendar!$A$16:$A$141,"&lt;="&amp;MIN(S$7+4,$K152))=0,0,IF($H152="","EXT",SUMIFS(Calendar!$C$16:$C$141,Calendar!$A$16:$A$141,"&gt;="&amp;MAX(S$7,$J152),Calendar!$A$16:$A$141,"&lt;="&amp;MIN(S$7+4,$K152))*$H152/$G152)))</x:f>
        <x:v>0</x:v>
      </x:c>
      <x:c r="T152" s="45" t="n">
        <x:f>IF(OR($J152="",$K152=""),"",IF(SUMIFS(Calendar!$C$16:$C$141,Calendar!$A$16:$A$141,"&gt;="&amp;MAX(T$7,$J152),Calendar!$A$16:$A$141,"&lt;="&amp;MIN(T$7+4,$K152))=0,0,IF($H152="","EXT",SUMIFS(Calendar!$C$16:$C$141,Calendar!$A$16:$A$141,"&gt;="&amp;MAX(T$7,$J152),Calendar!$A$16:$A$141,"&lt;="&amp;MIN(T$7+4,$K152))*$H152/$G152)))</x:f>
        <x:v>0</x:v>
      </x:c>
      <x:c r="U152" s="45" t="n">
        <x:f>IF(OR($J152="",$K152=""),"",IF(SUMIFS(Calendar!$C$16:$C$141,Calendar!$A$16:$A$141,"&gt;="&amp;MAX(U$7,$J152),Calendar!$A$16:$A$141,"&lt;="&amp;MIN(U$7+4,$K152))=0,0,IF($H152="","EXT",SUMIFS(Calendar!$C$16:$C$141,Calendar!$A$16:$A$141,"&gt;="&amp;MAX(U$7,$J152),Calendar!$A$16:$A$141,"&lt;="&amp;MIN(U$7+4,$K152))*$H152/$G152)))</x:f>
        <x:v>0</x:v>
      </x:c>
      <x:c r="V152" s="45" t="n">
        <x:f>IF(OR($J152="",$K152=""),"",IF(SUMIFS(Calendar!$C$16:$C$141,Calendar!$A$16:$A$141,"&gt;="&amp;MAX(V$7,$J152),Calendar!$A$16:$A$141,"&lt;="&amp;MIN(V$7+4,$K152))=0,0,IF($H152="","EXT",SUMIFS(Calendar!$C$16:$C$141,Calendar!$A$16:$A$141,"&gt;="&amp;MAX(V$7,$J152),Calendar!$A$16:$A$141,"&lt;="&amp;MIN(V$7+4,$K152))*$H152/$G152)))</x:f>
        <x:v>0</x:v>
      </x:c>
      <x:c r="W152" s="45" t="n">
        <x:f>IF(OR($J152="",$K152=""),"",IF(SUMIFS(Calendar!$C$16:$C$141,Calendar!$A$16:$A$141,"&gt;="&amp;MAX(W$7,$J152),Calendar!$A$16:$A$141,"&lt;="&amp;MIN(W$7+4,$K152))=0,0,IF($H152="","EXT",SUMIFS(Calendar!$C$16:$C$141,Calendar!$A$16:$A$141,"&gt;="&amp;MAX(W$7,$J152),Calendar!$A$16:$A$141,"&lt;="&amp;MIN(W$7+4,$K152))*$H152/$G152)))</x:f>
        <x:v>0</x:v>
      </x:c>
      <x:c r="X152" s="45" t="n">
        <x:f>IF(OR($J152="",$K152=""),"",IF(SUMIFS(Calendar!$C$16:$C$141,Calendar!$A$16:$A$141,"&gt;="&amp;MAX(X$7,$J152),Calendar!$A$16:$A$141,"&lt;="&amp;MIN(X$7+4,$K152))=0,0,IF($H152="","EXT",SUMIFS(Calendar!$C$16:$C$141,Calendar!$A$16:$A$141,"&gt;="&amp;MAX(X$7,$J152),Calendar!$A$16:$A$141,"&lt;="&amp;MIN(X$7+4,$K152))*$H152/$G152)))</x:f>
        <x:v>0</x:v>
      </x:c>
      <x:c r="Y152" s="45" t="n">
        <x:f>IF(OR($J152="",$K152=""),"",IF(SUMIFS(Calendar!$C$16:$C$141,Calendar!$A$16:$A$141,"&gt;="&amp;MAX(Y$7,$J152),Calendar!$A$16:$A$141,"&lt;="&amp;MIN(Y$7+4,$K152))=0,0,IF($H152="","EXT",SUMIFS(Calendar!$C$16:$C$141,Calendar!$A$16:$A$141,"&gt;="&amp;MAX(Y$7,$J152),Calendar!$A$16:$A$141,"&lt;="&amp;MIN(Y$7+4,$K152))*$H152/$G152)))</x:f>
        <x:v>0</x:v>
      </x:c>
      <x:c r="Z152" s="45" t="n">
        <x:f>IF(OR($J152="",$K152=""),"",IF(SUMIFS(Calendar!$C$16:$C$141,Calendar!$A$16:$A$141,"&gt;="&amp;MAX(Z$7,$J152),Calendar!$A$16:$A$141,"&lt;="&amp;MIN(Z$7+4,$K152))=0,0,IF($H152="","EXT",SUMIFS(Calendar!$C$16:$C$141,Calendar!$A$16:$A$141,"&gt;="&amp;MAX(Z$7,$J152),Calendar!$A$16:$A$141,"&lt;="&amp;MIN(Z$7+4,$K152))*$H152/$G152)))</x:f>
        <x:v>0</x:v>
      </x:c>
      <x:c r="AA152" s="45" t="n">
        <x:f>IF(OR($J152="",$K152=""),"",IF(SUMIFS(Calendar!$C$16:$C$141,Calendar!$A$16:$A$141,"&gt;="&amp;MAX(AA$7,$J152),Calendar!$A$16:$A$141,"&lt;="&amp;MIN(AA$7+4,$K152))=0,0,IF($H152="","EXT",SUMIFS(Calendar!$C$16:$C$141,Calendar!$A$16:$A$141,"&gt;="&amp;MAX(AA$7,$J152),Calendar!$A$16:$A$141,"&lt;="&amp;MIN(AA$7+4,$K152))*$H152/$G152)))</x:f>
        <x:v>0</x:v>
      </x:c>
      <x:c r="AB152" s="45" t="n">
        <x:f>IF(OR($J152="",$K152=""),"",IF(SUMIFS(Calendar!$C$16:$C$141,Calendar!$A$16:$A$141,"&gt;="&amp;MAX(AB$7,$J152),Calendar!$A$16:$A$141,"&lt;="&amp;MIN(AB$7+4,$K152))=0,0,IF($H152="","EXT",SUMIFS(Calendar!$C$16:$C$141,Calendar!$A$16:$A$141,"&gt;="&amp;MAX(AB$7,$J152),Calendar!$A$16:$A$141,"&lt;="&amp;MIN(AB$7+4,$K152))*$H152/$G152)))</x:f>
        <x:v>0</x:v>
      </x:c>
      <x:c r="AC152" s="45" t="n">
        <x:f>IF(OR($J152="",$K152=""),"",IF(SUMIFS(Calendar!$C$16:$C$141,Calendar!$A$16:$A$141,"&gt;="&amp;MAX(AC$7,$J152),Calendar!$A$16:$A$141,"&lt;="&amp;MIN(AC$7+4,$K152))=0,0,IF($H152="","EXT",SUMIFS(Calendar!$C$16:$C$141,Calendar!$A$16:$A$141,"&gt;="&amp;MAX(AC$7,$J152),Calendar!$A$16:$A$141,"&lt;="&amp;MIN(AC$7+4,$K152))*$H152/$G152)))</x:f>
        <x:v>0</x:v>
      </x:c>
      <x:c r="AD152" s="45" t="n">
        <x:f>IF(OR($J152="",$K152=""),"",IF(SUMIFS(Calendar!$C$16:$C$141,Calendar!$A$16:$A$141,"&gt;="&amp;MAX(AD$7,$J152),Calendar!$A$16:$A$141,"&lt;="&amp;MIN(AD$7+4,$K152))=0,0,IF($H152="","EXT",SUMIFS(Calendar!$C$16:$C$141,Calendar!$A$16:$A$141,"&gt;="&amp;MAX(AD$7,$J152),Calendar!$A$16:$A$141,"&lt;="&amp;MIN(AD$7+4,$K152))*$H152/$G152)))</x:f>
        <x:v>0.4</x:v>
      </x:c>
      <x:c r="AE152" s="45" t="n">
        <x:f>IF(OR($J152="",$K152=""),"",IF(SUMIFS(Calendar!$C$16:$C$141,Calendar!$A$16:$A$141,"&gt;="&amp;MAX(AE$7,$J152),Calendar!$A$16:$A$141,"&lt;="&amp;MIN(AE$7+4,$K152))=0,0,IF($H152="","EXT",SUMIFS(Calendar!$C$16:$C$141,Calendar!$A$16:$A$141,"&gt;="&amp;MAX(AE$7,$J152),Calendar!$A$16:$A$141,"&lt;="&amp;MIN(AE$7+4,$K152))*$H152/$G152)))</x:f>
        <x:v>0</x:v>
      </x:c>
      <x:c r="AF152" s="8" t="n">
        <x:f>IF(OR(M152&lt;&gt;"Scheduled",INDEX('Team and Gates'!$C$7:$C$13,MATCH($D152,'Team and Gates'!$A$7:$A$13,0))=""),"CHECK",SUM(N152:AE152)*INDEX('Team and Gates'!$C$7:$C$13,MATCH($D152,'Team and Gates'!$A$7:$A$13,0)))</x:f>
        <x:v>144</x:v>
      </x:c>
      <x:c r="AG152" s="46" t="str">
        <x:v>Release owner, QA and business owner record Go decision after UAT signoff, blocking defect closure, production access and rollback checks.</x:v>
      </x:c>
      <x:c r="AH152" s="46" t="str">
        <x:v>Dedicated working day after Feb 24 UAT approval. Confirm staffed Friday rollout and weekend on-call/rollback coverage.</x:v>
      </x:c>
    </x:row>
    <x:row r="153" ht="45" customHeight="1">
      <x:c r="A153" s="39" t="str">
        <x:v>F-REL</x:v>
      </x:c>
      <x:c r="B153" s="39" t="str">
        <x:v>Design / frontend</x:v>
      </x:c>
      <x:c r="C153" s="47" t="str">
        <x:v>Feb 26 production rollout support and controlled validation</x:v>
      </x:c>
      <x:c r="D153" s="22" t="str">
        <x:v>UI/UX</x:v>
      </x:c>
      <x:c r="E153" s="47" t="str">
        <x:v>F-GATE, A-GATE, B-GATE, BA-GATE, Q-GATE, U-GATE</x:v>
      </x:c>
      <x:c r="F153" s="50" t="n">
        <x:v>77</x:v>
      </x:c>
      <x:c r="G153" s="50" t="n">
        <x:v>1</x:v>
      </x:c>
      <x:c r="H153" s="51" t="n">
        <x:v>0.4</x:v>
      </x:c>
      <x:c r="I153" s="39" t="n">
        <x:f>IF(OR(F153="",G153=""),"",F153+G153-1)</x:f>
        <x:v>77</x:v>
      </x:c>
      <x:c r="J153" s="41" t="n">
        <x:f>IF(OR(F153="",F153&lt;1,F153&gt;Calendar!$B$9),"",INDEX(Calendar!$A$16:$A$141,MATCH(F153,Calendar!$D$16:$D$141,0)))</x:f>
        <x:v>46444</x:v>
      </x:c>
      <x:c r="K153" s="41" t="n">
        <x:f>IF(OR(I153="",I153&lt;1,I153&gt;Calendar!$B$9),"",INDEX(Calendar!$A$16:$A$141,MATCH(I153,Calendar!$D$16:$D$141,0)))</x:f>
        <x:v>46444</x:v>
      </x:c>
      <x:c r="L153" s="53" t="n">
        <x:v>0</x:v>
      </x:c>
      <x:c r="M153" s="39" t="str">
        <x:f>IF(OR(F153="",G153="",H153=""),"Missing input",IF(OR(F153&lt;1,G153&lt;1,I153&gt;Calendar!$B$9),"Outside calendar",IF(F153&lt;MAX(INDEX($I$8:$I$157,MATCH("F-GATE",$A$8:$A$157,0))+1,INDEX($I$8:$I$157,MATCH("A-GATE",$A$8:$A$157,0))+1,INDEX($I$8:$I$157,MATCH("B-GATE",$A$8:$A$157,0))+1,INDEX($I$8:$I$157,MATCH("BA-GATE",$A$8:$A$157,0))+1,INDEX($I$8:$I$157,MATCH("Q-GATE",$A$8:$A$157,0))+1,INDEX($I$8:$I$157,MATCH("U-GATE",$A$8:$A$157,0))+1),"Dependency conflict","Scheduled")))</x:f>
        <x:v>Scheduled</x:v>
      </x:c>
      <x:c r="N153" s="45" t="n">
        <x:f>IF(OR($J153="",$K153=""),"",IF(SUMIFS(Calendar!$C$16:$C$141,Calendar!$A$16:$A$141,"&gt;="&amp;MAX(N$7,$J153),Calendar!$A$16:$A$141,"&lt;="&amp;MIN(N$7+4,$K153))=0,0,IF($H153="","EXT",SUMIFS(Calendar!$C$16:$C$141,Calendar!$A$16:$A$141,"&gt;="&amp;MAX(N$7,$J153),Calendar!$A$16:$A$141,"&lt;="&amp;MIN(N$7+4,$K153))*$H153/$G153)))</x:f>
        <x:v>0</x:v>
      </x:c>
      <x:c r="O153" s="45" t="n">
        <x:f>IF(OR($J153="",$K153=""),"",IF(SUMIFS(Calendar!$C$16:$C$141,Calendar!$A$16:$A$141,"&gt;="&amp;MAX(O$7,$J153),Calendar!$A$16:$A$141,"&lt;="&amp;MIN(O$7+4,$K153))=0,0,IF($H153="","EXT",SUMIFS(Calendar!$C$16:$C$141,Calendar!$A$16:$A$141,"&gt;="&amp;MAX(O$7,$J153),Calendar!$A$16:$A$141,"&lt;="&amp;MIN(O$7+4,$K153))*$H153/$G153)))</x:f>
        <x:v>0</x:v>
      </x:c>
      <x:c r="P153" s="45" t="n">
        <x:f>IF(OR($J153="",$K153=""),"",IF(SUMIFS(Calendar!$C$16:$C$141,Calendar!$A$16:$A$141,"&gt;="&amp;MAX(P$7,$J153),Calendar!$A$16:$A$141,"&lt;="&amp;MIN(P$7+4,$K153))=0,0,IF($H153="","EXT",SUMIFS(Calendar!$C$16:$C$141,Calendar!$A$16:$A$141,"&gt;="&amp;MAX(P$7,$J153),Calendar!$A$16:$A$141,"&lt;="&amp;MIN(P$7+4,$K153))*$H153/$G153)))</x:f>
        <x:v>0</x:v>
      </x:c>
      <x:c r="Q153" s="45" t="n">
        <x:f>IF(OR($J153="",$K153=""),"",IF(SUMIFS(Calendar!$C$16:$C$141,Calendar!$A$16:$A$141,"&gt;="&amp;MAX(Q$7,$J153),Calendar!$A$16:$A$141,"&lt;="&amp;MIN(Q$7+4,$K153))=0,0,IF($H153="","EXT",SUMIFS(Calendar!$C$16:$C$141,Calendar!$A$16:$A$141,"&gt;="&amp;MAX(Q$7,$J153),Calendar!$A$16:$A$141,"&lt;="&amp;MIN(Q$7+4,$K153))*$H153/$G153)))</x:f>
        <x:v>0</x:v>
      </x:c>
      <x:c r="R153" s="45" t="n">
        <x:f>IF(OR($J153="",$K153=""),"",IF(SUMIFS(Calendar!$C$16:$C$141,Calendar!$A$16:$A$141,"&gt;="&amp;MAX(R$7,$J153),Calendar!$A$16:$A$141,"&lt;="&amp;MIN(R$7+4,$K153))=0,0,IF($H153="","EXT",SUMIFS(Calendar!$C$16:$C$141,Calendar!$A$16:$A$141,"&gt;="&amp;MAX(R$7,$J153),Calendar!$A$16:$A$141,"&lt;="&amp;MIN(R$7+4,$K153))*$H153/$G153)))</x:f>
        <x:v>0</x:v>
      </x:c>
      <x:c r="S153" s="45" t="n">
        <x:f>IF(OR($J153="",$K153=""),"",IF(SUMIFS(Calendar!$C$16:$C$141,Calendar!$A$16:$A$141,"&gt;="&amp;MAX(S$7,$J153),Calendar!$A$16:$A$141,"&lt;="&amp;MIN(S$7+4,$K153))=0,0,IF($H153="","EXT",SUMIFS(Calendar!$C$16:$C$141,Calendar!$A$16:$A$141,"&gt;="&amp;MAX(S$7,$J153),Calendar!$A$16:$A$141,"&lt;="&amp;MIN(S$7+4,$K153))*$H153/$G153)))</x:f>
        <x:v>0</x:v>
      </x:c>
      <x:c r="T153" s="45" t="n">
        <x:f>IF(OR($J153="",$K153=""),"",IF(SUMIFS(Calendar!$C$16:$C$141,Calendar!$A$16:$A$141,"&gt;="&amp;MAX(T$7,$J153),Calendar!$A$16:$A$141,"&lt;="&amp;MIN(T$7+4,$K153))=0,0,IF($H153="","EXT",SUMIFS(Calendar!$C$16:$C$141,Calendar!$A$16:$A$141,"&gt;="&amp;MAX(T$7,$J153),Calendar!$A$16:$A$141,"&lt;="&amp;MIN(T$7+4,$K153))*$H153/$G153)))</x:f>
        <x:v>0</x:v>
      </x:c>
      <x:c r="U153" s="45" t="n">
        <x:f>IF(OR($J153="",$K153=""),"",IF(SUMIFS(Calendar!$C$16:$C$141,Calendar!$A$16:$A$141,"&gt;="&amp;MAX(U$7,$J153),Calendar!$A$16:$A$141,"&lt;="&amp;MIN(U$7+4,$K153))=0,0,IF($H153="","EXT",SUMIFS(Calendar!$C$16:$C$141,Calendar!$A$16:$A$141,"&gt;="&amp;MAX(U$7,$J153),Calendar!$A$16:$A$141,"&lt;="&amp;MIN(U$7+4,$K153))*$H153/$G153)))</x:f>
        <x:v>0</x:v>
      </x:c>
      <x:c r="V153" s="45" t="n">
        <x:f>IF(OR($J153="",$K153=""),"",IF(SUMIFS(Calendar!$C$16:$C$141,Calendar!$A$16:$A$141,"&gt;="&amp;MAX(V$7,$J153),Calendar!$A$16:$A$141,"&lt;="&amp;MIN(V$7+4,$K153))=0,0,IF($H153="","EXT",SUMIFS(Calendar!$C$16:$C$141,Calendar!$A$16:$A$141,"&gt;="&amp;MAX(V$7,$J153),Calendar!$A$16:$A$141,"&lt;="&amp;MIN(V$7+4,$K153))*$H153/$G153)))</x:f>
        <x:v>0</x:v>
      </x:c>
      <x:c r="W153" s="45" t="n">
        <x:f>IF(OR($J153="",$K153=""),"",IF(SUMIFS(Calendar!$C$16:$C$141,Calendar!$A$16:$A$141,"&gt;="&amp;MAX(W$7,$J153),Calendar!$A$16:$A$141,"&lt;="&amp;MIN(W$7+4,$K153))=0,0,IF($H153="","EXT",SUMIFS(Calendar!$C$16:$C$141,Calendar!$A$16:$A$141,"&gt;="&amp;MAX(W$7,$J153),Calendar!$A$16:$A$141,"&lt;="&amp;MIN(W$7+4,$K153))*$H153/$G153)))</x:f>
        <x:v>0</x:v>
      </x:c>
      <x:c r="X153" s="45" t="n">
        <x:f>IF(OR($J153="",$K153=""),"",IF(SUMIFS(Calendar!$C$16:$C$141,Calendar!$A$16:$A$141,"&gt;="&amp;MAX(X$7,$J153),Calendar!$A$16:$A$141,"&lt;="&amp;MIN(X$7+4,$K153))=0,0,IF($H153="","EXT",SUMIFS(Calendar!$C$16:$C$141,Calendar!$A$16:$A$141,"&gt;="&amp;MAX(X$7,$J153),Calendar!$A$16:$A$141,"&lt;="&amp;MIN(X$7+4,$K153))*$H153/$G153)))</x:f>
        <x:v>0</x:v>
      </x:c>
      <x:c r="Y153" s="45" t="n">
        <x:f>IF(OR($J153="",$K153=""),"",IF(SUMIFS(Calendar!$C$16:$C$141,Calendar!$A$16:$A$141,"&gt;="&amp;MAX(Y$7,$J153),Calendar!$A$16:$A$141,"&lt;="&amp;MIN(Y$7+4,$K153))=0,0,IF($H153="","EXT",SUMIFS(Calendar!$C$16:$C$141,Calendar!$A$16:$A$141,"&gt;="&amp;MAX(Y$7,$J153),Calendar!$A$16:$A$141,"&lt;="&amp;MIN(Y$7+4,$K153))*$H153/$G153)))</x:f>
        <x:v>0</x:v>
      </x:c>
      <x:c r="Z153" s="45" t="n">
        <x:f>IF(OR($J153="",$K153=""),"",IF(SUMIFS(Calendar!$C$16:$C$141,Calendar!$A$16:$A$141,"&gt;="&amp;MAX(Z$7,$J153),Calendar!$A$16:$A$141,"&lt;="&amp;MIN(Z$7+4,$K153))=0,0,IF($H153="","EXT",SUMIFS(Calendar!$C$16:$C$141,Calendar!$A$16:$A$141,"&gt;="&amp;MAX(Z$7,$J153),Calendar!$A$16:$A$141,"&lt;="&amp;MIN(Z$7+4,$K153))*$H153/$G153)))</x:f>
        <x:v>0</x:v>
      </x:c>
      <x:c r="AA153" s="45" t="n">
        <x:f>IF(OR($J153="",$K153=""),"",IF(SUMIFS(Calendar!$C$16:$C$141,Calendar!$A$16:$A$141,"&gt;="&amp;MAX(AA$7,$J153),Calendar!$A$16:$A$141,"&lt;="&amp;MIN(AA$7+4,$K153))=0,0,IF($H153="","EXT",SUMIFS(Calendar!$C$16:$C$141,Calendar!$A$16:$A$141,"&gt;="&amp;MAX(AA$7,$J153),Calendar!$A$16:$A$141,"&lt;="&amp;MIN(AA$7+4,$K153))*$H153/$G153)))</x:f>
        <x:v>0</x:v>
      </x:c>
      <x:c r="AB153" s="45" t="n">
        <x:f>IF(OR($J153="",$K153=""),"",IF(SUMIFS(Calendar!$C$16:$C$141,Calendar!$A$16:$A$141,"&gt;="&amp;MAX(AB$7,$J153),Calendar!$A$16:$A$141,"&lt;="&amp;MIN(AB$7+4,$K153))=0,0,IF($H153="","EXT",SUMIFS(Calendar!$C$16:$C$141,Calendar!$A$16:$A$141,"&gt;="&amp;MAX(AB$7,$J153),Calendar!$A$16:$A$141,"&lt;="&amp;MIN(AB$7+4,$K153))*$H153/$G153)))</x:f>
        <x:v>0</x:v>
      </x:c>
      <x:c r="AC153" s="45" t="n">
        <x:f>IF(OR($J153="",$K153=""),"",IF(SUMIFS(Calendar!$C$16:$C$141,Calendar!$A$16:$A$141,"&gt;="&amp;MAX(AC$7,$J153),Calendar!$A$16:$A$141,"&lt;="&amp;MIN(AC$7+4,$K153))=0,0,IF($H153="","EXT",SUMIFS(Calendar!$C$16:$C$141,Calendar!$A$16:$A$141,"&gt;="&amp;MAX(AC$7,$J153),Calendar!$A$16:$A$141,"&lt;="&amp;MIN(AC$7+4,$K153))*$H153/$G153)))</x:f>
        <x:v>0</x:v>
      </x:c>
      <x:c r="AD153" s="45" t="n">
        <x:f>IF(OR($J153="",$K153=""),"",IF(SUMIFS(Calendar!$C$16:$C$141,Calendar!$A$16:$A$141,"&gt;="&amp;MAX(AD$7,$J153),Calendar!$A$16:$A$141,"&lt;="&amp;MIN(AD$7+4,$K153))=0,0,IF($H153="","EXT",SUMIFS(Calendar!$C$16:$C$141,Calendar!$A$16:$A$141,"&gt;="&amp;MAX(AD$7,$J153),Calendar!$A$16:$A$141,"&lt;="&amp;MIN(AD$7+4,$K153))*$H153/$G153)))</x:f>
        <x:v>0.4</x:v>
      </x:c>
      <x:c r="AE153" s="45" t="n">
        <x:f>IF(OR($J153="",$K153=""),"",IF(SUMIFS(Calendar!$C$16:$C$141,Calendar!$A$16:$A$141,"&gt;="&amp;MAX(AE$7,$J153),Calendar!$A$16:$A$141,"&lt;="&amp;MIN(AE$7+4,$K153))=0,0,IF($H153="","EXT",SUMIFS(Calendar!$C$16:$C$141,Calendar!$A$16:$A$141,"&gt;="&amp;MAX(AE$7,$J153),Calendar!$A$16:$A$141,"&lt;="&amp;MIN(AE$7+4,$K153))*$H153/$G153)))</x:f>
        <x:v>0</x:v>
      </x:c>
      <x:c r="AF153" s="8" t="n">
        <x:f>IF(OR(M153&lt;&gt;"Scheduled",INDEX('Team and Gates'!$C$7:$C$13,MATCH($D153,'Team and Gates'!$A$7:$A$13,0))=""),"CHECK",SUM(N153:AE153)*INDEX('Team and Gates'!$C$7:$C$13,MATCH($D153,'Team and Gates'!$A$7:$A$13,0)))</x:f>
        <x:v>144</x:v>
      </x:c>
      <x:c r="AG153" s="46" t="str">
        <x:v>Deploy after Go decision; pass technical/business smoke and approved-send checks. Record monitoring, rollback and on-call ownership.</x:v>
      </x:c>
      <x:c r="AH153" s="46" t="str">
        <x:v>Friday rollout needs an agreed deployment/rollback window and weekend on-call coverage.</x:v>
      </x:c>
    </x:row>
    <x:row r="154" ht="45" customHeight="1">
      <x:c r="A154" s="2" t="str">
        <x:v>F18</x:v>
      </x:c>
      <x:c r="B154" s="2" t="str">
        <x:v>Design / frontend</x:v>
      </x:c>
      <x:c r="C154" s="46" t="str">
        <x:v>Production frontend checks and usability support</x:v>
      </x:c>
      <x:c r="D154" s="22" t="str">
        <x:v>UI/UX</x:v>
      </x:c>
      <x:c r="E154" s="46" t="str">
        <x:v>F17, BA17, Q17, U17, F-REL</x:v>
      </x:c>
      <x:c r="F154" s="50" t="n">
        <x:v>78</x:v>
      </x:c>
      <x:c r="G154" s="50" t="n">
        <x:v>5</x:v>
      </x:c>
      <x:c r="H154" s="51" t="n">
        <x:v>1</x:v>
      </x:c>
      <x:c r="I154" s="2" t="n">
        <x:f>IF(OR(F154="",G154=""),"",F154+G154-1)</x:f>
        <x:v>82</x:v>
      </x:c>
      <x:c r="J154" s="5" t="n">
        <x:f>IF(OR(F154="",F154&lt;1,F154&gt;Calendar!$B$9),"",INDEX(Calendar!$A$16:$A$141,MATCH(F154,Calendar!$D$16:$D$141,0)))</x:f>
        <x:v>46447</x:v>
      </x:c>
      <x:c r="K154" s="5" t="n">
        <x:f>IF(OR(I154="",I154&lt;1,I154&gt;Calendar!$B$9),"",INDEX(Calendar!$A$16:$A$141,MATCH(I154,Calendar!$D$16:$D$141,0)))</x:f>
        <x:v>46451</x:v>
      </x:c>
      <x:c r="L154" s="53" t="n">
        <x:v>0</x:v>
      </x:c>
      <x:c r="M154" s="2" t="str">
        <x:f>IF(OR(F154="",G154="",H154=""),"Missing input",IF(OR(F154&lt;1,G154&lt;1,I154&gt;Calendar!$B$9),"Outside calendar",IF(F154&lt;MAX(INDEX($I$8:$I$157,MATCH("F17",$A$8:$A$157,0))+1,INDEX($I$8:$I$157,MATCH("BA17",$A$8:$A$157,0))+1,INDEX($I$8:$I$157,MATCH("Q17",$A$8:$A$157,0))+1,INDEX($I$8:$I$157,MATCH("U17",$A$8:$A$157,0))+1,INDEX($I$8:$I$157,MATCH("F-REL",$A$8:$A$157,0))+1),"Dependency conflict","Scheduled")))</x:f>
        <x:v>Scheduled</x:v>
      </x:c>
      <x:c r="N154" s="45" t="n">
        <x:f>IF(OR($J154="",$K154=""),"",IF(SUMIFS(Calendar!$C$16:$C$141,Calendar!$A$16:$A$141,"&gt;="&amp;MAX(N$7,$J154),Calendar!$A$16:$A$141,"&lt;="&amp;MIN(N$7+4,$K154))=0,0,IF($H154="","EXT",SUMIFS(Calendar!$C$16:$C$141,Calendar!$A$16:$A$141,"&gt;="&amp;MAX(N$7,$J154),Calendar!$A$16:$A$141,"&lt;="&amp;MIN(N$7+4,$K154))*$H154/$G154)))</x:f>
        <x:v>0</x:v>
      </x:c>
      <x:c r="O154" s="45" t="n">
        <x:f>IF(OR($J154="",$K154=""),"",IF(SUMIFS(Calendar!$C$16:$C$141,Calendar!$A$16:$A$141,"&gt;="&amp;MAX(O$7,$J154),Calendar!$A$16:$A$141,"&lt;="&amp;MIN(O$7+4,$K154))=0,0,IF($H154="","EXT",SUMIFS(Calendar!$C$16:$C$141,Calendar!$A$16:$A$141,"&gt;="&amp;MAX(O$7,$J154),Calendar!$A$16:$A$141,"&lt;="&amp;MIN(O$7+4,$K154))*$H154/$G154)))</x:f>
        <x:v>0</x:v>
      </x:c>
      <x:c r="P154" s="45" t="n">
        <x:f>IF(OR($J154="",$K154=""),"",IF(SUMIFS(Calendar!$C$16:$C$141,Calendar!$A$16:$A$141,"&gt;="&amp;MAX(P$7,$J154),Calendar!$A$16:$A$141,"&lt;="&amp;MIN(P$7+4,$K154))=0,0,IF($H154="","EXT",SUMIFS(Calendar!$C$16:$C$141,Calendar!$A$16:$A$141,"&gt;="&amp;MAX(P$7,$J154),Calendar!$A$16:$A$141,"&lt;="&amp;MIN(P$7+4,$K154))*$H154/$G154)))</x:f>
        <x:v>0</x:v>
      </x:c>
      <x:c r="Q154" s="45" t="n">
        <x:f>IF(OR($J154="",$K154=""),"",IF(SUMIFS(Calendar!$C$16:$C$141,Calendar!$A$16:$A$141,"&gt;="&amp;MAX(Q$7,$J154),Calendar!$A$16:$A$141,"&lt;="&amp;MIN(Q$7+4,$K154))=0,0,IF($H154="","EXT",SUMIFS(Calendar!$C$16:$C$141,Calendar!$A$16:$A$141,"&gt;="&amp;MAX(Q$7,$J154),Calendar!$A$16:$A$141,"&lt;="&amp;MIN(Q$7+4,$K154))*$H154/$G154)))</x:f>
        <x:v>0</x:v>
      </x:c>
      <x:c r="R154" s="45" t="n">
        <x:f>IF(OR($J154="",$K154=""),"",IF(SUMIFS(Calendar!$C$16:$C$141,Calendar!$A$16:$A$141,"&gt;="&amp;MAX(R$7,$J154),Calendar!$A$16:$A$141,"&lt;="&amp;MIN(R$7+4,$K154))=0,0,IF($H154="","EXT",SUMIFS(Calendar!$C$16:$C$141,Calendar!$A$16:$A$141,"&gt;="&amp;MAX(R$7,$J154),Calendar!$A$16:$A$141,"&lt;="&amp;MIN(R$7+4,$K154))*$H154/$G154)))</x:f>
        <x:v>0</x:v>
      </x:c>
      <x:c r="S154" s="45" t="n">
        <x:f>IF(OR($J154="",$K154=""),"",IF(SUMIFS(Calendar!$C$16:$C$141,Calendar!$A$16:$A$141,"&gt;="&amp;MAX(S$7,$J154),Calendar!$A$16:$A$141,"&lt;="&amp;MIN(S$7+4,$K154))=0,0,IF($H154="","EXT",SUMIFS(Calendar!$C$16:$C$141,Calendar!$A$16:$A$141,"&gt;="&amp;MAX(S$7,$J154),Calendar!$A$16:$A$141,"&lt;="&amp;MIN(S$7+4,$K154))*$H154/$G154)))</x:f>
        <x:v>0</x:v>
      </x:c>
      <x:c r="T154" s="45" t="n">
        <x:f>IF(OR($J154="",$K154=""),"",IF(SUMIFS(Calendar!$C$16:$C$141,Calendar!$A$16:$A$141,"&gt;="&amp;MAX(T$7,$J154),Calendar!$A$16:$A$141,"&lt;="&amp;MIN(T$7+4,$K154))=0,0,IF($H154="","EXT",SUMIFS(Calendar!$C$16:$C$141,Calendar!$A$16:$A$141,"&gt;="&amp;MAX(T$7,$J154),Calendar!$A$16:$A$141,"&lt;="&amp;MIN(T$7+4,$K154))*$H154/$G154)))</x:f>
        <x:v>0</x:v>
      </x:c>
      <x:c r="U154" s="45" t="n">
        <x:f>IF(OR($J154="",$K154=""),"",IF(SUMIFS(Calendar!$C$16:$C$141,Calendar!$A$16:$A$141,"&gt;="&amp;MAX(U$7,$J154),Calendar!$A$16:$A$141,"&lt;="&amp;MIN(U$7+4,$K154))=0,0,IF($H154="","EXT",SUMIFS(Calendar!$C$16:$C$141,Calendar!$A$16:$A$141,"&gt;="&amp;MAX(U$7,$J154),Calendar!$A$16:$A$141,"&lt;="&amp;MIN(U$7+4,$K154))*$H154/$G154)))</x:f>
        <x:v>0</x:v>
      </x:c>
      <x:c r="V154" s="45" t="n">
        <x:f>IF(OR($J154="",$K154=""),"",IF(SUMIFS(Calendar!$C$16:$C$141,Calendar!$A$16:$A$141,"&gt;="&amp;MAX(V$7,$J154),Calendar!$A$16:$A$141,"&lt;="&amp;MIN(V$7+4,$K154))=0,0,IF($H154="","EXT",SUMIFS(Calendar!$C$16:$C$141,Calendar!$A$16:$A$141,"&gt;="&amp;MAX(V$7,$J154),Calendar!$A$16:$A$141,"&lt;="&amp;MIN(V$7+4,$K154))*$H154/$G154)))</x:f>
        <x:v>0</x:v>
      </x:c>
      <x:c r="W154" s="45" t="n">
        <x:f>IF(OR($J154="",$K154=""),"",IF(SUMIFS(Calendar!$C$16:$C$141,Calendar!$A$16:$A$141,"&gt;="&amp;MAX(W$7,$J154),Calendar!$A$16:$A$141,"&lt;="&amp;MIN(W$7+4,$K154))=0,0,IF($H154="","EXT",SUMIFS(Calendar!$C$16:$C$141,Calendar!$A$16:$A$141,"&gt;="&amp;MAX(W$7,$J154),Calendar!$A$16:$A$141,"&lt;="&amp;MIN(W$7+4,$K154))*$H154/$G154)))</x:f>
        <x:v>0</x:v>
      </x:c>
      <x:c r="X154" s="45" t="n">
        <x:f>IF(OR($J154="",$K154=""),"",IF(SUMIFS(Calendar!$C$16:$C$141,Calendar!$A$16:$A$141,"&gt;="&amp;MAX(X$7,$J154),Calendar!$A$16:$A$141,"&lt;="&amp;MIN(X$7+4,$K154))=0,0,IF($H154="","EXT",SUMIFS(Calendar!$C$16:$C$141,Calendar!$A$16:$A$141,"&gt;="&amp;MAX(X$7,$J154),Calendar!$A$16:$A$141,"&lt;="&amp;MIN(X$7+4,$K154))*$H154/$G154)))</x:f>
        <x:v>0</x:v>
      </x:c>
      <x:c r="Y154" s="45" t="n">
        <x:f>IF(OR($J154="",$K154=""),"",IF(SUMIFS(Calendar!$C$16:$C$141,Calendar!$A$16:$A$141,"&gt;="&amp;MAX(Y$7,$J154),Calendar!$A$16:$A$141,"&lt;="&amp;MIN(Y$7+4,$K154))=0,0,IF($H154="","EXT",SUMIFS(Calendar!$C$16:$C$141,Calendar!$A$16:$A$141,"&gt;="&amp;MAX(Y$7,$J154),Calendar!$A$16:$A$141,"&lt;="&amp;MIN(Y$7+4,$K154))*$H154/$G154)))</x:f>
        <x:v>0</x:v>
      </x:c>
      <x:c r="Z154" s="45" t="n">
        <x:f>IF(OR($J154="",$K154=""),"",IF(SUMIFS(Calendar!$C$16:$C$141,Calendar!$A$16:$A$141,"&gt;="&amp;MAX(Z$7,$J154),Calendar!$A$16:$A$141,"&lt;="&amp;MIN(Z$7+4,$K154))=0,0,IF($H154="","EXT",SUMIFS(Calendar!$C$16:$C$141,Calendar!$A$16:$A$141,"&gt;="&amp;MAX(Z$7,$J154),Calendar!$A$16:$A$141,"&lt;="&amp;MIN(Z$7+4,$K154))*$H154/$G154)))</x:f>
        <x:v>0</x:v>
      </x:c>
      <x:c r="AA154" s="45" t="n">
        <x:f>IF(OR($J154="",$K154=""),"",IF(SUMIFS(Calendar!$C$16:$C$141,Calendar!$A$16:$A$141,"&gt;="&amp;MAX(AA$7,$J154),Calendar!$A$16:$A$141,"&lt;="&amp;MIN(AA$7+4,$K154))=0,0,IF($H154="","EXT",SUMIFS(Calendar!$C$16:$C$141,Calendar!$A$16:$A$141,"&gt;="&amp;MAX(AA$7,$J154),Calendar!$A$16:$A$141,"&lt;="&amp;MIN(AA$7+4,$K154))*$H154/$G154)))</x:f>
        <x:v>0</x:v>
      </x:c>
      <x:c r="AB154" s="45" t="n">
        <x:f>IF(OR($J154="",$K154=""),"",IF(SUMIFS(Calendar!$C$16:$C$141,Calendar!$A$16:$A$141,"&gt;="&amp;MAX(AB$7,$J154),Calendar!$A$16:$A$141,"&lt;="&amp;MIN(AB$7+4,$K154))=0,0,IF($H154="","EXT",SUMIFS(Calendar!$C$16:$C$141,Calendar!$A$16:$A$141,"&gt;="&amp;MAX(AB$7,$J154),Calendar!$A$16:$A$141,"&lt;="&amp;MIN(AB$7+4,$K154))*$H154/$G154)))</x:f>
        <x:v>0</x:v>
      </x:c>
      <x:c r="AC154" s="45" t="n">
        <x:f>IF(OR($J154="",$K154=""),"",IF(SUMIFS(Calendar!$C$16:$C$141,Calendar!$A$16:$A$141,"&gt;="&amp;MAX(AC$7,$J154),Calendar!$A$16:$A$141,"&lt;="&amp;MIN(AC$7+4,$K154))=0,0,IF($H154="","EXT",SUMIFS(Calendar!$C$16:$C$141,Calendar!$A$16:$A$141,"&gt;="&amp;MAX(AC$7,$J154),Calendar!$A$16:$A$141,"&lt;="&amp;MIN(AC$7+4,$K154))*$H154/$G154)))</x:f>
        <x:v>0</x:v>
      </x:c>
      <x:c r="AD154" s="45" t="n">
        <x:f>IF(OR($J154="",$K154=""),"",IF(SUMIFS(Calendar!$C$16:$C$141,Calendar!$A$16:$A$141,"&gt;="&amp;MAX(AD$7,$J154),Calendar!$A$16:$A$141,"&lt;="&amp;MIN(AD$7+4,$K154))=0,0,IF($H154="","EXT",SUMIFS(Calendar!$C$16:$C$141,Calendar!$A$16:$A$141,"&gt;="&amp;MAX(AD$7,$J154),Calendar!$A$16:$A$141,"&lt;="&amp;MIN(AD$7+4,$K154))*$H154/$G154)))</x:f>
        <x:v>0</x:v>
      </x:c>
      <x:c r="AE154" s="45" t="n">
        <x:f>IF(OR($J154="",$K154=""),"",IF(SUMIFS(Calendar!$C$16:$C$141,Calendar!$A$16:$A$141,"&gt;="&amp;MAX(AE$7,$J154),Calendar!$A$16:$A$141,"&lt;="&amp;MIN(AE$7+4,$K154))=0,0,IF($H154="","EXT",SUMIFS(Calendar!$C$16:$C$141,Calendar!$A$16:$A$141,"&gt;="&amp;MAX(AE$7,$J154),Calendar!$A$16:$A$141,"&lt;="&amp;MIN(AE$7+4,$K154))*$H154/$G154)))</x:f>
        <x:v>1</x:v>
      </x:c>
      <x:c r="AF154" s="8" t="n">
        <x:f>IF(OR(M154&lt;&gt;"Scheduled",INDEX('Team and Gates'!$C$7:$C$13,MATCH($D154,'Team and Gates'!$A$7:$A$13,0))=""),"CHECK",SUM(N154:AE154)*INDEX('Team and Gates'!$C$7:$C$13,MATCH($D154,'Team and Gates'!$A$7:$A$13,0)))</x:f>
        <x:v>360</x:v>
      </x:c>
      <x:c r="AG154" s="46" t="str">
        <x:v>After Feb 26 production release, complete monitoring, defect retests and service handover by Mar 5.</x:v>
      </x:c>
      <x:c r="AH154" s="46" t="str">
        <x:v>Hypercare Mar 1-5; production rollout and Go/No-Go are separately scheduled Feb 25-26.</x:v>
      </x:c>
    </x:row>
    <x:row r="155" ht="45" customHeight="1">
      <x:c r="A155" s="39" t="str">
        <x:v>E01</x:v>
      </x:c>
      <x:c r="B155" s="39" t="str">
        <x:v>External dependency</x:v>
      </x:c>
      <x:c r="C155" s="47" t="str">
        <x:v>Test Azure/Okta/Graph/Foundry access and data-use approvals</x:v>
      </x:c>
      <x:c r="D155" s="40" t="str">
        <x:v>IT</x:v>
      </x:c>
      <x:c r="E155" s="47" t="str"/>
      <x:c r="F155" s="50" t="n">
        <x:v>1</x:v>
      </x:c>
      <x:c r="G155" s="50" t="n">
        <x:v>5</x:v>
      </x:c>
      <x:c r="H155" s="51"/>
      <x:c r="I155" s="39" t="n">
        <x:f>IF(OR(F155="",G155=""),"",F155+G155-1)</x:f>
        <x:v>5</x:v>
      </x:c>
      <x:c r="J155" s="41" t="n">
        <x:f>IF(OR(F155="",F155&lt;1,F155&gt;Calendar!$B$9),"",INDEX(Calendar!$A$16:$A$141,MATCH(F155,Calendar!$D$16:$D$141,0)))</x:f>
        <x:v>46328</x:v>
      </x:c>
      <x:c r="K155" s="41" t="n">
        <x:f>IF(OR(I155="",I155&lt;1,I155&gt;Calendar!$B$9),"",INDEX(Calendar!$A$16:$A$141,MATCH(I155,Calendar!$D$16:$D$141,0)))</x:f>
        <x:v>46332</x:v>
      </x:c>
      <x:c r="L155" s="53" t="n">
        <x:v>0</x:v>
      </x:c>
      <x:c r="M155" s="39" t="str">
        <x:f>IF(OR(F155="",G155=""),"Missing input",IF(OR(F155&lt;1,G155&lt;1,I155&gt;Calendar!$B$9),"Outside calendar",IF(F155&lt;1,"Dependency conflict","Scheduled")))</x:f>
        <x:v>Scheduled</x:v>
      </x:c>
      <x:c r="N155" s="45" t="str">
        <x:f>IF(OR($J155="",$K155=""),"",IF(SUMIFS(Calendar!$C$16:$C$141,Calendar!$A$16:$A$141,"&gt;="&amp;MAX(N$7,$J155),Calendar!$A$16:$A$141,"&lt;="&amp;MIN(N$7+4,$K155))=0,0,IF($H155="","EXT",SUMIFS(Calendar!$C$16:$C$141,Calendar!$A$16:$A$141,"&gt;="&amp;MAX(N$7,$J155),Calendar!$A$16:$A$141,"&lt;="&amp;MIN(N$7+4,$K155))*$H155/$G155)))</x:f>
        <x:v>EXT</x:v>
      </x:c>
      <x:c r="O155" s="45" t="n">
        <x:f>IF(OR($J155="",$K155=""),"",IF(SUMIFS(Calendar!$C$16:$C$141,Calendar!$A$16:$A$141,"&gt;="&amp;MAX(O$7,$J155),Calendar!$A$16:$A$141,"&lt;="&amp;MIN(O$7+4,$K155))=0,0,IF($H155="","EXT",SUMIFS(Calendar!$C$16:$C$141,Calendar!$A$16:$A$141,"&gt;="&amp;MAX(O$7,$J155),Calendar!$A$16:$A$141,"&lt;="&amp;MIN(O$7+4,$K155))*$H155/$G155)))</x:f>
        <x:v>0</x:v>
      </x:c>
      <x:c r="P155" s="45" t="n">
        <x:f>IF(OR($J155="",$K155=""),"",IF(SUMIFS(Calendar!$C$16:$C$141,Calendar!$A$16:$A$141,"&gt;="&amp;MAX(P$7,$J155),Calendar!$A$16:$A$141,"&lt;="&amp;MIN(P$7+4,$K155))=0,0,IF($H155="","EXT",SUMIFS(Calendar!$C$16:$C$141,Calendar!$A$16:$A$141,"&gt;="&amp;MAX(P$7,$J155),Calendar!$A$16:$A$141,"&lt;="&amp;MIN(P$7+4,$K155))*$H155/$G155)))</x:f>
        <x:v>0</x:v>
      </x:c>
      <x:c r="Q155" s="45" t="n">
        <x:f>IF(OR($J155="",$K155=""),"",IF(SUMIFS(Calendar!$C$16:$C$141,Calendar!$A$16:$A$141,"&gt;="&amp;MAX(Q$7,$J155),Calendar!$A$16:$A$141,"&lt;="&amp;MIN(Q$7+4,$K155))=0,0,IF($H155="","EXT",SUMIFS(Calendar!$C$16:$C$141,Calendar!$A$16:$A$141,"&gt;="&amp;MAX(Q$7,$J155),Calendar!$A$16:$A$141,"&lt;="&amp;MIN(Q$7+4,$K155))*$H155/$G155)))</x:f>
        <x:v>0</x:v>
      </x:c>
      <x:c r="R155" s="45" t="n">
        <x:f>IF(OR($J155="",$K155=""),"",IF(SUMIFS(Calendar!$C$16:$C$141,Calendar!$A$16:$A$141,"&gt;="&amp;MAX(R$7,$J155),Calendar!$A$16:$A$141,"&lt;="&amp;MIN(R$7+4,$K155))=0,0,IF($H155="","EXT",SUMIFS(Calendar!$C$16:$C$141,Calendar!$A$16:$A$141,"&gt;="&amp;MAX(R$7,$J155),Calendar!$A$16:$A$141,"&lt;="&amp;MIN(R$7+4,$K155))*$H155/$G155)))</x:f>
        <x:v>0</x:v>
      </x:c>
      <x:c r="S155" s="45" t="n">
        <x:f>IF(OR($J155="",$K155=""),"",IF(SUMIFS(Calendar!$C$16:$C$141,Calendar!$A$16:$A$141,"&gt;="&amp;MAX(S$7,$J155),Calendar!$A$16:$A$141,"&lt;="&amp;MIN(S$7+4,$K155))=0,0,IF($H155="","EXT",SUMIFS(Calendar!$C$16:$C$141,Calendar!$A$16:$A$141,"&gt;="&amp;MAX(S$7,$J155),Calendar!$A$16:$A$141,"&lt;="&amp;MIN(S$7+4,$K155))*$H155/$G155)))</x:f>
        <x:v>0</x:v>
      </x:c>
      <x:c r="T155" s="45" t="n">
        <x:f>IF(OR($J155="",$K155=""),"",IF(SUMIFS(Calendar!$C$16:$C$141,Calendar!$A$16:$A$141,"&gt;="&amp;MAX(T$7,$J155),Calendar!$A$16:$A$141,"&lt;="&amp;MIN(T$7+4,$K155))=0,0,IF($H155="","EXT",SUMIFS(Calendar!$C$16:$C$141,Calendar!$A$16:$A$141,"&gt;="&amp;MAX(T$7,$J155),Calendar!$A$16:$A$141,"&lt;="&amp;MIN(T$7+4,$K155))*$H155/$G155)))</x:f>
        <x:v>0</x:v>
      </x:c>
      <x:c r="U155" s="45" t="n">
        <x:f>IF(OR($J155="",$K155=""),"",IF(SUMIFS(Calendar!$C$16:$C$141,Calendar!$A$16:$A$141,"&gt;="&amp;MAX(U$7,$J155),Calendar!$A$16:$A$141,"&lt;="&amp;MIN(U$7+4,$K155))=0,0,IF($H155="","EXT",SUMIFS(Calendar!$C$16:$C$141,Calendar!$A$16:$A$141,"&gt;="&amp;MAX(U$7,$J155),Calendar!$A$16:$A$141,"&lt;="&amp;MIN(U$7+4,$K155))*$H155/$G155)))</x:f>
        <x:v>0</x:v>
      </x:c>
      <x:c r="V155" s="45" t="n">
        <x:f>IF(OR($J155="",$K155=""),"",IF(SUMIFS(Calendar!$C$16:$C$141,Calendar!$A$16:$A$141,"&gt;="&amp;MAX(V$7,$J155),Calendar!$A$16:$A$141,"&lt;="&amp;MIN(V$7+4,$K155))=0,0,IF($H155="","EXT",SUMIFS(Calendar!$C$16:$C$141,Calendar!$A$16:$A$141,"&gt;="&amp;MAX(V$7,$J155),Calendar!$A$16:$A$141,"&lt;="&amp;MIN(V$7+4,$K155))*$H155/$G155)))</x:f>
        <x:v>0</x:v>
      </x:c>
      <x:c r="W155" s="45" t="n">
        <x:f>IF(OR($J155="",$K155=""),"",IF(SUMIFS(Calendar!$C$16:$C$141,Calendar!$A$16:$A$141,"&gt;="&amp;MAX(W$7,$J155),Calendar!$A$16:$A$141,"&lt;="&amp;MIN(W$7+4,$K155))=0,0,IF($H155="","EXT",SUMIFS(Calendar!$C$16:$C$141,Calendar!$A$16:$A$141,"&gt;="&amp;MAX(W$7,$J155),Calendar!$A$16:$A$141,"&lt;="&amp;MIN(W$7+4,$K155))*$H155/$G155)))</x:f>
        <x:v>0</x:v>
      </x:c>
      <x:c r="X155" s="45" t="n">
        <x:f>IF(OR($J155="",$K155=""),"",IF(SUMIFS(Calendar!$C$16:$C$141,Calendar!$A$16:$A$141,"&gt;="&amp;MAX(X$7,$J155),Calendar!$A$16:$A$141,"&lt;="&amp;MIN(X$7+4,$K155))=0,0,IF($H155="","EXT",SUMIFS(Calendar!$C$16:$C$141,Calendar!$A$16:$A$141,"&gt;="&amp;MAX(X$7,$J155),Calendar!$A$16:$A$141,"&lt;="&amp;MIN(X$7+4,$K155))*$H155/$G155)))</x:f>
        <x:v>0</x:v>
      </x:c>
      <x:c r="Y155" s="45" t="n">
        <x:f>IF(OR($J155="",$K155=""),"",IF(SUMIFS(Calendar!$C$16:$C$141,Calendar!$A$16:$A$141,"&gt;="&amp;MAX(Y$7,$J155),Calendar!$A$16:$A$141,"&lt;="&amp;MIN(Y$7+4,$K155))=0,0,IF($H155="","EXT",SUMIFS(Calendar!$C$16:$C$141,Calendar!$A$16:$A$141,"&gt;="&amp;MAX(Y$7,$J155),Calendar!$A$16:$A$141,"&lt;="&amp;MIN(Y$7+4,$K155))*$H155/$G155)))</x:f>
        <x:v>0</x:v>
      </x:c>
      <x:c r="Z155" s="45" t="n">
        <x:f>IF(OR($J155="",$K155=""),"",IF(SUMIFS(Calendar!$C$16:$C$141,Calendar!$A$16:$A$141,"&gt;="&amp;MAX(Z$7,$J155),Calendar!$A$16:$A$141,"&lt;="&amp;MIN(Z$7+4,$K155))=0,0,IF($H155="","EXT",SUMIFS(Calendar!$C$16:$C$141,Calendar!$A$16:$A$141,"&gt;="&amp;MAX(Z$7,$J155),Calendar!$A$16:$A$141,"&lt;="&amp;MIN(Z$7+4,$K155))*$H155/$G155)))</x:f>
        <x:v>0</x:v>
      </x:c>
      <x:c r="AA155" s="45" t="n">
        <x:f>IF(OR($J155="",$K155=""),"",IF(SUMIFS(Calendar!$C$16:$C$141,Calendar!$A$16:$A$141,"&gt;="&amp;MAX(AA$7,$J155),Calendar!$A$16:$A$141,"&lt;="&amp;MIN(AA$7+4,$K155))=0,0,IF($H155="","EXT",SUMIFS(Calendar!$C$16:$C$141,Calendar!$A$16:$A$141,"&gt;="&amp;MAX(AA$7,$J155),Calendar!$A$16:$A$141,"&lt;="&amp;MIN(AA$7+4,$K155))*$H155/$G155)))</x:f>
        <x:v>0</x:v>
      </x:c>
      <x:c r="AB155" s="45" t="n">
        <x:f>IF(OR($J155="",$K155=""),"",IF(SUMIFS(Calendar!$C$16:$C$141,Calendar!$A$16:$A$141,"&gt;="&amp;MAX(AB$7,$J155),Calendar!$A$16:$A$141,"&lt;="&amp;MIN(AB$7+4,$K155))=0,0,IF($H155="","EXT",SUMIFS(Calendar!$C$16:$C$141,Calendar!$A$16:$A$141,"&gt;="&amp;MAX(AB$7,$J155),Calendar!$A$16:$A$141,"&lt;="&amp;MIN(AB$7+4,$K155))*$H155/$G155)))</x:f>
        <x:v>0</x:v>
      </x:c>
      <x:c r="AC155" s="45" t="n">
        <x:f>IF(OR($J155="",$K155=""),"",IF(SUMIFS(Calendar!$C$16:$C$141,Calendar!$A$16:$A$141,"&gt;="&amp;MAX(AC$7,$J155),Calendar!$A$16:$A$141,"&lt;="&amp;MIN(AC$7+4,$K155))=0,0,IF($H155="","EXT",SUMIFS(Calendar!$C$16:$C$141,Calendar!$A$16:$A$141,"&gt;="&amp;MAX(AC$7,$J155),Calendar!$A$16:$A$141,"&lt;="&amp;MIN(AC$7+4,$K155))*$H155/$G155)))</x:f>
        <x:v>0</x:v>
      </x:c>
      <x:c r="AD155" s="45" t="n">
        <x:f>IF(OR($J155="",$K155=""),"",IF(SUMIFS(Calendar!$C$16:$C$141,Calendar!$A$16:$A$141,"&gt;="&amp;MAX(AD$7,$J155),Calendar!$A$16:$A$141,"&lt;="&amp;MIN(AD$7+4,$K155))=0,0,IF($H155="","EXT",SUMIFS(Calendar!$C$16:$C$141,Calendar!$A$16:$A$141,"&gt;="&amp;MAX(AD$7,$J155),Calendar!$A$16:$A$141,"&lt;="&amp;MIN(AD$7+4,$K155))*$H155/$G155)))</x:f>
        <x:v>0</x:v>
      </x:c>
      <x:c r="AE155" s="45" t="n">
        <x:f>IF(OR($J155="",$K155=""),"",IF(SUMIFS(Calendar!$C$16:$C$141,Calendar!$A$16:$A$141,"&gt;="&amp;MAX(AE$7,$J155),Calendar!$A$16:$A$141,"&lt;="&amp;MIN(AE$7+4,$K155))=0,0,IF($H155="","EXT",SUMIFS(Calendar!$C$16:$C$141,Calendar!$A$16:$A$141,"&gt;="&amp;MAX(AE$7,$J155),Calendar!$A$16:$A$141,"&lt;="&amp;MIN(AE$7+4,$K155))*$H155/$G155)))</x:f>
        <x:v>0</x:v>
      </x:c>
      <x:c r="AF155" s="8" t="str">
        <x:f>""</x:f>
      </x:c>
      <x:c r="AG155" s="46" t="str">
        <x:v>Test mailboxes, resources, model quotas and authorized corpus access are ready.</x:v>
      </x:c>
      <x:c r="AH155" s="46" t="str">
        <x:v>External IT effort is not estimated or costed.</x:v>
      </x:c>
    </x:row>
    <x:row r="156" ht="45" customHeight="1">
      <x:c r="A156" s="2" t="str">
        <x:v>E02</x:v>
      </x:c>
      <x:c r="B156" s="2" t="str">
        <x:v>External dependency</x:v>
      </x:c>
      <x:c r="C156" s="46" t="str">
        <x:v>Business scope, BA/UX staffing and signoff-owner commitment</x:v>
      </x:c>
      <x:c r="D156" s="40" t="str">
        <x:v>Business Owner</x:v>
      </x:c>
      <x:c r="E156" s="46" t="str"/>
      <x:c r="F156" s="50" t="n">
        <x:v>1</x:v>
      </x:c>
      <x:c r="G156" s="50" t="n">
        <x:v>5</x:v>
      </x:c>
      <x:c r="H156" s="51"/>
      <x:c r="I156" s="2" t="n">
        <x:f>IF(OR(F156="",G156=""),"",F156+G156-1)</x:f>
        <x:v>5</x:v>
      </x:c>
      <x:c r="J156" s="5" t="n">
        <x:f>IF(OR(F156="",F156&lt;1,F156&gt;Calendar!$B$9),"",INDEX(Calendar!$A$16:$A$141,MATCH(F156,Calendar!$D$16:$D$141,0)))</x:f>
        <x:v>46328</x:v>
      </x:c>
      <x:c r="K156" s="5" t="n">
        <x:f>IF(OR(I156="",I156&lt;1,I156&gt;Calendar!$B$9),"",INDEX(Calendar!$A$16:$A$141,MATCH(I156,Calendar!$D$16:$D$141,0)))</x:f>
        <x:v>46332</x:v>
      </x:c>
      <x:c r="L156" s="53" t="n">
        <x:v>0</x:v>
      </x:c>
      <x:c r="M156" s="2" t="str">
        <x:f>IF(OR(F156="",G156=""),"Missing input",IF(OR(F156&lt;1,G156&lt;1,I156&gt;Calendar!$B$9),"Outside calendar",IF(F156&lt;1,"Dependency conflict","Scheduled")))</x:f>
        <x:v>Scheduled</x:v>
      </x:c>
      <x:c r="N156" s="45" t="str">
        <x:f>IF(OR($J156="",$K156=""),"",IF(SUMIFS(Calendar!$C$16:$C$141,Calendar!$A$16:$A$141,"&gt;="&amp;MAX(N$7,$J156),Calendar!$A$16:$A$141,"&lt;="&amp;MIN(N$7+4,$K156))=0,0,IF($H156="","EXT",SUMIFS(Calendar!$C$16:$C$141,Calendar!$A$16:$A$141,"&gt;="&amp;MAX(N$7,$J156),Calendar!$A$16:$A$141,"&lt;="&amp;MIN(N$7+4,$K156))*$H156/$G156)))</x:f>
        <x:v>EXT</x:v>
      </x:c>
      <x:c r="O156" s="45" t="n">
        <x:f>IF(OR($J156="",$K156=""),"",IF(SUMIFS(Calendar!$C$16:$C$141,Calendar!$A$16:$A$141,"&gt;="&amp;MAX(O$7,$J156),Calendar!$A$16:$A$141,"&lt;="&amp;MIN(O$7+4,$K156))=0,0,IF($H156="","EXT",SUMIFS(Calendar!$C$16:$C$141,Calendar!$A$16:$A$141,"&gt;="&amp;MAX(O$7,$J156),Calendar!$A$16:$A$141,"&lt;="&amp;MIN(O$7+4,$K156))*$H156/$G156)))</x:f>
        <x:v>0</x:v>
      </x:c>
      <x:c r="P156" s="45" t="n">
        <x:f>IF(OR($J156="",$K156=""),"",IF(SUMIFS(Calendar!$C$16:$C$141,Calendar!$A$16:$A$141,"&gt;="&amp;MAX(P$7,$J156),Calendar!$A$16:$A$141,"&lt;="&amp;MIN(P$7+4,$K156))=0,0,IF($H156="","EXT",SUMIFS(Calendar!$C$16:$C$141,Calendar!$A$16:$A$141,"&gt;="&amp;MAX(P$7,$J156),Calendar!$A$16:$A$141,"&lt;="&amp;MIN(P$7+4,$K156))*$H156/$G156)))</x:f>
        <x:v>0</x:v>
      </x:c>
      <x:c r="Q156" s="45" t="n">
        <x:f>IF(OR($J156="",$K156=""),"",IF(SUMIFS(Calendar!$C$16:$C$141,Calendar!$A$16:$A$141,"&gt;="&amp;MAX(Q$7,$J156),Calendar!$A$16:$A$141,"&lt;="&amp;MIN(Q$7+4,$K156))=0,0,IF($H156="","EXT",SUMIFS(Calendar!$C$16:$C$141,Calendar!$A$16:$A$141,"&gt;="&amp;MAX(Q$7,$J156),Calendar!$A$16:$A$141,"&lt;="&amp;MIN(Q$7+4,$K156))*$H156/$G156)))</x:f>
        <x:v>0</x:v>
      </x:c>
      <x:c r="R156" s="45" t="n">
        <x:f>IF(OR($J156="",$K156=""),"",IF(SUMIFS(Calendar!$C$16:$C$141,Calendar!$A$16:$A$141,"&gt;="&amp;MAX(R$7,$J156),Calendar!$A$16:$A$141,"&lt;="&amp;MIN(R$7+4,$K156))=0,0,IF($H156="","EXT",SUMIFS(Calendar!$C$16:$C$141,Calendar!$A$16:$A$141,"&gt;="&amp;MAX(R$7,$J156),Calendar!$A$16:$A$141,"&lt;="&amp;MIN(R$7+4,$K156))*$H156/$G156)))</x:f>
        <x:v>0</x:v>
      </x:c>
      <x:c r="S156" s="45" t="n">
        <x:f>IF(OR($J156="",$K156=""),"",IF(SUMIFS(Calendar!$C$16:$C$141,Calendar!$A$16:$A$141,"&gt;="&amp;MAX(S$7,$J156),Calendar!$A$16:$A$141,"&lt;="&amp;MIN(S$7+4,$K156))=0,0,IF($H156="","EXT",SUMIFS(Calendar!$C$16:$C$141,Calendar!$A$16:$A$141,"&gt;="&amp;MAX(S$7,$J156),Calendar!$A$16:$A$141,"&lt;="&amp;MIN(S$7+4,$K156))*$H156/$G156)))</x:f>
        <x:v>0</x:v>
      </x:c>
      <x:c r="T156" s="45" t="n">
        <x:f>IF(OR($J156="",$K156=""),"",IF(SUMIFS(Calendar!$C$16:$C$141,Calendar!$A$16:$A$141,"&gt;="&amp;MAX(T$7,$J156),Calendar!$A$16:$A$141,"&lt;="&amp;MIN(T$7+4,$K156))=0,0,IF($H156="","EXT",SUMIFS(Calendar!$C$16:$C$141,Calendar!$A$16:$A$141,"&gt;="&amp;MAX(T$7,$J156),Calendar!$A$16:$A$141,"&lt;="&amp;MIN(T$7+4,$K156))*$H156/$G156)))</x:f>
        <x:v>0</x:v>
      </x:c>
      <x:c r="U156" s="45" t="n">
        <x:f>IF(OR($J156="",$K156=""),"",IF(SUMIFS(Calendar!$C$16:$C$141,Calendar!$A$16:$A$141,"&gt;="&amp;MAX(U$7,$J156),Calendar!$A$16:$A$141,"&lt;="&amp;MIN(U$7+4,$K156))=0,0,IF($H156="","EXT",SUMIFS(Calendar!$C$16:$C$141,Calendar!$A$16:$A$141,"&gt;="&amp;MAX(U$7,$J156),Calendar!$A$16:$A$141,"&lt;="&amp;MIN(U$7+4,$K156))*$H156/$G156)))</x:f>
        <x:v>0</x:v>
      </x:c>
      <x:c r="V156" s="45" t="n">
        <x:f>IF(OR($J156="",$K156=""),"",IF(SUMIFS(Calendar!$C$16:$C$141,Calendar!$A$16:$A$141,"&gt;="&amp;MAX(V$7,$J156),Calendar!$A$16:$A$141,"&lt;="&amp;MIN(V$7+4,$K156))=0,0,IF($H156="","EXT",SUMIFS(Calendar!$C$16:$C$141,Calendar!$A$16:$A$141,"&gt;="&amp;MAX(V$7,$J156),Calendar!$A$16:$A$141,"&lt;="&amp;MIN(V$7+4,$K156))*$H156/$G156)))</x:f>
        <x:v>0</x:v>
      </x:c>
      <x:c r="W156" s="45" t="n">
        <x:f>IF(OR($J156="",$K156=""),"",IF(SUMIFS(Calendar!$C$16:$C$141,Calendar!$A$16:$A$141,"&gt;="&amp;MAX(W$7,$J156),Calendar!$A$16:$A$141,"&lt;="&amp;MIN(W$7+4,$K156))=0,0,IF($H156="","EXT",SUMIFS(Calendar!$C$16:$C$141,Calendar!$A$16:$A$141,"&gt;="&amp;MAX(W$7,$J156),Calendar!$A$16:$A$141,"&lt;="&amp;MIN(W$7+4,$K156))*$H156/$G156)))</x:f>
        <x:v>0</x:v>
      </x:c>
      <x:c r="X156" s="45" t="n">
        <x:f>IF(OR($J156="",$K156=""),"",IF(SUMIFS(Calendar!$C$16:$C$141,Calendar!$A$16:$A$141,"&gt;="&amp;MAX(X$7,$J156),Calendar!$A$16:$A$141,"&lt;="&amp;MIN(X$7+4,$K156))=0,0,IF($H156="","EXT",SUMIFS(Calendar!$C$16:$C$141,Calendar!$A$16:$A$141,"&gt;="&amp;MAX(X$7,$J156),Calendar!$A$16:$A$141,"&lt;="&amp;MIN(X$7+4,$K156))*$H156/$G156)))</x:f>
        <x:v>0</x:v>
      </x:c>
      <x:c r="Y156" s="45" t="n">
        <x:f>IF(OR($J156="",$K156=""),"",IF(SUMIFS(Calendar!$C$16:$C$141,Calendar!$A$16:$A$141,"&gt;="&amp;MAX(Y$7,$J156),Calendar!$A$16:$A$141,"&lt;="&amp;MIN(Y$7+4,$K156))=0,0,IF($H156="","EXT",SUMIFS(Calendar!$C$16:$C$141,Calendar!$A$16:$A$141,"&gt;="&amp;MAX(Y$7,$J156),Calendar!$A$16:$A$141,"&lt;="&amp;MIN(Y$7+4,$K156))*$H156/$G156)))</x:f>
        <x:v>0</x:v>
      </x:c>
      <x:c r="Z156" s="45" t="n">
        <x:f>IF(OR($J156="",$K156=""),"",IF(SUMIFS(Calendar!$C$16:$C$141,Calendar!$A$16:$A$141,"&gt;="&amp;MAX(Z$7,$J156),Calendar!$A$16:$A$141,"&lt;="&amp;MIN(Z$7+4,$K156))=0,0,IF($H156="","EXT",SUMIFS(Calendar!$C$16:$C$141,Calendar!$A$16:$A$141,"&gt;="&amp;MAX(Z$7,$J156),Calendar!$A$16:$A$141,"&lt;="&amp;MIN(Z$7+4,$K156))*$H156/$G156)))</x:f>
        <x:v>0</x:v>
      </x:c>
      <x:c r="AA156" s="45" t="n">
        <x:f>IF(OR($J156="",$K156=""),"",IF(SUMIFS(Calendar!$C$16:$C$141,Calendar!$A$16:$A$141,"&gt;="&amp;MAX(AA$7,$J156),Calendar!$A$16:$A$141,"&lt;="&amp;MIN(AA$7+4,$K156))=0,0,IF($H156="","EXT",SUMIFS(Calendar!$C$16:$C$141,Calendar!$A$16:$A$141,"&gt;="&amp;MAX(AA$7,$J156),Calendar!$A$16:$A$141,"&lt;="&amp;MIN(AA$7+4,$K156))*$H156/$G156)))</x:f>
        <x:v>0</x:v>
      </x:c>
      <x:c r="AB156" s="45" t="n">
        <x:f>IF(OR($J156="",$K156=""),"",IF(SUMIFS(Calendar!$C$16:$C$141,Calendar!$A$16:$A$141,"&gt;="&amp;MAX(AB$7,$J156),Calendar!$A$16:$A$141,"&lt;="&amp;MIN(AB$7+4,$K156))=0,0,IF($H156="","EXT",SUMIFS(Calendar!$C$16:$C$141,Calendar!$A$16:$A$141,"&gt;="&amp;MAX(AB$7,$J156),Calendar!$A$16:$A$141,"&lt;="&amp;MIN(AB$7+4,$K156))*$H156/$G156)))</x:f>
        <x:v>0</x:v>
      </x:c>
      <x:c r="AC156" s="45" t="n">
        <x:f>IF(OR($J156="",$K156=""),"",IF(SUMIFS(Calendar!$C$16:$C$141,Calendar!$A$16:$A$141,"&gt;="&amp;MAX(AC$7,$J156),Calendar!$A$16:$A$141,"&lt;="&amp;MIN(AC$7+4,$K156))=0,0,IF($H156="","EXT",SUMIFS(Calendar!$C$16:$C$141,Calendar!$A$16:$A$141,"&gt;="&amp;MAX(AC$7,$J156),Calendar!$A$16:$A$141,"&lt;="&amp;MIN(AC$7+4,$K156))*$H156/$G156)))</x:f>
        <x:v>0</x:v>
      </x:c>
      <x:c r="AD156" s="45" t="n">
        <x:f>IF(OR($J156="",$K156=""),"",IF(SUMIFS(Calendar!$C$16:$C$141,Calendar!$A$16:$A$141,"&gt;="&amp;MAX(AD$7,$J156),Calendar!$A$16:$A$141,"&lt;="&amp;MIN(AD$7+4,$K156))=0,0,IF($H156="","EXT",SUMIFS(Calendar!$C$16:$C$141,Calendar!$A$16:$A$141,"&gt;="&amp;MAX(AD$7,$J156),Calendar!$A$16:$A$141,"&lt;="&amp;MIN(AD$7+4,$K156))*$H156/$G156)))</x:f>
        <x:v>0</x:v>
      </x:c>
      <x:c r="AE156" s="45" t="n">
        <x:f>IF(OR($J156="",$K156=""),"",IF(SUMIFS(Calendar!$C$16:$C$141,Calendar!$A$16:$A$141,"&gt;="&amp;MAX(AE$7,$J156),Calendar!$A$16:$A$141,"&lt;="&amp;MIN(AE$7+4,$K156))=0,0,IF($H156="","EXT",SUMIFS(Calendar!$C$16:$C$141,Calendar!$A$16:$A$141,"&gt;="&amp;MAX(AE$7,$J156),Calendar!$A$16:$A$141,"&lt;="&amp;MIN(AE$7+4,$K156))*$H156/$G156)))</x:f>
        <x:v>0</x:v>
      </x:c>
      <x:c r="AF156" s="8" t="str">
        <x:f>""</x:f>
      </x:c>
      <x:c r="AG156" s="46" t="str">
        <x:v>Name BA, UI/UX and business approver; confirm launch Cases and AM availability.</x:v>
      </x:c>
      <x:c r="AH156" s="46" t="str">
        <x:v>Approver/AM effort is not estimated; BA is not a substitute for business signoff.</x:v>
      </x:c>
    </x:row>
    <x:row r="157" ht="45" customHeight="1">
      <x:c r="A157" s="39" t="str">
        <x:v>E03</x:v>
      </x:c>
      <x:c r="B157" s="39" t="str">
        <x:v>External dependency</x:v>
      </x:c>
      <x:c r="C157" s="47" t="str">
        <x:v>Production network, security and resource approvals</x:v>
      </x:c>
      <x:c r="D157" s="40" t="str">
        <x:v>IT</x:v>
      </x:c>
      <x:c r="E157" s="47" t="str">
        <x:v>E01</x:v>
      </x:c>
      <x:c r="F157" s="50" t="n">
        <x:v>11</x:v>
      </x:c>
      <x:c r="G157" s="50" t="n">
        <x:v>15</x:v>
      </x:c>
      <x:c r="H157" s="51"/>
      <x:c r="I157" s="39" t="n">
        <x:f>IF(OR(F157="",G157=""),"",F157+G157-1)</x:f>
        <x:v>25</x:v>
      </x:c>
      <x:c r="J157" s="41" t="n">
        <x:f>IF(OR(F157="",F157&lt;1,F157&gt;Calendar!$B$9),"",INDEX(Calendar!$A$16:$A$141,MATCH(F157,Calendar!$D$16:$D$141,0)))</x:f>
        <x:v>46342</x:v>
      </x:c>
      <x:c r="K157" s="41" t="n">
        <x:f>IF(OR(I157="",I157&lt;1,I157&gt;Calendar!$B$9),"",INDEX(Calendar!$A$16:$A$141,MATCH(I157,Calendar!$D$16:$D$141,0)))</x:f>
        <x:v>46360</x:v>
      </x:c>
      <x:c r="L157" s="53" t="n">
        <x:v>0</x:v>
      </x:c>
      <x:c r="M157" s="39" t="str">
        <x:f>IF(OR(F157="",G157=""),"Missing input",IF(OR(F157&lt;1,G157&lt;1,I157&gt;Calendar!$B$9),"Outside calendar",IF(F157&lt;MAX(INDEX($I$8:$I$157,MATCH("E01",$A$8:$A$157,0))+1),"Dependency conflict","Scheduled")))</x:f>
        <x:v>Scheduled</x:v>
      </x:c>
      <x:c r="N157" s="45" t="n">
        <x:f>IF(OR($J157="",$K157=""),"",IF(SUMIFS(Calendar!$C$16:$C$141,Calendar!$A$16:$A$141,"&gt;="&amp;MAX(N$7,$J157),Calendar!$A$16:$A$141,"&lt;="&amp;MIN(N$7+4,$K157))=0,0,IF($H157="","EXT",SUMIFS(Calendar!$C$16:$C$141,Calendar!$A$16:$A$141,"&gt;="&amp;MAX(N$7,$J157),Calendar!$A$16:$A$141,"&lt;="&amp;MIN(N$7+4,$K157))*$H157/$G157)))</x:f>
        <x:v>0</x:v>
      </x:c>
      <x:c r="O157" s="45" t="n">
        <x:f>IF(OR($J157="",$K157=""),"",IF(SUMIFS(Calendar!$C$16:$C$141,Calendar!$A$16:$A$141,"&gt;="&amp;MAX(O$7,$J157),Calendar!$A$16:$A$141,"&lt;="&amp;MIN(O$7+4,$K157))=0,0,IF($H157="","EXT",SUMIFS(Calendar!$C$16:$C$141,Calendar!$A$16:$A$141,"&gt;="&amp;MAX(O$7,$J157),Calendar!$A$16:$A$141,"&lt;="&amp;MIN(O$7+4,$K157))*$H157/$G157)))</x:f>
        <x:v>0</x:v>
      </x:c>
      <x:c r="P157" s="45" t="str">
        <x:f>IF(OR($J157="",$K157=""),"",IF(SUMIFS(Calendar!$C$16:$C$141,Calendar!$A$16:$A$141,"&gt;="&amp;MAX(P$7,$J157),Calendar!$A$16:$A$141,"&lt;="&amp;MIN(P$7+4,$K157))=0,0,IF($H157="","EXT",SUMIFS(Calendar!$C$16:$C$141,Calendar!$A$16:$A$141,"&gt;="&amp;MAX(P$7,$J157),Calendar!$A$16:$A$141,"&lt;="&amp;MIN(P$7+4,$K157))*$H157/$G157)))</x:f>
        <x:v>EXT</x:v>
      </x:c>
      <x:c r="Q157" s="45" t="str">
        <x:f>IF(OR($J157="",$K157=""),"",IF(SUMIFS(Calendar!$C$16:$C$141,Calendar!$A$16:$A$141,"&gt;="&amp;MAX(Q$7,$J157),Calendar!$A$16:$A$141,"&lt;="&amp;MIN(Q$7+4,$K157))=0,0,IF($H157="","EXT",SUMIFS(Calendar!$C$16:$C$141,Calendar!$A$16:$A$141,"&gt;="&amp;MAX(Q$7,$J157),Calendar!$A$16:$A$141,"&lt;="&amp;MIN(Q$7+4,$K157))*$H157/$G157)))</x:f>
        <x:v>EXT</x:v>
      </x:c>
      <x:c r="R157" s="45" t="str">
        <x:f>IF(OR($J157="",$K157=""),"",IF(SUMIFS(Calendar!$C$16:$C$141,Calendar!$A$16:$A$141,"&gt;="&amp;MAX(R$7,$J157),Calendar!$A$16:$A$141,"&lt;="&amp;MIN(R$7+4,$K157))=0,0,IF($H157="","EXT",SUMIFS(Calendar!$C$16:$C$141,Calendar!$A$16:$A$141,"&gt;="&amp;MAX(R$7,$J157),Calendar!$A$16:$A$141,"&lt;="&amp;MIN(R$7+4,$K157))*$H157/$G157)))</x:f>
        <x:v>EXT</x:v>
      </x:c>
      <x:c r="S157" s="45" t="n">
        <x:f>IF(OR($J157="",$K157=""),"",IF(SUMIFS(Calendar!$C$16:$C$141,Calendar!$A$16:$A$141,"&gt;="&amp;MAX(S$7,$J157),Calendar!$A$16:$A$141,"&lt;="&amp;MIN(S$7+4,$K157))=0,0,IF($H157="","EXT",SUMIFS(Calendar!$C$16:$C$141,Calendar!$A$16:$A$141,"&gt;="&amp;MAX(S$7,$J157),Calendar!$A$16:$A$141,"&lt;="&amp;MIN(S$7+4,$K157))*$H157/$G157)))</x:f>
        <x:v>0</x:v>
      </x:c>
      <x:c r="T157" s="45" t="n">
        <x:f>IF(OR($J157="",$K157=""),"",IF(SUMIFS(Calendar!$C$16:$C$141,Calendar!$A$16:$A$141,"&gt;="&amp;MAX(T$7,$J157),Calendar!$A$16:$A$141,"&lt;="&amp;MIN(T$7+4,$K157))=0,0,IF($H157="","EXT",SUMIFS(Calendar!$C$16:$C$141,Calendar!$A$16:$A$141,"&gt;="&amp;MAX(T$7,$J157),Calendar!$A$16:$A$141,"&lt;="&amp;MIN(T$7+4,$K157))*$H157/$G157)))</x:f>
        <x:v>0</x:v>
      </x:c>
      <x:c r="U157" s="45" t="n">
        <x:f>IF(OR($J157="",$K157=""),"",IF(SUMIFS(Calendar!$C$16:$C$141,Calendar!$A$16:$A$141,"&gt;="&amp;MAX(U$7,$J157),Calendar!$A$16:$A$141,"&lt;="&amp;MIN(U$7+4,$K157))=0,0,IF($H157="","EXT",SUMIFS(Calendar!$C$16:$C$141,Calendar!$A$16:$A$141,"&gt;="&amp;MAX(U$7,$J157),Calendar!$A$16:$A$141,"&lt;="&amp;MIN(U$7+4,$K157))*$H157/$G157)))</x:f>
        <x:v>0</x:v>
      </x:c>
      <x:c r="V157" s="45" t="n">
        <x:f>IF(OR($J157="",$K157=""),"",IF(SUMIFS(Calendar!$C$16:$C$141,Calendar!$A$16:$A$141,"&gt;="&amp;MAX(V$7,$J157),Calendar!$A$16:$A$141,"&lt;="&amp;MIN(V$7+4,$K157))=0,0,IF($H157="","EXT",SUMIFS(Calendar!$C$16:$C$141,Calendar!$A$16:$A$141,"&gt;="&amp;MAX(V$7,$J157),Calendar!$A$16:$A$141,"&lt;="&amp;MIN(V$7+4,$K157))*$H157/$G157)))</x:f>
        <x:v>0</x:v>
      </x:c>
      <x:c r="W157" s="45" t="n">
        <x:f>IF(OR($J157="",$K157=""),"",IF(SUMIFS(Calendar!$C$16:$C$141,Calendar!$A$16:$A$141,"&gt;="&amp;MAX(W$7,$J157),Calendar!$A$16:$A$141,"&lt;="&amp;MIN(W$7+4,$K157))=0,0,IF($H157="","EXT",SUMIFS(Calendar!$C$16:$C$141,Calendar!$A$16:$A$141,"&gt;="&amp;MAX(W$7,$J157),Calendar!$A$16:$A$141,"&lt;="&amp;MIN(W$7+4,$K157))*$H157/$G157)))</x:f>
        <x:v>0</x:v>
      </x:c>
      <x:c r="X157" s="45" t="n">
        <x:f>IF(OR($J157="",$K157=""),"",IF(SUMIFS(Calendar!$C$16:$C$141,Calendar!$A$16:$A$141,"&gt;="&amp;MAX(X$7,$J157),Calendar!$A$16:$A$141,"&lt;="&amp;MIN(X$7+4,$K157))=0,0,IF($H157="","EXT",SUMIFS(Calendar!$C$16:$C$141,Calendar!$A$16:$A$141,"&gt;="&amp;MAX(X$7,$J157),Calendar!$A$16:$A$141,"&lt;="&amp;MIN(X$7+4,$K157))*$H157/$G157)))</x:f>
        <x:v>0</x:v>
      </x:c>
      <x:c r="Y157" s="45" t="n">
        <x:f>IF(OR($J157="",$K157=""),"",IF(SUMIFS(Calendar!$C$16:$C$141,Calendar!$A$16:$A$141,"&gt;="&amp;MAX(Y$7,$J157),Calendar!$A$16:$A$141,"&lt;="&amp;MIN(Y$7+4,$K157))=0,0,IF($H157="","EXT",SUMIFS(Calendar!$C$16:$C$141,Calendar!$A$16:$A$141,"&gt;="&amp;MAX(Y$7,$J157),Calendar!$A$16:$A$141,"&lt;="&amp;MIN(Y$7+4,$K157))*$H157/$G157)))</x:f>
        <x:v>0</x:v>
      </x:c>
      <x:c r="Z157" s="45" t="n">
        <x:f>IF(OR($J157="",$K157=""),"",IF(SUMIFS(Calendar!$C$16:$C$141,Calendar!$A$16:$A$141,"&gt;="&amp;MAX(Z$7,$J157),Calendar!$A$16:$A$141,"&lt;="&amp;MIN(Z$7+4,$K157))=0,0,IF($H157="","EXT",SUMIFS(Calendar!$C$16:$C$141,Calendar!$A$16:$A$141,"&gt;="&amp;MAX(Z$7,$J157),Calendar!$A$16:$A$141,"&lt;="&amp;MIN(Z$7+4,$K157))*$H157/$G157)))</x:f>
        <x:v>0</x:v>
      </x:c>
      <x:c r="AA157" s="45" t="n">
        <x:f>IF(OR($J157="",$K157=""),"",IF(SUMIFS(Calendar!$C$16:$C$141,Calendar!$A$16:$A$141,"&gt;="&amp;MAX(AA$7,$J157),Calendar!$A$16:$A$141,"&lt;="&amp;MIN(AA$7+4,$K157))=0,0,IF($H157="","EXT",SUMIFS(Calendar!$C$16:$C$141,Calendar!$A$16:$A$141,"&gt;="&amp;MAX(AA$7,$J157),Calendar!$A$16:$A$141,"&lt;="&amp;MIN(AA$7+4,$K157))*$H157/$G157)))</x:f>
        <x:v>0</x:v>
      </x:c>
      <x:c r="AB157" s="45" t="n">
        <x:f>IF(OR($J157="",$K157=""),"",IF(SUMIFS(Calendar!$C$16:$C$141,Calendar!$A$16:$A$141,"&gt;="&amp;MAX(AB$7,$J157),Calendar!$A$16:$A$141,"&lt;="&amp;MIN(AB$7+4,$K157))=0,0,IF($H157="","EXT",SUMIFS(Calendar!$C$16:$C$141,Calendar!$A$16:$A$141,"&gt;="&amp;MAX(AB$7,$J157),Calendar!$A$16:$A$141,"&lt;="&amp;MIN(AB$7+4,$K157))*$H157/$G157)))</x:f>
        <x:v>0</x:v>
      </x:c>
      <x:c r="AC157" s="45" t="n">
        <x:f>IF(OR($J157="",$K157=""),"",IF(SUMIFS(Calendar!$C$16:$C$141,Calendar!$A$16:$A$141,"&gt;="&amp;MAX(AC$7,$J157),Calendar!$A$16:$A$141,"&lt;="&amp;MIN(AC$7+4,$K157))=0,0,IF($H157="","EXT",SUMIFS(Calendar!$C$16:$C$141,Calendar!$A$16:$A$141,"&gt;="&amp;MAX(AC$7,$J157),Calendar!$A$16:$A$141,"&lt;="&amp;MIN(AC$7+4,$K157))*$H157/$G157)))</x:f>
        <x:v>0</x:v>
      </x:c>
      <x:c r="AD157" s="45" t="n">
        <x:f>IF(OR($J157="",$K157=""),"",IF(SUMIFS(Calendar!$C$16:$C$141,Calendar!$A$16:$A$141,"&gt;="&amp;MAX(AD$7,$J157),Calendar!$A$16:$A$141,"&lt;="&amp;MIN(AD$7+4,$K157))=0,0,IF($H157="","EXT",SUMIFS(Calendar!$C$16:$C$141,Calendar!$A$16:$A$141,"&gt;="&amp;MAX(AD$7,$J157),Calendar!$A$16:$A$141,"&lt;="&amp;MIN(AD$7+4,$K157))*$H157/$G157)))</x:f>
        <x:v>0</x:v>
      </x:c>
      <x:c r="AE157" s="45" t="n">
        <x:f>IF(OR($J157="",$K157=""),"",IF(SUMIFS(Calendar!$C$16:$C$141,Calendar!$A$16:$A$141,"&gt;="&amp;MAX(AE$7,$J157),Calendar!$A$16:$A$141,"&lt;="&amp;MIN(AE$7+4,$K157))=0,0,IF($H157="","EXT",SUMIFS(Calendar!$C$16:$C$141,Calendar!$A$16:$A$141,"&gt;="&amp;MAX(AE$7,$J157),Calendar!$A$16:$A$141,"&lt;="&amp;MIN(AE$7+4,$K157))*$H157/$G157)))</x:f>
        <x:v>0</x:v>
      </x:c>
      <x:c r="AF157" s="8" t="str">
        <x:f>""</x:f>
      </x:c>
      <x:c r="AG157" s="46" t="str">
        <x:v>Production access, networking, permissions and quotas ready by Dec 4.</x:v>
      </x:c>
      <x:c r="AH157" s="46" t="str">
        <x:v>Submit early for preproduction/SIT readiness; no cost estimate for external IT.</x:v>
      </x:c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</x:row>
  </x:sheetData>
  <x:conditionalFormatting sqref="N8:AE157">
    <x:cfRule type="expression" dxfId="25" priority="1">
      <x:formula>AND($D8="Dev 1",ISNUMBER(N8),N8&gt;0)</x:formula>
    </x:cfRule>
    <x:cfRule type="expression" dxfId="26" priority="2">
      <x:formula>AND($D8="Dev 2",ISNUMBER(N8),N8&gt;0)</x:formula>
    </x:cfRule>
    <x:cfRule type="expression" dxfId="27" priority="3">
      <x:formula>AND($D8="DS",ISNUMBER(N8),N8&gt;0)</x:formula>
    </x:cfRule>
    <x:cfRule type="expression" dxfId="28" priority="4">
      <x:formula>AND($D8="Tester 1",ISNUMBER(N8),N8&gt;0)</x:formula>
    </x:cfRule>
    <x:cfRule type="expression" dxfId="29" priority="5">
      <x:formula>AND($D8="Tester 2",ISNUMBER(N8),N8&gt;0)</x:formula>
    </x:cfRule>
    <x:cfRule type="expression" dxfId="30" priority="6">
      <x:formula>AND($D8="BA",ISNUMBER(N8),N8&gt;0)</x:formula>
    </x:cfRule>
    <x:cfRule type="expression" dxfId="31" priority="7">
      <x:formula>AND($D8="UI/UX",ISNUMBER(N8),N8&gt;0)</x:formula>
    </x:cfRule>
    <x:cfRule type="expression" dxfId="32" priority="8">
      <x:formula>SUMIFS(Calendar!$C$16:$C$141,Calendar!$A$16:$A$141,"&gt;="&amp;N$7,Calendar!$A$16:$A$141,"&lt;="&amp;N$7+4)=0</x:formula>
    </x:cfRule>
  </x:conditionalFormatting>
  <x:conditionalFormatting sqref="M8:M157">
    <x:cfRule type="expression" dxfId="33" priority="9">
      <x:formula>$M8&lt;&gt;"Scheduled"</x:formula>
    </x:cfRule>
  </x:conditionalFormatting>
  <x:dataValidations count="1">
    <x:dataValidation type="decimal" operator="between" sqref="L8:L157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19" topLeftCell="C20" activePane="bottomRight" state="frozen"/>
    </x:sheetView>
  </x:sheetViews>
  <x:sheetFormatPr defaultRowHeight="15"/>
  <x:cols>
    <x:col min="1" max="1" width="18" hidden="0" customWidth="1"/>
    <x:col min="2" max="2" width="3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3" hidden="0" customWidth="1"/>
    <x:col min="22" max="22" width="2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>
      <x:c r="A2" s="3" t="str">
        <x:v>Resource Cost, Weekly Capacity, Responsibilities and Gates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>
      <x:c r="A4" s="2" t="str">
        <x:v>Planned utilization</x:v>
      </x:c>
      <x:c r="B4" s="53" t="n">
        <x:v>0.8</x:v>
      </x:c>
      <x:c r="C4" s="2"/>
      <x:c r="D4" s="2" t="str">
        <x:v>Daily rates assume USD 360 for all seven resources. Scheduled effort, not full payroll availability, is costed.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46" customHeight="1">
      <x:c r="A6" s="13" t="str">
        <x:v>Resource</x:v>
      </x:c>
      <x:c r="B6" s="13" t="str">
        <x:v>Scheduled days</x:v>
      </x:c>
      <x:c r="C6" s="13" t="str">
        <x:v>Rate (USD/day)</x:v>
      </x:c>
      <x:c r="D6" s="13" t="str">
        <x:v>Cost (USD)</x:v>
      </x:c>
      <x:c r="E6" s="13" t="str">
        <x:v>Available days</x:v>
      </x:c>
      <x:c r="F6" s="13" t="str">
        <x:v>Reserve days</x:v>
      </x:c>
      <x:c r="G6" s="13" t="str">
        <x:v>Capacity / input status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34" customHeight="1">
      <x:c r="A7" s="28" t="str">
        <x:v>Dev 1</x:v>
      </x:c>
      <x:c r="B7" s="9" t="n">
        <x:f>U20</x:f>
        <x:v>54.5</x:v>
      </x:c>
      <x:c r="C7" s="54" t="n">
        <x:v>360</x:v>
      </x:c>
      <x:c r="D7" s="8" t="n">
        <x:f>IF(OR(C7="",G7="Check tasks"),"CHECK",B7*C7)</x:f>
        <x:v>19620</x:v>
      </x:c>
      <x:c r="E7" s="9" t="n">
        <x:f>U21</x:f>
        <x:v>82</x:v>
      </x:c>
      <x:c r="F7" s="9" t="n">
        <x:f>E7-B7</x:f>
        <x:v>27.5</x:v>
      </x:c>
      <x:c r="G7" s="46" t="str">
        <x:f>V20</x:f>
        <x:v>Reserve available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34" customHeight="1">
      <x:c r="A8" s="26" t="str">
        <x:v>Dev 2</x:v>
      </x:c>
      <x:c r="B8" s="9" t="n">
        <x:f>U25</x:f>
        <x:v>55.5</x:v>
      </x:c>
      <x:c r="C8" s="54" t="n">
        <x:v>360</x:v>
      </x:c>
      <x:c r="D8" s="8" t="n">
        <x:f>IF(OR(C8="",G8="Check tasks"),"CHECK",B8*C8)</x:f>
        <x:v>19980</x:v>
      </x:c>
      <x:c r="E8" s="9" t="n">
        <x:f>U26</x:f>
        <x:v>82</x:v>
      </x:c>
      <x:c r="F8" s="9" t="n">
        <x:f>E8-B8</x:f>
        <x:v>26.5</x:v>
      </x:c>
      <x:c r="G8" s="46" t="str">
        <x:f>V25</x:f>
        <x:v>Reserve available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34" customHeight="1">
      <x:c r="A9" s="30" t="str">
        <x:v>DS</x:v>
      </x:c>
      <x:c r="B9" s="9" t="n">
        <x:f>U30</x:f>
        <x:v>61.4</x:v>
      </x:c>
      <x:c r="C9" s="54" t="n">
        <x:v>360</x:v>
      </x:c>
      <x:c r="D9" s="8" t="n">
        <x:f>IF(OR(C9="",G9="Check tasks"),"CHECK",B9*C9)</x:f>
        <x:v>22104</x:v>
      </x:c>
      <x:c r="E9" s="9" t="n">
        <x:f>U31</x:f>
        <x:v>82</x:v>
      </x:c>
      <x:c r="F9" s="9" t="n">
        <x:f>E9-B9</x:f>
        <x:v>20.6</x:v>
      </x:c>
      <x:c r="G9" s="46" t="str">
        <x:f>V30</x:f>
        <x:v>Reserve available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 ht="34" customHeight="1">
      <x:c r="A10" s="32" t="str">
        <x:v>Tester 1</x:v>
      </x:c>
      <x:c r="B10" s="9" t="n">
        <x:f>U35</x:f>
        <x:v>58.5</x:v>
      </x:c>
      <x:c r="C10" s="54" t="n">
        <x:v>360</x:v>
      </x:c>
      <x:c r="D10" s="8" t="n">
        <x:f>IF(OR(C10="",G10="Check tasks"),"CHECK",B10*C10)</x:f>
        <x:v>21060</x:v>
      </x:c>
      <x:c r="E10" s="9" t="n">
        <x:f>U36</x:f>
        <x:v>82</x:v>
      </x:c>
      <x:c r="F10" s="9" t="n">
        <x:f>E10-B10</x:f>
        <x:v>23.5</x:v>
      </x:c>
      <x:c r="G10" s="46" t="str">
        <x:f>V35</x:f>
        <x:v>Reserve available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 ht="34" customHeight="1">
      <x:c r="A11" s="34" t="str">
        <x:v>Tester 2</x:v>
      </x:c>
      <x:c r="B11" s="9" t="n">
        <x:f>U40</x:f>
        <x:v>58.5</x:v>
      </x:c>
      <x:c r="C11" s="54" t="n">
        <x:v>360</x:v>
      </x:c>
      <x:c r="D11" s="8" t="n">
        <x:f>IF(OR(C11="",G11="Check tasks"),"CHECK",B11*C11)</x:f>
        <x:v>21060</x:v>
      </x:c>
      <x:c r="E11" s="9" t="n">
        <x:f>U41</x:f>
        <x:v>82</x:v>
      </x:c>
      <x:c r="F11" s="9" t="n">
        <x:f>E11-B11</x:f>
        <x:v>23.5</x:v>
      </x:c>
      <x:c r="G11" s="46" t="str">
        <x:f>V40</x:f>
        <x:v>Reserve available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34" customHeight="1">
      <x:c r="A12" s="20" t="str">
        <x:v>BA</x:v>
      </x:c>
      <x:c r="B12" s="9" t="n">
        <x:f>U45</x:f>
        <x:v>49</x:v>
      </x:c>
      <x:c r="C12" s="54" t="n">
        <x:v>360</x:v>
      </x:c>
      <x:c r="D12" s="8" t="n">
        <x:f>IF(OR(C12="",G12="Check tasks"),"CHECK",B12*C12)</x:f>
        <x:v>17640</x:v>
      </x:c>
      <x:c r="E12" s="9" t="n">
        <x:f>U46</x:f>
        <x:v>82</x:v>
      </x:c>
      <x:c r="F12" s="9" t="n">
        <x:f>E12-B12</x:f>
        <x:v>33</x:v>
      </x:c>
      <x:c r="G12" s="46" t="str">
        <x:f>V45</x:f>
        <x:v>Reserve available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34" customHeight="1">
      <x:c r="A13" s="22" t="str">
        <x:v>UI/UX</x:v>
      </x:c>
      <x:c r="B13" s="9" t="n">
        <x:f>U50</x:f>
        <x:v>42</x:v>
      </x:c>
      <x:c r="C13" s="54" t="n">
        <x:v>360</x:v>
      </x:c>
      <x:c r="D13" s="8" t="n">
        <x:f>IF(OR(C13="",G13="Check tasks"),"CHECK",B13*C13)</x:f>
        <x:v>15120</x:v>
      </x:c>
      <x:c r="E13" s="9" t="n">
        <x:f>U51</x:f>
        <x:v>82</x:v>
      </x:c>
      <x:c r="F13" s="9" t="n">
        <x:f>E13-B13</x:f>
        <x:v>40</x:v>
      </x:c>
      <x:c r="G13" s="46" t="str">
        <x:f>V50</x:f>
        <x:v>Reserve available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30" customHeight="1">
      <x:c r="A15" s="55" t="str">
        <x:v>TOTAL</x:v>
      </x:c>
      <x:c r="B15" s="55" t="n">
        <x:f>SUM(B7:B13)</x:f>
        <x:v>379.4</x:v>
      </x:c>
      <x:c r="C15" s="55"/>
      <x:c r="D15" s="56" t="n">
        <x:f>IF(COUNT(D7:D13)=7,SUM(D7:D13),"CHECK")</x:f>
        <x:v>136584</x:v>
      </x:c>
      <x:c r="E15" s="55" t="n">
        <x:f>SUM(E7:E13)</x:f>
        <x:v>574</x:v>
      </x:c>
      <x:c r="F15" s="55" t="n">
        <x:f>E15-B15</x:f>
        <x:v>194.60000000000002</x:v>
      </x:c>
      <x:c r="G15" s="55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>
      <x:c r="A17" s="2" t="str">
        <x:v>Capacity already excludes shared leave. Enter only additional individual leave. Lower role allocation means planned part-time use, not extra headcount.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36" customHeight="1">
      <x:c r="A18" s="13" t="str">
        <x:v>Resource</x:v>
      </x:c>
      <x:c r="B18" s="13" t="str">
        <x:v>Measure</x:v>
      </x:c>
      <x:c r="C18" s="13" t="str">
        <x:v>W1</x:v>
      </x:c>
      <x:c r="D18" s="13" t="str">
        <x:v>W2</x:v>
      </x:c>
      <x:c r="E18" s="13" t="str">
        <x:v>W3</x:v>
      </x:c>
      <x:c r="F18" s="13" t="str">
        <x:v>W4</x:v>
      </x:c>
      <x:c r="G18" s="13" t="str">
        <x:v>W5</x:v>
      </x:c>
      <x:c r="H18" s="13" t="str">
        <x:v>W6</x:v>
      </x:c>
      <x:c r="I18" s="13" t="str">
        <x:v>W7</x:v>
      </x:c>
      <x:c r="J18" s="13" t="str">
        <x:v>W8</x:v>
      </x:c>
      <x:c r="K18" s="13" t="str">
        <x:v>W9</x:v>
      </x:c>
      <x:c r="L18" s="13" t="str">
        <x:v>W10</x:v>
      </x:c>
      <x:c r="M18" s="13" t="str">
        <x:v>W11</x:v>
      </x:c>
      <x:c r="N18" s="13" t="str">
        <x:v>W12</x:v>
      </x:c>
      <x:c r="O18" s="13" t="str">
        <x:v>W13</x:v>
      </x:c>
      <x:c r="P18" s="13" t="str">
        <x:v>W14</x:v>
      </x:c>
      <x:c r="Q18" s="13" t="str">
        <x:v>W15</x:v>
      </x:c>
      <x:c r="R18" s="13" t="str">
        <x:v>W16</x:v>
      </x:c>
      <x:c r="S18" s="13" t="str">
        <x:v>W17</x:v>
      </x:c>
      <x:c r="T18" s="13" t="str">
        <x:v>W18</x:v>
      </x:c>
      <x:c r="U18" s="13" t="str">
        <x:v>Total</x:v>
      </x:c>
      <x:c r="V18" s="13" t="str">
        <x:v>Status</x:v>
      </x:c>
    </x:row>
    <x:row r="19">
      <x:c r="A19" s="2"/>
      <x:c r="B19" s="2"/>
      <x:c r="C19" s="37" t="n">
        <x:f>'Delivery Timeline'!$B$4+0</x:f>
        <x:v>46328</x:v>
      </x:c>
      <x:c r="D19" s="37" t="n">
        <x:f>'Delivery Timeline'!$B$4+7</x:f>
        <x:v>46335</x:v>
      </x:c>
      <x:c r="E19" s="37" t="n">
        <x:f>'Delivery Timeline'!$B$4+14</x:f>
        <x:v>46342</x:v>
      </x:c>
      <x:c r="F19" s="37" t="n">
        <x:f>'Delivery Timeline'!$B$4+21</x:f>
        <x:v>46349</x:v>
      </x:c>
      <x:c r="G19" s="37" t="n">
        <x:f>'Delivery Timeline'!$B$4+28</x:f>
        <x:v>46356</x:v>
      </x:c>
      <x:c r="H19" s="37" t="n">
        <x:f>'Delivery Timeline'!$B$4+35</x:f>
        <x:v>46363</x:v>
      </x:c>
      <x:c r="I19" s="37" t="n">
        <x:f>'Delivery Timeline'!$B$4+42</x:f>
        <x:v>46370</x:v>
      </x:c>
      <x:c r="J19" s="37" t="n">
        <x:f>'Delivery Timeline'!$B$4+49</x:f>
        <x:v>46377</x:v>
      </x:c>
      <x:c r="K19" s="37" t="n">
        <x:f>'Delivery Timeline'!$B$4+56</x:f>
        <x:v>46384</x:v>
      </x:c>
      <x:c r="L19" s="37" t="n">
        <x:f>'Delivery Timeline'!$B$4+63</x:f>
        <x:v>46391</x:v>
      </x:c>
      <x:c r="M19" s="37" t="n">
        <x:f>'Delivery Timeline'!$B$4+70</x:f>
        <x:v>46398</x:v>
      </x:c>
      <x:c r="N19" s="37" t="n">
        <x:f>'Delivery Timeline'!$B$4+77</x:f>
        <x:v>46405</x:v>
      </x:c>
      <x:c r="O19" s="37" t="n">
        <x:f>'Delivery Timeline'!$B$4+84</x:f>
        <x:v>46412</x:v>
      </x:c>
      <x:c r="P19" s="37" t="n">
        <x:f>'Delivery Timeline'!$B$4+91</x:f>
        <x:v>46419</x:v>
      </x:c>
      <x:c r="Q19" s="37" t="n">
        <x:f>'Delivery Timeline'!$B$4+98</x:f>
        <x:v>46426</x:v>
      </x:c>
      <x:c r="R19" s="37" t="n">
        <x:f>'Delivery Timeline'!$B$4+105</x:f>
        <x:v>46433</x:v>
      </x:c>
      <x:c r="S19" s="37" t="n">
        <x:f>'Delivery Timeline'!$B$4+112</x:f>
        <x:v>46440</x:v>
      </x:c>
      <x:c r="T19" s="37" t="n">
        <x:f>'Delivery Timeline'!$B$4+119</x:f>
        <x:v>46447</x:v>
      </x:c>
      <x:c r="U19" s="2"/>
      <x:c r="V19" s="2"/>
    </x:row>
    <x:row r="20">
      <x:c r="A20" s="28" t="str">
        <x:v>Dev 1</x:v>
      </x:c>
      <x:c r="B20" s="2" t="str">
        <x:v>Scheduled days</x:v>
      </x:c>
      <x:c r="C20" s="9" t="n">
        <x:f>SUMIFS('Task Plan'!$N$8:$N$157,'Task Plan'!$D$8:$D$157,$A20)</x:f>
        <x:v>2</x:v>
      </x:c>
      <x:c r="D20" s="9" t="n">
        <x:f>SUMIFS('Task Plan'!$O$8:$O$157,'Task Plan'!$D$8:$D$157,$A20)</x:f>
        <x:v>2</x:v>
      </x:c>
      <x:c r="E20" s="9" t="n">
        <x:f>SUMIFS('Task Plan'!$P$8:$P$157,'Task Plan'!$D$8:$D$157,$A20)</x:f>
        <x:v>4</x:v>
      </x:c>
      <x:c r="F20" s="9" t="n">
        <x:f>SUMIFS('Task Plan'!$Q$8:$Q$157,'Task Plan'!$D$8:$D$157,$A20)</x:f>
        <x:v>4</x:v>
      </x:c>
      <x:c r="G20" s="9" t="n">
        <x:f>SUMIFS('Task Plan'!$R$8:$R$157,'Task Plan'!$D$8:$D$157,$A20)</x:f>
        <x:v>4</x:v>
      </x:c>
      <x:c r="H20" s="9" t="n">
        <x:f>SUMIFS('Task Plan'!$S$8:$S$157,'Task Plan'!$D$8:$D$157,$A20)</x:f>
        <x:v>4</x:v>
      </x:c>
      <x:c r="I20" s="9" t="n">
        <x:f>SUMIFS('Task Plan'!$T$8:$T$157,'Task Plan'!$D$8:$D$157,$A20)</x:f>
        <x:v>4</x:v>
      </x:c>
      <x:c r="J20" s="9" t="n">
        <x:f>SUMIFS('Task Plan'!$U$8:$U$157,'Task Plan'!$D$8:$D$157,$A20)</x:f>
        <x:v>4</x:v>
      </x:c>
      <x:c r="K20" s="9" t="n">
        <x:f>SUMIFS('Task Plan'!$V$8:$V$157,'Task Plan'!$D$8:$D$157,$A20)</x:f>
        <x:v>4</x:v>
      </x:c>
      <x:c r="L20" s="9" t="n">
        <x:f>SUMIFS('Task Plan'!$W$8:$W$157,'Task Plan'!$D$8:$D$157,$A20)</x:f>
        <x:v>3</x:v>
      </x:c>
      <x:c r="M20" s="9" t="n">
        <x:f>SUMIFS('Task Plan'!$X$8:$X$157,'Task Plan'!$D$8:$D$157,$A20)</x:f>
        <x:v>3</x:v>
      </x:c>
      <x:c r="N20" s="9" t="n">
        <x:f>SUMIFS('Task Plan'!$Y$8:$Y$157,'Task Plan'!$D$8:$D$157,$A20)</x:f>
        <x:v>3</x:v>
      </x:c>
      <x:c r="O20" s="9" t="n">
        <x:f>SUMIFS('Task Plan'!$Z$8:$Z$157,'Task Plan'!$D$8:$D$157,$A20)</x:f>
        <x:v>3</x:v>
      </x:c>
      <x:c r="P20" s="9" t="n">
        <x:f>SUMIFS('Task Plan'!$AA$8:$AA$157,'Task Plan'!$D$8:$D$157,$A20)</x:f>
        <x:v>1.5</x:v>
      </x:c>
      <x:c r="Q20" s="9" t="n">
        <x:f>SUMIFS('Task Plan'!$AB$8:$AB$157,'Task Plan'!$D$8:$D$157,$A20)</x:f>
        <x:v>0</x:v>
      </x:c>
      <x:c r="R20" s="9" t="n">
        <x:f>SUMIFS('Task Plan'!$AC$8:$AC$157,'Task Plan'!$D$8:$D$157,$A20)</x:f>
        <x:v>4</x:v>
      </x:c>
      <x:c r="S20" s="9" t="n">
        <x:f>SUMIFS('Task Plan'!$AD$8:$AD$157,'Task Plan'!$D$8:$D$157,$A20)</x:f>
        <x:v>3</x:v>
      </x:c>
      <x:c r="T20" s="9" t="n">
        <x:f>SUMIFS('Task Plan'!$AE$8:$AE$157,'Task Plan'!$D$8:$D$157,$A20)</x:f>
        <x:v>2</x:v>
      </x:c>
      <x:c r="U20" s="9" t="n">
        <x:f>SUM(C20:T20)</x:f>
        <x:v>54.5</x:v>
      </x:c>
      <x:c r="V20" s="2" t="str">
        <x:f>IF(COUNTIFS('Task Plan'!$D$8:$D$157,$A20,'Task Plan'!$M$8:$M$157,"&lt;&gt;Scheduled")&gt;0,"Check tasks",IF(MIN(C23:T23)&lt;0,"Week overloaded",IF(OR(C20&gt;C21*$B$4,D20&gt;D21*$B$4,E20&gt;E21*$B$4,F20&gt;F21*$B$4,G20&gt;G21*$B$4,H20&gt;H21*$B$4,I20&gt;I21*$B$4,J20&gt;J21*$B$4,K20&gt;K21*$B$4,L20&gt;L21*$B$4,M20&gt;M21*$B$4,N20&gt;N21*$B$4,O20&gt;O21*$B$4,P20&gt;P21*$B$4,Q20&gt;Q21*$B$4,R20&gt;R21*$B$4,S20&gt;S21*$B$4,T20&gt;T21*$B$4),"Reserve reduced","Reserve available")))</x:f>
        <x:v>Reserve available</x:v>
      </x:c>
    </x:row>
    <x:row r="21">
      <x:c r="A21" s="28" t="str">
        <x:v>Dev 1</x:v>
      </x:c>
      <x:c r="B21" s="2" t="str">
        <x:v>Available days</x:v>
      </x:c>
      <x:c r="C21" s="9" t="n">
        <x:f>MAX(0,SUMIFS(Calendar!$C$16:$C$141,Calendar!$A$16:$A$141,"&gt;="&amp;C$19,Calendar!$A$16:$A$141,"&lt;="&amp;C$19+4)-C22)</x:f>
        <x:v>5</x:v>
      </x:c>
      <x:c r="D21" s="9" t="n">
        <x:f>MAX(0,SUMIFS(Calendar!$C$16:$C$141,Calendar!$A$16:$A$141,"&gt;="&amp;D$19,Calendar!$A$16:$A$141,"&lt;="&amp;D$19+4)-D22)</x:f>
        <x:v>5</x:v>
      </x:c>
      <x:c r="E21" s="9" t="n">
        <x:f>MAX(0,SUMIFS(Calendar!$C$16:$C$141,Calendar!$A$16:$A$141,"&gt;="&amp;E$19,Calendar!$A$16:$A$141,"&lt;="&amp;E$19+4)-E22)</x:f>
        <x:v>5</x:v>
      </x:c>
      <x:c r="F21" s="9" t="n">
        <x:f>MAX(0,SUMIFS(Calendar!$C$16:$C$141,Calendar!$A$16:$A$141,"&gt;="&amp;F$19,Calendar!$A$16:$A$141,"&lt;="&amp;F$19+4)-F22)</x:f>
        <x:v>5</x:v>
      </x:c>
      <x:c r="G21" s="9" t="n">
        <x:f>MAX(0,SUMIFS(Calendar!$C$16:$C$141,Calendar!$A$16:$A$141,"&gt;="&amp;G$19,Calendar!$A$16:$A$141,"&lt;="&amp;G$19+4)-G22)</x:f>
        <x:v>5</x:v>
      </x:c>
      <x:c r="H21" s="9" t="n">
        <x:f>MAX(0,SUMIFS(Calendar!$C$16:$C$141,Calendar!$A$16:$A$141,"&gt;="&amp;H$19,Calendar!$A$16:$A$141,"&lt;="&amp;H$19+4)-H22)</x:f>
        <x:v>5</x:v>
      </x:c>
      <x:c r="I21" s="9" t="n">
        <x:f>MAX(0,SUMIFS(Calendar!$C$16:$C$141,Calendar!$A$16:$A$141,"&gt;="&amp;I$19,Calendar!$A$16:$A$141,"&lt;="&amp;I$19+4)-I22)</x:f>
        <x:v>5</x:v>
      </x:c>
      <x:c r="J21" s="9" t="n">
        <x:f>MAX(0,SUMIFS(Calendar!$C$16:$C$141,Calendar!$A$16:$A$141,"&gt;="&amp;J$19,Calendar!$A$16:$A$141,"&lt;="&amp;J$19+4)-J22)</x:f>
        <x:v>5</x:v>
      </x:c>
      <x:c r="K21" s="9" t="n">
        <x:f>MAX(0,SUMIFS(Calendar!$C$16:$C$141,Calendar!$A$16:$A$141,"&gt;="&amp;K$19,Calendar!$A$16:$A$141,"&lt;="&amp;K$19+4)-K22)</x:f>
        <x:v>5</x:v>
      </x:c>
      <x:c r="L21" s="9" t="n">
        <x:f>MAX(0,SUMIFS(Calendar!$C$16:$C$141,Calendar!$A$16:$A$141,"&gt;="&amp;L$19,Calendar!$A$16:$A$141,"&lt;="&amp;L$19+4)-L22)</x:f>
        <x:v>5</x:v>
      </x:c>
      <x:c r="M21" s="9" t="n">
        <x:f>MAX(0,SUMIFS(Calendar!$C$16:$C$141,Calendar!$A$16:$A$141,"&gt;="&amp;M$19,Calendar!$A$16:$A$141,"&lt;="&amp;M$19+4)-M22)</x:f>
        <x:v>5</x:v>
      </x:c>
      <x:c r="N21" s="9" t="n">
        <x:f>MAX(0,SUMIFS(Calendar!$C$16:$C$141,Calendar!$A$16:$A$141,"&gt;="&amp;N$19,Calendar!$A$16:$A$141,"&lt;="&amp;N$19+4)-N22)</x:f>
        <x:v>5</x:v>
      </x:c>
      <x:c r="O21" s="9" t="n">
        <x:f>MAX(0,SUMIFS(Calendar!$C$16:$C$141,Calendar!$A$16:$A$141,"&gt;="&amp;O$19,Calendar!$A$16:$A$141,"&lt;="&amp;O$19+4)-O22)</x:f>
        <x:v>5</x:v>
      </x:c>
      <x:c r="P21" s="9" t="n">
        <x:f>MAX(0,SUMIFS(Calendar!$C$16:$C$141,Calendar!$A$16:$A$141,"&gt;="&amp;P$19,Calendar!$A$16:$A$141,"&lt;="&amp;P$19+4)-P22)</x:f>
        <x:v>2</x:v>
      </x:c>
      <x:c r="Q21" s="9" t="n">
        <x:f>MAX(0,SUMIFS(Calendar!$C$16:$C$141,Calendar!$A$16:$A$141,"&gt;="&amp;Q$19,Calendar!$A$16:$A$141,"&lt;="&amp;Q$19+4)-Q22)</x:f>
        <x:v>0</x:v>
      </x:c>
      <x:c r="R21" s="9" t="n">
        <x:f>MAX(0,SUMIFS(Calendar!$C$16:$C$141,Calendar!$A$16:$A$141,"&gt;="&amp;R$19,Calendar!$A$16:$A$141,"&lt;="&amp;R$19+4)-R22)</x:f>
        <x:v>5</x:v>
      </x:c>
      <x:c r="S21" s="9" t="n">
        <x:f>MAX(0,SUMIFS(Calendar!$C$16:$C$141,Calendar!$A$16:$A$141,"&gt;="&amp;S$19,Calendar!$A$16:$A$141,"&lt;="&amp;S$19+4)-S22)</x:f>
        <x:v>5</x:v>
      </x:c>
      <x:c r="T21" s="9" t="n">
        <x:f>MAX(0,SUMIFS(Calendar!$C$16:$C$141,Calendar!$A$16:$A$141,"&gt;="&amp;T$19,Calendar!$A$16:$A$141,"&lt;="&amp;T$19+4)-T22)</x:f>
        <x:v>5</x:v>
      </x:c>
      <x:c r="U21" s="9" t="n">
        <x:f>SUM(C21:T21)</x:f>
        <x:v>82</x:v>
      </x:c>
      <x:c r="V21" s="2"/>
    </x:row>
    <x:row r="22">
      <x:c r="A22" s="28" t="str">
        <x:v>Dev 1</x:v>
      </x:c>
      <x:c r="B22" s="2" t="str">
        <x:v>Extra leave (input)</x:v>
      </x:c>
      <x:c r="C22" s="51" t="n">
        <x:v>0</x:v>
      </x:c>
      <x:c r="D22" s="51" t="n">
        <x:v>0</x:v>
      </x:c>
      <x:c r="E22" s="51" t="n">
        <x:v>0</x:v>
      </x:c>
      <x:c r="F22" s="51" t="n">
        <x:v>0</x:v>
      </x:c>
      <x:c r="G22" s="51" t="n">
        <x:v>0</x:v>
      </x:c>
      <x:c r="H22" s="51" t="n">
        <x:v>0</x:v>
      </x:c>
      <x:c r="I22" s="51" t="n">
        <x:v>0</x:v>
      </x:c>
      <x:c r="J22" s="51" t="n">
        <x:v>0</x:v>
      </x:c>
      <x:c r="K22" s="51" t="n">
        <x:v>0</x:v>
      </x:c>
      <x:c r="L22" s="51" t="n">
        <x:v>0</x:v>
      </x:c>
      <x:c r="M22" s="51" t="n">
        <x:v>0</x:v>
      </x:c>
      <x:c r="N22" s="51" t="n">
        <x:v>0</x:v>
      </x:c>
      <x:c r="O22" s="51" t="n">
        <x:v>0</x:v>
      </x:c>
      <x:c r="P22" s="51" t="n">
        <x:v>0</x:v>
      </x:c>
      <x:c r="Q22" s="51" t="n">
        <x:v>0</x:v>
      </x:c>
      <x:c r="R22" s="51" t="n">
        <x:v>0</x:v>
      </x:c>
      <x:c r="S22" s="51" t="n">
        <x:v>0</x:v>
      </x:c>
      <x:c r="T22" s="51" t="n">
        <x:v>0</x:v>
      </x:c>
      <x:c r="U22" s="9" t="n">
        <x:f>SUM(C22:T22)</x:f>
        <x:v>0</x:v>
      </x:c>
      <x:c r="V22" s="2"/>
    </x:row>
    <x:row r="23">
      <x:c r="A23" s="28" t="str">
        <x:v>Dev 1</x:v>
      </x:c>
      <x:c r="B23" s="2" t="str">
        <x:v>Unassigned days</x:v>
      </x:c>
      <x:c r="C23" s="9" t="n">
        <x:f>C21-C20</x:f>
        <x:v>3</x:v>
      </x:c>
      <x:c r="D23" s="9" t="n">
        <x:f>D21-D20</x:f>
        <x:v>3</x:v>
      </x:c>
      <x:c r="E23" s="9" t="n">
        <x:f>E21-E20</x:f>
        <x:v>1</x:v>
      </x:c>
      <x:c r="F23" s="9" t="n">
        <x:f>F21-F20</x:f>
        <x:v>1</x:v>
      </x:c>
      <x:c r="G23" s="9" t="n">
        <x:f>G21-G20</x:f>
        <x:v>1</x:v>
      </x:c>
      <x:c r="H23" s="9" t="n">
        <x:f>H21-H20</x:f>
        <x:v>1</x:v>
      </x:c>
      <x:c r="I23" s="9" t="n">
        <x:f>I21-I20</x:f>
        <x:v>1</x:v>
      </x:c>
      <x:c r="J23" s="9" t="n">
        <x:f>J21-J20</x:f>
        <x:v>1</x:v>
      </x:c>
      <x:c r="K23" s="9" t="n">
        <x:f>K21-K20</x:f>
        <x:v>1</x:v>
      </x:c>
      <x:c r="L23" s="9" t="n">
        <x:f>L21-L20</x:f>
        <x:v>2</x:v>
      </x:c>
      <x:c r="M23" s="9" t="n">
        <x:f>M21-M20</x:f>
        <x:v>2</x:v>
      </x:c>
      <x:c r="N23" s="9" t="n">
        <x:f>N21-N20</x:f>
        <x:v>2</x:v>
      </x:c>
      <x:c r="O23" s="9" t="n">
        <x:f>O21-O20</x:f>
        <x:v>2</x:v>
      </x:c>
      <x:c r="P23" s="9" t="n">
        <x:f>P21-P20</x:f>
        <x:v>0.5</x:v>
      </x:c>
      <x:c r="Q23" s="9" t="n">
        <x:f>Q21-Q20</x:f>
        <x:v>0</x:v>
      </x:c>
      <x:c r="R23" s="9" t="n">
        <x:f>R21-R20</x:f>
        <x:v>1</x:v>
      </x:c>
      <x:c r="S23" s="9" t="n">
        <x:f>S21-S20</x:f>
        <x:v>2</x:v>
      </x:c>
      <x:c r="T23" s="9" t="n">
        <x:f>T21-T20</x:f>
        <x:v>3</x:v>
      </x:c>
      <x:c r="U23" s="9" t="n">
        <x:f>SUM(C23:T23)</x:f>
        <x:v>27.5</x:v>
      </x:c>
      <x:c r="V23" s="2"/>
    </x:row>
    <x:row r="24">
      <x:c r="A24" s="2"/>
      <x:c r="B24" s="2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2"/>
    </x:row>
    <x:row r="25">
      <x:c r="A25" s="26" t="str">
        <x:v>Dev 2</x:v>
      </x:c>
      <x:c r="B25" s="2" t="str">
        <x:v>Scheduled days</x:v>
      </x:c>
      <x:c r="C25" s="9" t="n">
        <x:f>SUMIFS('Task Plan'!$N$8:$N$157,'Task Plan'!$D$8:$D$157,$A25)</x:f>
        <x:v>2</x:v>
      </x:c>
      <x:c r="D25" s="9" t="n">
        <x:f>SUMIFS('Task Plan'!$O$8:$O$157,'Task Plan'!$D$8:$D$157,$A25)</x:f>
        <x:v>2</x:v>
      </x:c>
      <x:c r="E25" s="9" t="n">
        <x:f>SUMIFS('Task Plan'!$P$8:$P$157,'Task Plan'!$D$8:$D$157,$A25)</x:f>
        <x:v>4</x:v>
      </x:c>
      <x:c r="F25" s="9" t="n">
        <x:f>SUMIFS('Task Plan'!$Q$8:$Q$157,'Task Plan'!$D$8:$D$157,$A25)</x:f>
        <x:v>4</x:v>
      </x:c>
      <x:c r="G25" s="9" t="n">
        <x:f>SUMIFS('Task Plan'!$R$8:$R$157,'Task Plan'!$D$8:$D$157,$A25)</x:f>
        <x:v>4</x:v>
      </x:c>
      <x:c r="H25" s="9" t="n">
        <x:f>SUMIFS('Task Plan'!$S$8:$S$157,'Task Plan'!$D$8:$D$157,$A25)</x:f>
        <x:v>4</x:v>
      </x:c>
      <x:c r="I25" s="9" t="n">
        <x:f>SUMIFS('Task Plan'!$T$8:$T$157,'Task Plan'!$D$8:$D$157,$A25)</x:f>
        <x:v>4</x:v>
      </x:c>
      <x:c r="J25" s="9" t="n">
        <x:f>SUMIFS('Task Plan'!$U$8:$U$157,'Task Plan'!$D$8:$D$157,$A25)</x:f>
        <x:v>4</x:v>
      </x:c>
      <x:c r="K25" s="9" t="n">
        <x:f>SUMIFS('Task Plan'!$V$8:$V$157,'Task Plan'!$D$8:$D$157,$A25)</x:f>
        <x:v>4</x:v>
      </x:c>
      <x:c r="L25" s="9" t="n">
        <x:f>SUMIFS('Task Plan'!$W$8:$W$157,'Task Plan'!$D$8:$D$157,$A25)</x:f>
        <x:v>3</x:v>
      </x:c>
      <x:c r="M25" s="9" t="n">
        <x:f>SUMIFS('Task Plan'!$X$8:$X$157,'Task Plan'!$D$8:$D$157,$A25)</x:f>
        <x:v>3</x:v>
      </x:c>
      <x:c r="N25" s="9" t="n">
        <x:f>SUMIFS('Task Plan'!$Y$8:$Y$157,'Task Plan'!$D$8:$D$157,$A25)</x:f>
        <x:v>3</x:v>
      </x:c>
      <x:c r="O25" s="9" t="n">
        <x:f>SUMIFS('Task Plan'!$Z$8:$Z$157,'Task Plan'!$D$8:$D$157,$A25)</x:f>
        <x:v>3</x:v>
      </x:c>
      <x:c r="P25" s="9" t="n">
        <x:f>SUMIFS('Task Plan'!$AA$8:$AA$157,'Task Plan'!$D$8:$D$157,$A25)</x:f>
        <x:v>1.5</x:v>
      </x:c>
      <x:c r="Q25" s="9" t="n">
        <x:f>SUMIFS('Task Plan'!$AB$8:$AB$157,'Task Plan'!$D$8:$D$157,$A25)</x:f>
        <x:v>0</x:v>
      </x:c>
      <x:c r="R25" s="9" t="n">
        <x:f>SUMIFS('Task Plan'!$AC$8:$AC$157,'Task Plan'!$D$8:$D$157,$A25)</x:f>
        <x:v>4</x:v>
      </x:c>
      <x:c r="S25" s="9" t="n">
        <x:f>SUMIFS('Task Plan'!$AD$8:$AD$157,'Task Plan'!$D$8:$D$157,$A25)</x:f>
        <x:v>3</x:v>
      </x:c>
      <x:c r="T25" s="9" t="n">
        <x:f>SUMIFS('Task Plan'!$AE$8:$AE$157,'Task Plan'!$D$8:$D$157,$A25)</x:f>
        <x:v>3</x:v>
      </x:c>
      <x:c r="U25" s="9" t="n">
        <x:f>SUM(C25:T25)</x:f>
        <x:v>55.5</x:v>
      </x:c>
      <x:c r="V25" s="2" t="str">
        <x:f>IF(COUNTIFS('Task Plan'!$D$8:$D$157,$A25,'Task Plan'!$M$8:$M$157,"&lt;&gt;Scheduled")&gt;0,"Check tasks",IF(MIN(C28:T28)&lt;0,"Week overloaded",IF(OR(C25&gt;C26*$B$4,D25&gt;D26*$B$4,E25&gt;E26*$B$4,F25&gt;F26*$B$4,G25&gt;G26*$B$4,H25&gt;H26*$B$4,I25&gt;I26*$B$4,J25&gt;J26*$B$4,K25&gt;K26*$B$4,L25&gt;L26*$B$4,M25&gt;M26*$B$4,N25&gt;N26*$B$4,O25&gt;O26*$B$4,P25&gt;P26*$B$4,Q25&gt;Q26*$B$4,R25&gt;R26*$B$4,S25&gt;S26*$B$4,T25&gt;T26*$B$4),"Reserve reduced","Reserve available")))</x:f>
        <x:v>Reserve available</x:v>
      </x:c>
    </x:row>
    <x:row r="26">
      <x:c r="A26" s="26" t="str">
        <x:v>Dev 2</x:v>
      </x:c>
      <x:c r="B26" s="2" t="str">
        <x:v>Available days</x:v>
      </x:c>
      <x:c r="C26" s="9" t="n">
        <x:f>MAX(0,SUMIFS(Calendar!$C$16:$C$141,Calendar!$A$16:$A$141,"&gt;="&amp;C$19,Calendar!$A$16:$A$141,"&lt;="&amp;C$19+4)-C27)</x:f>
        <x:v>5</x:v>
      </x:c>
      <x:c r="D26" s="9" t="n">
        <x:f>MAX(0,SUMIFS(Calendar!$C$16:$C$141,Calendar!$A$16:$A$141,"&gt;="&amp;D$19,Calendar!$A$16:$A$141,"&lt;="&amp;D$19+4)-D27)</x:f>
        <x:v>5</x:v>
      </x:c>
      <x:c r="E26" s="9" t="n">
        <x:f>MAX(0,SUMIFS(Calendar!$C$16:$C$141,Calendar!$A$16:$A$141,"&gt;="&amp;E$19,Calendar!$A$16:$A$141,"&lt;="&amp;E$19+4)-E27)</x:f>
        <x:v>5</x:v>
      </x:c>
      <x:c r="F26" s="9" t="n">
        <x:f>MAX(0,SUMIFS(Calendar!$C$16:$C$141,Calendar!$A$16:$A$141,"&gt;="&amp;F$19,Calendar!$A$16:$A$141,"&lt;="&amp;F$19+4)-F27)</x:f>
        <x:v>5</x:v>
      </x:c>
      <x:c r="G26" s="9" t="n">
        <x:f>MAX(0,SUMIFS(Calendar!$C$16:$C$141,Calendar!$A$16:$A$141,"&gt;="&amp;G$19,Calendar!$A$16:$A$141,"&lt;="&amp;G$19+4)-G27)</x:f>
        <x:v>5</x:v>
      </x:c>
      <x:c r="H26" s="9" t="n">
        <x:f>MAX(0,SUMIFS(Calendar!$C$16:$C$141,Calendar!$A$16:$A$141,"&gt;="&amp;H$19,Calendar!$A$16:$A$141,"&lt;="&amp;H$19+4)-H27)</x:f>
        <x:v>5</x:v>
      </x:c>
      <x:c r="I26" s="9" t="n">
        <x:f>MAX(0,SUMIFS(Calendar!$C$16:$C$141,Calendar!$A$16:$A$141,"&gt;="&amp;I$19,Calendar!$A$16:$A$141,"&lt;="&amp;I$19+4)-I27)</x:f>
        <x:v>5</x:v>
      </x:c>
      <x:c r="J26" s="9" t="n">
        <x:f>MAX(0,SUMIFS(Calendar!$C$16:$C$141,Calendar!$A$16:$A$141,"&gt;="&amp;J$19,Calendar!$A$16:$A$141,"&lt;="&amp;J$19+4)-J27)</x:f>
        <x:v>5</x:v>
      </x:c>
      <x:c r="K26" s="9" t="n">
        <x:f>MAX(0,SUMIFS(Calendar!$C$16:$C$141,Calendar!$A$16:$A$141,"&gt;="&amp;K$19,Calendar!$A$16:$A$141,"&lt;="&amp;K$19+4)-K27)</x:f>
        <x:v>5</x:v>
      </x:c>
      <x:c r="L26" s="9" t="n">
        <x:f>MAX(0,SUMIFS(Calendar!$C$16:$C$141,Calendar!$A$16:$A$141,"&gt;="&amp;L$19,Calendar!$A$16:$A$141,"&lt;="&amp;L$19+4)-L27)</x:f>
        <x:v>5</x:v>
      </x:c>
      <x:c r="M26" s="9" t="n">
        <x:f>MAX(0,SUMIFS(Calendar!$C$16:$C$141,Calendar!$A$16:$A$141,"&gt;="&amp;M$19,Calendar!$A$16:$A$141,"&lt;="&amp;M$19+4)-M27)</x:f>
        <x:v>5</x:v>
      </x:c>
      <x:c r="N26" s="9" t="n">
        <x:f>MAX(0,SUMIFS(Calendar!$C$16:$C$141,Calendar!$A$16:$A$141,"&gt;="&amp;N$19,Calendar!$A$16:$A$141,"&lt;="&amp;N$19+4)-N27)</x:f>
        <x:v>5</x:v>
      </x:c>
      <x:c r="O26" s="9" t="n">
        <x:f>MAX(0,SUMIFS(Calendar!$C$16:$C$141,Calendar!$A$16:$A$141,"&gt;="&amp;O$19,Calendar!$A$16:$A$141,"&lt;="&amp;O$19+4)-O27)</x:f>
        <x:v>5</x:v>
      </x:c>
      <x:c r="P26" s="9" t="n">
        <x:f>MAX(0,SUMIFS(Calendar!$C$16:$C$141,Calendar!$A$16:$A$141,"&gt;="&amp;P$19,Calendar!$A$16:$A$141,"&lt;="&amp;P$19+4)-P27)</x:f>
        <x:v>2</x:v>
      </x:c>
      <x:c r="Q26" s="9" t="n">
        <x:f>MAX(0,SUMIFS(Calendar!$C$16:$C$141,Calendar!$A$16:$A$141,"&gt;="&amp;Q$19,Calendar!$A$16:$A$141,"&lt;="&amp;Q$19+4)-Q27)</x:f>
        <x:v>0</x:v>
      </x:c>
      <x:c r="R26" s="9" t="n">
        <x:f>MAX(0,SUMIFS(Calendar!$C$16:$C$141,Calendar!$A$16:$A$141,"&gt;="&amp;R$19,Calendar!$A$16:$A$141,"&lt;="&amp;R$19+4)-R27)</x:f>
        <x:v>5</x:v>
      </x:c>
      <x:c r="S26" s="9" t="n">
        <x:f>MAX(0,SUMIFS(Calendar!$C$16:$C$141,Calendar!$A$16:$A$141,"&gt;="&amp;S$19,Calendar!$A$16:$A$141,"&lt;="&amp;S$19+4)-S27)</x:f>
        <x:v>5</x:v>
      </x:c>
      <x:c r="T26" s="9" t="n">
        <x:f>MAX(0,SUMIFS(Calendar!$C$16:$C$141,Calendar!$A$16:$A$141,"&gt;="&amp;T$19,Calendar!$A$16:$A$141,"&lt;="&amp;T$19+4)-T27)</x:f>
        <x:v>5</x:v>
      </x:c>
      <x:c r="U26" s="9" t="n">
        <x:f>SUM(C26:T26)</x:f>
        <x:v>82</x:v>
      </x:c>
      <x:c r="V26" s="2"/>
    </x:row>
    <x:row r="27">
      <x:c r="A27" s="26" t="str">
        <x:v>Dev 2</x:v>
      </x:c>
      <x:c r="B27" s="2" t="str">
        <x:v>Extra leave (input)</x:v>
      </x:c>
      <x:c r="C27" s="51" t="n">
        <x:v>0</x:v>
      </x:c>
      <x:c r="D27" s="51" t="n">
        <x:v>0</x:v>
      </x:c>
      <x:c r="E27" s="51" t="n">
        <x:v>0</x:v>
      </x:c>
      <x:c r="F27" s="51" t="n">
        <x:v>0</x:v>
      </x:c>
      <x:c r="G27" s="51" t="n">
        <x:v>0</x:v>
      </x:c>
      <x:c r="H27" s="51" t="n">
        <x:v>0</x:v>
      </x:c>
      <x:c r="I27" s="51" t="n">
        <x:v>0</x:v>
      </x:c>
      <x:c r="J27" s="51" t="n">
        <x:v>0</x:v>
      </x:c>
      <x:c r="K27" s="51" t="n">
        <x:v>0</x:v>
      </x:c>
      <x:c r="L27" s="51" t="n">
        <x:v>0</x:v>
      </x:c>
      <x:c r="M27" s="51" t="n">
        <x:v>0</x:v>
      </x:c>
      <x:c r="N27" s="51" t="n">
        <x:v>0</x:v>
      </x:c>
      <x:c r="O27" s="51" t="n">
        <x:v>0</x:v>
      </x:c>
      <x:c r="P27" s="51" t="n">
        <x:v>0</x:v>
      </x:c>
      <x:c r="Q27" s="51" t="n">
        <x:v>0</x:v>
      </x:c>
      <x:c r="R27" s="51" t="n">
        <x:v>0</x:v>
      </x:c>
      <x:c r="S27" s="51" t="n">
        <x:v>0</x:v>
      </x:c>
      <x:c r="T27" s="51" t="n">
        <x:v>0</x:v>
      </x:c>
      <x:c r="U27" s="9" t="n">
        <x:f>SUM(C27:T27)</x:f>
        <x:v>0</x:v>
      </x:c>
      <x:c r="V27" s="2"/>
    </x:row>
    <x:row r="28">
      <x:c r="A28" s="26" t="str">
        <x:v>Dev 2</x:v>
      </x:c>
      <x:c r="B28" s="2" t="str">
        <x:v>Unassigned days</x:v>
      </x:c>
      <x:c r="C28" s="9" t="n">
        <x:f>C26-C25</x:f>
        <x:v>3</x:v>
      </x:c>
      <x:c r="D28" s="9" t="n">
        <x:f>D26-D25</x:f>
        <x:v>3</x:v>
      </x:c>
      <x:c r="E28" s="9" t="n">
        <x:f>E26-E25</x:f>
        <x:v>1</x:v>
      </x:c>
      <x:c r="F28" s="9" t="n">
        <x:f>F26-F25</x:f>
        <x:v>1</x:v>
      </x:c>
      <x:c r="G28" s="9" t="n">
        <x:f>G26-G25</x:f>
        <x:v>1</x:v>
      </x:c>
      <x:c r="H28" s="9" t="n">
        <x:f>H26-H25</x:f>
        <x:v>1</x:v>
      </x:c>
      <x:c r="I28" s="9" t="n">
        <x:f>I26-I25</x:f>
        <x:v>1</x:v>
      </x:c>
      <x:c r="J28" s="9" t="n">
        <x:f>J26-J25</x:f>
        <x:v>1</x:v>
      </x:c>
      <x:c r="K28" s="9" t="n">
        <x:f>K26-K25</x:f>
        <x:v>1</x:v>
      </x:c>
      <x:c r="L28" s="9" t="n">
        <x:f>L26-L25</x:f>
        <x:v>2</x:v>
      </x:c>
      <x:c r="M28" s="9" t="n">
        <x:f>M26-M25</x:f>
        <x:v>2</x:v>
      </x:c>
      <x:c r="N28" s="9" t="n">
        <x:f>N26-N25</x:f>
        <x:v>2</x:v>
      </x:c>
      <x:c r="O28" s="9" t="n">
        <x:f>O26-O25</x:f>
        <x:v>2</x:v>
      </x:c>
      <x:c r="P28" s="9" t="n">
        <x:f>P26-P25</x:f>
        <x:v>0.5</x:v>
      </x:c>
      <x:c r="Q28" s="9" t="n">
        <x:f>Q26-Q25</x:f>
        <x:v>0</x:v>
      </x:c>
      <x:c r="R28" s="9" t="n">
        <x:f>R26-R25</x:f>
        <x:v>1</x:v>
      </x:c>
      <x:c r="S28" s="9" t="n">
        <x:f>S26-S25</x:f>
        <x:v>2</x:v>
      </x:c>
      <x:c r="T28" s="9" t="n">
        <x:f>T26-T25</x:f>
        <x:v>2</x:v>
      </x:c>
      <x:c r="U28" s="9" t="n">
        <x:f>SUM(C28:T28)</x:f>
        <x:v>26.5</x:v>
      </x:c>
      <x:c r="V28" s="2"/>
    </x:row>
    <x:row r="29">
      <x:c r="A29" s="2"/>
      <x:c r="B29" s="2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2"/>
    </x:row>
    <x:row r="30">
      <x:c r="A30" s="30" t="str">
        <x:v>DS</x:v>
      </x:c>
      <x:c r="B30" s="2" t="str">
        <x:v>Scheduled days</x:v>
      </x:c>
      <x:c r="C30" s="9" t="n">
        <x:f>SUMIFS('Task Plan'!$N$8:$N$157,'Task Plan'!$D$8:$D$157,$A30)</x:f>
        <x:v>4</x:v>
      </x:c>
      <x:c r="D30" s="9" t="n">
        <x:f>SUMIFS('Task Plan'!$O$8:$O$157,'Task Plan'!$D$8:$D$157,$A30)</x:f>
        <x:v>4</x:v>
      </x:c>
      <x:c r="E30" s="9" t="n">
        <x:f>SUMIFS('Task Plan'!$P$8:$P$157,'Task Plan'!$D$8:$D$157,$A30)</x:f>
        <x:v>4</x:v>
      </x:c>
      <x:c r="F30" s="9" t="n">
        <x:f>SUMIFS('Task Plan'!$Q$8:$Q$157,'Task Plan'!$D$8:$D$157,$A30)</x:f>
        <x:v>4</x:v>
      </x:c>
      <x:c r="G30" s="9" t="n">
        <x:f>SUMIFS('Task Plan'!$R$8:$R$157,'Task Plan'!$D$8:$D$157,$A30)</x:f>
        <x:v>4</x:v>
      </x:c>
      <x:c r="H30" s="9" t="n">
        <x:f>SUMIFS('Task Plan'!$S$8:$S$157,'Task Plan'!$D$8:$D$157,$A30)</x:f>
        <x:v>4</x:v>
      </x:c>
      <x:c r="I30" s="9" t="n">
        <x:f>SUMIFS('Task Plan'!$T$8:$T$157,'Task Plan'!$D$8:$D$157,$A30)</x:f>
        <x:v>4</x:v>
      </x:c>
      <x:c r="J30" s="9" t="n">
        <x:f>SUMIFS('Task Plan'!$U$8:$U$157,'Task Plan'!$D$8:$D$157,$A30)</x:f>
        <x:v>4</x:v>
      </x:c>
      <x:c r="K30" s="9" t="n">
        <x:f>SUMIFS('Task Plan'!$V$8:$V$157,'Task Plan'!$D$8:$D$157,$A30)</x:f>
        <x:v>4</x:v>
      </x:c>
      <x:c r="L30" s="9" t="n">
        <x:f>SUMIFS('Task Plan'!$W$8:$W$157,'Task Plan'!$D$8:$D$157,$A30)</x:f>
        <x:v>4</x:v>
      </x:c>
      <x:c r="M30" s="9" t="n">
        <x:f>SUMIFS('Task Plan'!$X$8:$X$157,'Task Plan'!$D$8:$D$157,$A30)</x:f>
        <x:v>4</x:v>
      </x:c>
      <x:c r="N30" s="9" t="n">
        <x:f>SUMIFS('Task Plan'!$Y$8:$Y$157,'Task Plan'!$D$8:$D$157,$A30)</x:f>
        <x:v>4</x:v>
      </x:c>
      <x:c r="O30" s="9" t="n">
        <x:f>SUMIFS('Task Plan'!$Z$8:$Z$157,'Task Plan'!$D$8:$D$157,$A30)</x:f>
        <x:v>4</x:v>
      </x:c>
      <x:c r="P30" s="9" t="n">
        <x:f>SUMIFS('Task Plan'!$AA$8:$AA$157,'Task Plan'!$D$8:$D$157,$A30)</x:f>
        <x:v>1</x:v>
      </x:c>
      <x:c r="Q30" s="9" t="n">
        <x:f>SUMIFS('Task Plan'!$AB$8:$AB$157,'Task Plan'!$D$8:$D$157,$A30)</x:f>
        <x:v>0</x:v>
      </x:c>
      <x:c r="R30" s="9" t="n">
        <x:f>SUMIFS('Task Plan'!$AC$8:$AC$157,'Task Plan'!$D$8:$D$157,$A30)</x:f>
        <x:v>4</x:v>
      </x:c>
      <x:c r="S30" s="9" t="n">
        <x:f>SUMIFS('Task Plan'!$AD$8:$AD$157,'Task Plan'!$D$8:$D$157,$A30)</x:f>
        <x:v>2.4000000000000004</x:v>
      </x:c>
      <x:c r="T30" s="9" t="n">
        <x:f>SUMIFS('Task Plan'!$AE$8:$AE$157,'Task Plan'!$D$8:$D$157,$A30)</x:f>
        <x:v>2</x:v>
      </x:c>
      <x:c r="U30" s="9" t="n">
        <x:f>SUM(C30:T30)</x:f>
        <x:v>61.4</x:v>
      </x:c>
      <x:c r="V30" s="2" t="str">
        <x:f>IF(COUNTIFS('Task Plan'!$D$8:$D$157,$A30,'Task Plan'!$M$8:$M$157,"&lt;&gt;Scheduled")&gt;0,"Check tasks",IF(MIN(C33:T33)&lt;0,"Week overloaded",IF(OR(C30&gt;C31*$B$4,D30&gt;D31*$B$4,E30&gt;E31*$B$4,F30&gt;F31*$B$4,G30&gt;G31*$B$4,H30&gt;H31*$B$4,I30&gt;I31*$B$4,J30&gt;J31*$B$4,K30&gt;K31*$B$4,L30&gt;L31*$B$4,M30&gt;M31*$B$4,N30&gt;N31*$B$4,O30&gt;O31*$B$4,P30&gt;P31*$B$4,Q30&gt;Q31*$B$4,R30&gt;R31*$B$4,S30&gt;S31*$B$4,T30&gt;T31*$B$4),"Reserve reduced","Reserve available")))</x:f>
        <x:v>Reserve available</x:v>
      </x:c>
    </x:row>
    <x:row r="31">
      <x:c r="A31" s="30" t="str">
        <x:v>DS</x:v>
      </x:c>
      <x:c r="B31" s="2" t="str">
        <x:v>Available days</x:v>
      </x:c>
      <x:c r="C31" s="9" t="n">
        <x:f>MAX(0,SUMIFS(Calendar!$C$16:$C$141,Calendar!$A$16:$A$141,"&gt;="&amp;C$19,Calendar!$A$16:$A$141,"&lt;="&amp;C$19+4)-C32)</x:f>
        <x:v>5</x:v>
      </x:c>
      <x:c r="D31" s="9" t="n">
        <x:f>MAX(0,SUMIFS(Calendar!$C$16:$C$141,Calendar!$A$16:$A$141,"&gt;="&amp;D$19,Calendar!$A$16:$A$141,"&lt;="&amp;D$19+4)-D32)</x:f>
        <x:v>5</x:v>
      </x:c>
      <x:c r="E31" s="9" t="n">
        <x:f>MAX(0,SUMIFS(Calendar!$C$16:$C$141,Calendar!$A$16:$A$141,"&gt;="&amp;E$19,Calendar!$A$16:$A$141,"&lt;="&amp;E$19+4)-E32)</x:f>
        <x:v>5</x:v>
      </x:c>
      <x:c r="F31" s="9" t="n">
        <x:f>MAX(0,SUMIFS(Calendar!$C$16:$C$141,Calendar!$A$16:$A$141,"&gt;="&amp;F$19,Calendar!$A$16:$A$141,"&lt;="&amp;F$19+4)-F32)</x:f>
        <x:v>5</x:v>
      </x:c>
      <x:c r="G31" s="9" t="n">
        <x:f>MAX(0,SUMIFS(Calendar!$C$16:$C$141,Calendar!$A$16:$A$141,"&gt;="&amp;G$19,Calendar!$A$16:$A$141,"&lt;="&amp;G$19+4)-G32)</x:f>
        <x:v>5</x:v>
      </x:c>
      <x:c r="H31" s="9" t="n">
        <x:f>MAX(0,SUMIFS(Calendar!$C$16:$C$141,Calendar!$A$16:$A$141,"&gt;="&amp;H$19,Calendar!$A$16:$A$141,"&lt;="&amp;H$19+4)-H32)</x:f>
        <x:v>5</x:v>
      </x:c>
      <x:c r="I31" s="9" t="n">
        <x:f>MAX(0,SUMIFS(Calendar!$C$16:$C$141,Calendar!$A$16:$A$141,"&gt;="&amp;I$19,Calendar!$A$16:$A$141,"&lt;="&amp;I$19+4)-I32)</x:f>
        <x:v>5</x:v>
      </x:c>
      <x:c r="J31" s="9" t="n">
        <x:f>MAX(0,SUMIFS(Calendar!$C$16:$C$141,Calendar!$A$16:$A$141,"&gt;="&amp;J$19,Calendar!$A$16:$A$141,"&lt;="&amp;J$19+4)-J32)</x:f>
        <x:v>5</x:v>
      </x:c>
      <x:c r="K31" s="9" t="n">
        <x:f>MAX(0,SUMIFS(Calendar!$C$16:$C$141,Calendar!$A$16:$A$141,"&gt;="&amp;K$19,Calendar!$A$16:$A$141,"&lt;="&amp;K$19+4)-K32)</x:f>
        <x:v>5</x:v>
      </x:c>
      <x:c r="L31" s="9" t="n">
        <x:f>MAX(0,SUMIFS(Calendar!$C$16:$C$141,Calendar!$A$16:$A$141,"&gt;="&amp;L$19,Calendar!$A$16:$A$141,"&lt;="&amp;L$19+4)-L32)</x:f>
        <x:v>5</x:v>
      </x:c>
      <x:c r="M31" s="9" t="n">
        <x:f>MAX(0,SUMIFS(Calendar!$C$16:$C$141,Calendar!$A$16:$A$141,"&gt;="&amp;M$19,Calendar!$A$16:$A$141,"&lt;="&amp;M$19+4)-M32)</x:f>
        <x:v>5</x:v>
      </x:c>
      <x:c r="N31" s="9" t="n">
        <x:f>MAX(0,SUMIFS(Calendar!$C$16:$C$141,Calendar!$A$16:$A$141,"&gt;="&amp;N$19,Calendar!$A$16:$A$141,"&lt;="&amp;N$19+4)-N32)</x:f>
        <x:v>5</x:v>
      </x:c>
      <x:c r="O31" s="9" t="n">
        <x:f>MAX(0,SUMIFS(Calendar!$C$16:$C$141,Calendar!$A$16:$A$141,"&gt;="&amp;O$19,Calendar!$A$16:$A$141,"&lt;="&amp;O$19+4)-O32)</x:f>
        <x:v>5</x:v>
      </x:c>
      <x:c r="P31" s="9" t="n">
        <x:f>MAX(0,SUMIFS(Calendar!$C$16:$C$141,Calendar!$A$16:$A$141,"&gt;="&amp;P$19,Calendar!$A$16:$A$141,"&lt;="&amp;P$19+4)-P32)</x:f>
        <x:v>2</x:v>
      </x:c>
      <x:c r="Q31" s="9" t="n">
        <x:f>MAX(0,SUMIFS(Calendar!$C$16:$C$141,Calendar!$A$16:$A$141,"&gt;="&amp;Q$19,Calendar!$A$16:$A$141,"&lt;="&amp;Q$19+4)-Q32)</x:f>
        <x:v>0</x:v>
      </x:c>
      <x:c r="R31" s="9" t="n">
        <x:f>MAX(0,SUMIFS(Calendar!$C$16:$C$141,Calendar!$A$16:$A$141,"&gt;="&amp;R$19,Calendar!$A$16:$A$141,"&lt;="&amp;R$19+4)-R32)</x:f>
        <x:v>5</x:v>
      </x:c>
      <x:c r="S31" s="9" t="n">
        <x:f>MAX(0,SUMIFS(Calendar!$C$16:$C$141,Calendar!$A$16:$A$141,"&gt;="&amp;S$19,Calendar!$A$16:$A$141,"&lt;="&amp;S$19+4)-S32)</x:f>
        <x:v>5</x:v>
      </x:c>
      <x:c r="T31" s="9" t="n">
        <x:f>MAX(0,SUMIFS(Calendar!$C$16:$C$141,Calendar!$A$16:$A$141,"&gt;="&amp;T$19,Calendar!$A$16:$A$141,"&lt;="&amp;T$19+4)-T32)</x:f>
        <x:v>5</x:v>
      </x:c>
      <x:c r="U31" s="9" t="n">
        <x:f>SUM(C31:T31)</x:f>
        <x:v>82</x:v>
      </x:c>
      <x:c r="V31" s="2"/>
    </x:row>
    <x:row r="32">
      <x:c r="A32" s="30" t="str">
        <x:v>DS</x:v>
      </x:c>
      <x:c r="B32" s="2" t="str">
        <x:v>Extra leave (input)</x:v>
      </x:c>
      <x:c r="C32" s="51" t="n">
        <x:v>0</x:v>
      </x:c>
      <x:c r="D32" s="51" t="n">
        <x:v>0</x:v>
      </x:c>
      <x:c r="E32" s="51" t="n">
        <x:v>0</x:v>
      </x:c>
      <x:c r="F32" s="51" t="n">
        <x:v>0</x:v>
      </x:c>
      <x:c r="G32" s="51" t="n">
        <x:v>0</x:v>
      </x:c>
      <x:c r="H32" s="51" t="n">
        <x:v>0</x:v>
      </x:c>
      <x:c r="I32" s="51" t="n">
        <x:v>0</x:v>
      </x:c>
      <x:c r="J32" s="51" t="n">
        <x:v>0</x:v>
      </x:c>
      <x:c r="K32" s="51" t="n">
        <x:v>0</x:v>
      </x:c>
      <x:c r="L32" s="51" t="n">
        <x:v>0</x:v>
      </x:c>
      <x:c r="M32" s="51" t="n">
        <x:v>0</x:v>
      </x:c>
      <x:c r="N32" s="51" t="n">
        <x:v>0</x:v>
      </x:c>
      <x:c r="O32" s="51" t="n">
        <x:v>0</x:v>
      </x:c>
      <x:c r="P32" s="51" t="n">
        <x:v>0</x:v>
      </x:c>
      <x:c r="Q32" s="51" t="n">
        <x:v>0</x:v>
      </x:c>
      <x:c r="R32" s="51" t="n">
        <x:v>0</x:v>
      </x:c>
      <x:c r="S32" s="51" t="n">
        <x:v>0</x:v>
      </x:c>
      <x:c r="T32" s="51" t="n">
        <x:v>0</x:v>
      </x:c>
      <x:c r="U32" s="9" t="n">
        <x:f>SUM(C32:T32)</x:f>
        <x:v>0</x:v>
      </x:c>
      <x:c r="V32" s="2"/>
    </x:row>
    <x:row r="33">
      <x:c r="A33" s="30" t="str">
        <x:v>DS</x:v>
      </x:c>
      <x:c r="B33" s="2" t="str">
        <x:v>Unassigned days</x:v>
      </x:c>
      <x:c r="C33" s="9" t="n">
        <x:f>C31-C30</x:f>
        <x:v>1</x:v>
      </x:c>
      <x:c r="D33" s="9" t="n">
        <x:f>D31-D30</x:f>
        <x:v>1</x:v>
      </x:c>
      <x:c r="E33" s="9" t="n">
        <x:f>E31-E30</x:f>
        <x:v>1</x:v>
      </x:c>
      <x:c r="F33" s="9" t="n">
        <x:f>F31-F30</x:f>
        <x:v>1</x:v>
      </x:c>
      <x:c r="G33" s="9" t="n">
        <x:f>G31-G30</x:f>
        <x:v>1</x:v>
      </x:c>
      <x:c r="H33" s="9" t="n">
        <x:f>H31-H30</x:f>
        <x:v>1</x:v>
      </x:c>
      <x:c r="I33" s="9" t="n">
        <x:f>I31-I30</x:f>
        <x:v>1</x:v>
      </x:c>
      <x:c r="J33" s="9" t="n">
        <x:f>J31-J30</x:f>
        <x:v>1</x:v>
      </x:c>
      <x:c r="K33" s="9" t="n">
        <x:f>K31-K30</x:f>
        <x:v>1</x:v>
      </x:c>
      <x:c r="L33" s="9" t="n">
        <x:f>L31-L30</x:f>
        <x:v>1</x:v>
      </x:c>
      <x:c r="M33" s="9" t="n">
        <x:f>M31-M30</x:f>
        <x:v>1</x:v>
      </x:c>
      <x:c r="N33" s="9" t="n">
        <x:f>N31-N30</x:f>
        <x:v>1</x:v>
      </x:c>
      <x:c r="O33" s="9" t="n">
        <x:f>O31-O30</x:f>
        <x:v>1</x:v>
      </x:c>
      <x:c r="P33" s="9" t="n">
        <x:f>P31-P30</x:f>
        <x:v>1</x:v>
      </x:c>
      <x:c r="Q33" s="9" t="n">
        <x:f>Q31-Q30</x:f>
        <x:v>0</x:v>
      </x:c>
      <x:c r="R33" s="9" t="n">
        <x:f>R31-R30</x:f>
        <x:v>1</x:v>
      </x:c>
      <x:c r="S33" s="9" t="n">
        <x:f>S31-S30</x:f>
        <x:v>2.5999999999999996</x:v>
      </x:c>
      <x:c r="T33" s="9" t="n">
        <x:f>T31-T30</x:f>
        <x:v>3</x:v>
      </x:c>
      <x:c r="U33" s="9" t="n">
        <x:f>SUM(C33:T33)</x:f>
        <x:v>20.6</x:v>
      </x:c>
      <x:c r="V33" s="2"/>
    </x:row>
    <x:row r="34">
      <x:c r="A34" s="2"/>
      <x:c r="B34" s="2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2"/>
    </x:row>
    <x:row r="35">
      <x:c r="A35" s="32" t="str">
        <x:v>Tester 1</x:v>
      </x:c>
      <x:c r="B35" s="2" t="str">
        <x:v>Scheduled days</x:v>
      </x:c>
      <x:c r="C35" s="9" t="n">
        <x:f>SUMIFS('Task Plan'!$N$8:$N$157,'Task Plan'!$D$8:$D$157,$A35)</x:f>
        <x:v>3</x:v>
      </x:c>
      <x:c r="D35" s="9" t="n">
        <x:f>SUMIFS('Task Plan'!$O$8:$O$157,'Task Plan'!$D$8:$D$157,$A35)</x:f>
        <x:v>3</x:v>
      </x:c>
      <x:c r="E35" s="9" t="n">
        <x:f>SUMIFS('Task Plan'!$P$8:$P$157,'Task Plan'!$D$8:$D$157,$A35)</x:f>
        <x:v>3</x:v>
      </x:c>
      <x:c r="F35" s="9" t="n">
        <x:f>SUMIFS('Task Plan'!$Q$8:$Q$157,'Task Plan'!$D$8:$D$157,$A35)</x:f>
        <x:v>3</x:v>
      </x:c>
      <x:c r="G35" s="9" t="n">
        <x:f>SUMIFS('Task Plan'!$R$8:$R$157,'Task Plan'!$D$8:$D$157,$A35)</x:f>
        <x:v>3</x:v>
      </x:c>
      <x:c r="H35" s="9" t="n">
        <x:f>SUMIFS('Task Plan'!$S$8:$S$157,'Task Plan'!$D$8:$D$157,$A35)</x:f>
        <x:v>4</x:v>
      </x:c>
      <x:c r="I35" s="9" t="n">
        <x:f>SUMIFS('Task Plan'!$T$8:$T$157,'Task Plan'!$D$8:$D$157,$A35)</x:f>
        <x:v>4</x:v>
      </x:c>
      <x:c r="J35" s="9" t="n">
        <x:f>SUMIFS('Task Plan'!$U$8:$U$157,'Task Plan'!$D$8:$D$157,$A35)</x:f>
        <x:v>4</x:v>
      </x:c>
      <x:c r="K35" s="9" t="n">
        <x:f>SUMIFS('Task Plan'!$V$8:$V$157,'Task Plan'!$D$8:$D$157,$A35)</x:f>
        <x:v>4</x:v>
      </x:c>
      <x:c r="L35" s="9" t="n">
        <x:f>SUMIFS('Task Plan'!$W$8:$W$157,'Task Plan'!$D$8:$D$157,$A35)</x:f>
        <x:v>4</x:v>
      </x:c>
      <x:c r="M35" s="9" t="n">
        <x:f>SUMIFS('Task Plan'!$X$8:$X$157,'Task Plan'!$D$8:$D$157,$A35)</x:f>
        <x:v>4</x:v>
      </x:c>
      <x:c r="N35" s="9" t="n">
        <x:f>SUMIFS('Task Plan'!$Y$8:$Y$157,'Task Plan'!$D$8:$D$157,$A35)</x:f>
        <x:v>4</x:v>
      </x:c>
      <x:c r="O35" s="9" t="n">
        <x:f>SUMIFS('Task Plan'!$Z$8:$Z$157,'Task Plan'!$D$8:$D$157,$A35)</x:f>
        <x:v>4</x:v>
      </x:c>
      <x:c r="P35" s="9" t="n">
        <x:f>SUMIFS('Task Plan'!$AA$8:$AA$157,'Task Plan'!$D$8:$D$157,$A35)</x:f>
        <x:v>1.5</x:v>
      </x:c>
      <x:c r="Q35" s="9" t="n">
        <x:f>SUMIFS('Task Plan'!$AB$8:$AB$157,'Task Plan'!$D$8:$D$157,$A35)</x:f>
        <x:v>0</x:v>
      </x:c>
      <x:c r="R35" s="9" t="n">
        <x:f>SUMIFS('Task Plan'!$AC$8:$AC$157,'Task Plan'!$D$8:$D$157,$A35)</x:f>
        <x:v>4</x:v>
      </x:c>
      <x:c r="S35" s="9" t="n">
        <x:f>SUMIFS('Task Plan'!$AD$8:$AD$157,'Task Plan'!$D$8:$D$157,$A35)</x:f>
        <x:v>4</x:v>
      </x:c>
      <x:c r="T35" s="9" t="n">
        <x:f>SUMIFS('Task Plan'!$AE$8:$AE$157,'Task Plan'!$D$8:$D$157,$A35)</x:f>
        <x:v>2</x:v>
      </x:c>
      <x:c r="U35" s="9" t="n">
        <x:f>SUM(C35:T35)</x:f>
        <x:v>58.5</x:v>
      </x:c>
      <x:c r="V35" s="2" t="str">
        <x:f>IF(COUNTIFS('Task Plan'!$D$8:$D$157,$A35,'Task Plan'!$M$8:$M$157,"&lt;&gt;Scheduled")&gt;0,"Check tasks",IF(MIN(C38:T38)&lt;0,"Week overloaded",IF(OR(C35&gt;C36*$B$4,D35&gt;D36*$B$4,E35&gt;E36*$B$4,F35&gt;F36*$B$4,G35&gt;G36*$B$4,H35&gt;H36*$B$4,I35&gt;I36*$B$4,J35&gt;J36*$B$4,K35&gt;K36*$B$4,L35&gt;L36*$B$4,M35&gt;M36*$B$4,N35&gt;N36*$B$4,O35&gt;O36*$B$4,P35&gt;P36*$B$4,Q35&gt;Q36*$B$4,R35&gt;R36*$B$4,S35&gt;S36*$B$4,T35&gt;T36*$B$4),"Reserve reduced","Reserve available")))</x:f>
        <x:v>Reserve available</x:v>
      </x:c>
    </x:row>
    <x:row r="36">
      <x:c r="A36" s="32" t="str">
        <x:v>Tester 1</x:v>
      </x:c>
      <x:c r="B36" s="2" t="str">
        <x:v>Available days</x:v>
      </x:c>
      <x:c r="C36" s="9" t="n">
        <x:f>MAX(0,SUMIFS(Calendar!$C$16:$C$141,Calendar!$A$16:$A$141,"&gt;="&amp;C$19,Calendar!$A$16:$A$141,"&lt;="&amp;C$19+4)-C37)</x:f>
        <x:v>5</x:v>
      </x:c>
      <x:c r="D36" s="9" t="n">
        <x:f>MAX(0,SUMIFS(Calendar!$C$16:$C$141,Calendar!$A$16:$A$141,"&gt;="&amp;D$19,Calendar!$A$16:$A$141,"&lt;="&amp;D$19+4)-D37)</x:f>
        <x:v>5</x:v>
      </x:c>
      <x:c r="E36" s="9" t="n">
        <x:f>MAX(0,SUMIFS(Calendar!$C$16:$C$141,Calendar!$A$16:$A$141,"&gt;="&amp;E$19,Calendar!$A$16:$A$141,"&lt;="&amp;E$19+4)-E37)</x:f>
        <x:v>5</x:v>
      </x:c>
      <x:c r="F36" s="9" t="n">
        <x:f>MAX(0,SUMIFS(Calendar!$C$16:$C$141,Calendar!$A$16:$A$141,"&gt;="&amp;F$19,Calendar!$A$16:$A$141,"&lt;="&amp;F$19+4)-F37)</x:f>
        <x:v>5</x:v>
      </x:c>
      <x:c r="G36" s="9" t="n">
        <x:f>MAX(0,SUMIFS(Calendar!$C$16:$C$141,Calendar!$A$16:$A$141,"&gt;="&amp;G$19,Calendar!$A$16:$A$141,"&lt;="&amp;G$19+4)-G37)</x:f>
        <x:v>5</x:v>
      </x:c>
      <x:c r="H36" s="9" t="n">
        <x:f>MAX(0,SUMIFS(Calendar!$C$16:$C$141,Calendar!$A$16:$A$141,"&gt;="&amp;H$19,Calendar!$A$16:$A$141,"&lt;="&amp;H$19+4)-H37)</x:f>
        <x:v>5</x:v>
      </x:c>
      <x:c r="I36" s="9" t="n">
        <x:f>MAX(0,SUMIFS(Calendar!$C$16:$C$141,Calendar!$A$16:$A$141,"&gt;="&amp;I$19,Calendar!$A$16:$A$141,"&lt;="&amp;I$19+4)-I37)</x:f>
        <x:v>5</x:v>
      </x:c>
      <x:c r="J36" s="9" t="n">
        <x:f>MAX(0,SUMIFS(Calendar!$C$16:$C$141,Calendar!$A$16:$A$141,"&gt;="&amp;J$19,Calendar!$A$16:$A$141,"&lt;="&amp;J$19+4)-J37)</x:f>
        <x:v>5</x:v>
      </x:c>
      <x:c r="K36" s="9" t="n">
        <x:f>MAX(0,SUMIFS(Calendar!$C$16:$C$141,Calendar!$A$16:$A$141,"&gt;="&amp;K$19,Calendar!$A$16:$A$141,"&lt;="&amp;K$19+4)-K37)</x:f>
        <x:v>5</x:v>
      </x:c>
      <x:c r="L36" s="9" t="n">
        <x:f>MAX(0,SUMIFS(Calendar!$C$16:$C$141,Calendar!$A$16:$A$141,"&gt;="&amp;L$19,Calendar!$A$16:$A$141,"&lt;="&amp;L$19+4)-L37)</x:f>
        <x:v>5</x:v>
      </x:c>
      <x:c r="M36" s="9" t="n">
        <x:f>MAX(0,SUMIFS(Calendar!$C$16:$C$141,Calendar!$A$16:$A$141,"&gt;="&amp;M$19,Calendar!$A$16:$A$141,"&lt;="&amp;M$19+4)-M37)</x:f>
        <x:v>5</x:v>
      </x:c>
      <x:c r="N36" s="9" t="n">
        <x:f>MAX(0,SUMIFS(Calendar!$C$16:$C$141,Calendar!$A$16:$A$141,"&gt;="&amp;N$19,Calendar!$A$16:$A$141,"&lt;="&amp;N$19+4)-N37)</x:f>
        <x:v>5</x:v>
      </x:c>
      <x:c r="O36" s="9" t="n">
        <x:f>MAX(0,SUMIFS(Calendar!$C$16:$C$141,Calendar!$A$16:$A$141,"&gt;="&amp;O$19,Calendar!$A$16:$A$141,"&lt;="&amp;O$19+4)-O37)</x:f>
        <x:v>5</x:v>
      </x:c>
      <x:c r="P36" s="9" t="n">
        <x:f>MAX(0,SUMIFS(Calendar!$C$16:$C$141,Calendar!$A$16:$A$141,"&gt;="&amp;P$19,Calendar!$A$16:$A$141,"&lt;="&amp;P$19+4)-P37)</x:f>
        <x:v>2</x:v>
      </x:c>
      <x:c r="Q36" s="9" t="n">
        <x:f>MAX(0,SUMIFS(Calendar!$C$16:$C$141,Calendar!$A$16:$A$141,"&gt;="&amp;Q$19,Calendar!$A$16:$A$141,"&lt;="&amp;Q$19+4)-Q37)</x:f>
        <x:v>0</x:v>
      </x:c>
      <x:c r="R36" s="9" t="n">
        <x:f>MAX(0,SUMIFS(Calendar!$C$16:$C$141,Calendar!$A$16:$A$141,"&gt;="&amp;R$19,Calendar!$A$16:$A$141,"&lt;="&amp;R$19+4)-R37)</x:f>
        <x:v>5</x:v>
      </x:c>
      <x:c r="S36" s="9" t="n">
        <x:f>MAX(0,SUMIFS(Calendar!$C$16:$C$141,Calendar!$A$16:$A$141,"&gt;="&amp;S$19,Calendar!$A$16:$A$141,"&lt;="&amp;S$19+4)-S37)</x:f>
        <x:v>5</x:v>
      </x:c>
      <x:c r="T36" s="9" t="n">
        <x:f>MAX(0,SUMIFS(Calendar!$C$16:$C$141,Calendar!$A$16:$A$141,"&gt;="&amp;T$19,Calendar!$A$16:$A$141,"&lt;="&amp;T$19+4)-T37)</x:f>
        <x:v>5</x:v>
      </x:c>
      <x:c r="U36" s="9" t="n">
        <x:f>SUM(C36:T36)</x:f>
        <x:v>82</x:v>
      </x:c>
      <x:c r="V36" s="2"/>
    </x:row>
    <x:row r="37">
      <x:c r="A37" s="32" t="str">
        <x:v>Tester 1</x:v>
      </x:c>
      <x:c r="B37" s="2" t="str">
        <x:v>Extra leave (input)</x:v>
      </x:c>
      <x:c r="C37" s="51" t="n">
        <x:v>0</x:v>
      </x:c>
      <x:c r="D37" s="51" t="n">
        <x:v>0</x:v>
      </x:c>
      <x:c r="E37" s="51" t="n">
        <x:v>0</x:v>
      </x:c>
      <x:c r="F37" s="51" t="n">
        <x:v>0</x:v>
      </x:c>
      <x:c r="G37" s="51" t="n">
        <x:v>0</x:v>
      </x:c>
      <x:c r="H37" s="51" t="n">
        <x:v>0</x:v>
      </x:c>
      <x:c r="I37" s="51" t="n">
        <x:v>0</x:v>
      </x:c>
      <x:c r="J37" s="51" t="n">
        <x:v>0</x:v>
      </x:c>
      <x:c r="K37" s="51" t="n">
        <x:v>0</x:v>
      </x:c>
      <x:c r="L37" s="51" t="n">
        <x:v>0</x:v>
      </x:c>
      <x:c r="M37" s="51" t="n">
        <x:v>0</x:v>
      </x:c>
      <x:c r="N37" s="51" t="n">
        <x:v>0</x:v>
      </x:c>
      <x:c r="O37" s="51" t="n">
        <x:v>0</x:v>
      </x:c>
      <x:c r="P37" s="51" t="n">
        <x:v>0</x:v>
      </x:c>
      <x:c r="Q37" s="51" t="n">
        <x:v>0</x:v>
      </x:c>
      <x:c r="R37" s="51" t="n">
        <x:v>0</x:v>
      </x:c>
      <x:c r="S37" s="51" t="n">
        <x:v>0</x:v>
      </x:c>
      <x:c r="T37" s="51" t="n">
        <x:v>0</x:v>
      </x:c>
      <x:c r="U37" s="9" t="n">
        <x:f>SUM(C37:T37)</x:f>
        <x:v>0</x:v>
      </x:c>
      <x:c r="V37" s="2"/>
    </x:row>
    <x:row r="38">
      <x:c r="A38" s="32" t="str">
        <x:v>Tester 1</x:v>
      </x:c>
      <x:c r="B38" s="2" t="str">
        <x:v>Unassigned days</x:v>
      </x:c>
      <x:c r="C38" s="9" t="n">
        <x:f>C36-C35</x:f>
        <x:v>2</x:v>
      </x:c>
      <x:c r="D38" s="9" t="n">
        <x:f>D36-D35</x:f>
        <x:v>2</x:v>
      </x:c>
      <x:c r="E38" s="9" t="n">
        <x:f>E36-E35</x:f>
        <x:v>2</x:v>
      </x:c>
      <x:c r="F38" s="9" t="n">
        <x:f>F36-F35</x:f>
        <x:v>2</x:v>
      </x:c>
      <x:c r="G38" s="9" t="n">
        <x:f>G36-G35</x:f>
        <x:v>2</x:v>
      </x:c>
      <x:c r="H38" s="9" t="n">
        <x:f>H36-H35</x:f>
        <x:v>1</x:v>
      </x:c>
      <x:c r="I38" s="9" t="n">
        <x:f>I36-I35</x:f>
        <x:v>1</x:v>
      </x:c>
      <x:c r="J38" s="9" t="n">
        <x:f>J36-J35</x:f>
        <x:v>1</x:v>
      </x:c>
      <x:c r="K38" s="9" t="n">
        <x:f>K36-K35</x:f>
        <x:v>1</x:v>
      </x:c>
      <x:c r="L38" s="9" t="n">
        <x:f>L36-L35</x:f>
        <x:v>1</x:v>
      </x:c>
      <x:c r="M38" s="9" t="n">
        <x:f>M36-M35</x:f>
        <x:v>1</x:v>
      </x:c>
      <x:c r="N38" s="9" t="n">
        <x:f>N36-N35</x:f>
        <x:v>1</x:v>
      </x:c>
      <x:c r="O38" s="9" t="n">
        <x:f>O36-O35</x:f>
        <x:v>1</x:v>
      </x:c>
      <x:c r="P38" s="9" t="n">
        <x:f>P36-P35</x:f>
        <x:v>0.5</x:v>
      </x:c>
      <x:c r="Q38" s="9" t="n">
        <x:f>Q36-Q35</x:f>
        <x:v>0</x:v>
      </x:c>
      <x:c r="R38" s="9" t="n">
        <x:f>R36-R35</x:f>
        <x:v>1</x:v>
      </x:c>
      <x:c r="S38" s="9" t="n">
        <x:f>S36-S35</x:f>
        <x:v>1</x:v>
      </x:c>
      <x:c r="T38" s="9" t="n">
        <x:f>T36-T35</x:f>
        <x:v>3</x:v>
      </x:c>
      <x:c r="U38" s="9" t="n">
        <x:f>SUM(C38:T38)</x:f>
        <x:v>23.5</x:v>
      </x:c>
      <x:c r="V38" s="2"/>
    </x:row>
    <x:row r="39">
      <x:c r="A39" s="2"/>
      <x:c r="B39" s="2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2"/>
    </x:row>
    <x:row r="40">
      <x:c r="A40" s="34" t="str">
        <x:v>Tester 2</x:v>
      </x:c>
      <x:c r="B40" s="2" t="str">
        <x:v>Scheduled days</x:v>
      </x:c>
      <x:c r="C40" s="9" t="n">
        <x:f>SUMIFS('Task Plan'!$N$8:$N$157,'Task Plan'!$D$8:$D$157,$A40)</x:f>
        <x:v>3</x:v>
      </x:c>
      <x:c r="D40" s="9" t="n">
        <x:f>SUMIFS('Task Plan'!$O$8:$O$157,'Task Plan'!$D$8:$D$157,$A40)</x:f>
        <x:v>3</x:v>
      </x:c>
      <x:c r="E40" s="9" t="n">
        <x:f>SUMIFS('Task Plan'!$P$8:$P$157,'Task Plan'!$D$8:$D$157,$A40)</x:f>
        <x:v>3</x:v>
      </x:c>
      <x:c r="F40" s="9" t="n">
        <x:f>SUMIFS('Task Plan'!$Q$8:$Q$157,'Task Plan'!$D$8:$D$157,$A40)</x:f>
        <x:v>3</x:v>
      </x:c>
      <x:c r="G40" s="9" t="n">
        <x:f>SUMIFS('Task Plan'!$R$8:$R$157,'Task Plan'!$D$8:$D$157,$A40)</x:f>
        <x:v>3</x:v>
      </x:c>
      <x:c r="H40" s="9" t="n">
        <x:f>SUMIFS('Task Plan'!$S$8:$S$157,'Task Plan'!$D$8:$D$157,$A40)</x:f>
        <x:v>4</x:v>
      </x:c>
      <x:c r="I40" s="9" t="n">
        <x:f>SUMIFS('Task Plan'!$T$8:$T$157,'Task Plan'!$D$8:$D$157,$A40)</x:f>
        <x:v>4</x:v>
      </x:c>
      <x:c r="J40" s="9" t="n">
        <x:f>SUMIFS('Task Plan'!$U$8:$U$157,'Task Plan'!$D$8:$D$157,$A40)</x:f>
        <x:v>4</x:v>
      </x:c>
      <x:c r="K40" s="9" t="n">
        <x:f>SUMIFS('Task Plan'!$V$8:$V$157,'Task Plan'!$D$8:$D$157,$A40)</x:f>
        <x:v>4</x:v>
      </x:c>
      <x:c r="L40" s="9" t="n">
        <x:f>SUMIFS('Task Plan'!$W$8:$W$157,'Task Plan'!$D$8:$D$157,$A40)</x:f>
        <x:v>4</x:v>
      </x:c>
      <x:c r="M40" s="9" t="n">
        <x:f>SUMIFS('Task Plan'!$X$8:$X$157,'Task Plan'!$D$8:$D$157,$A40)</x:f>
        <x:v>4</x:v>
      </x:c>
      <x:c r="N40" s="9" t="n">
        <x:f>SUMIFS('Task Plan'!$Y$8:$Y$157,'Task Plan'!$D$8:$D$157,$A40)</x:f>
        <x:v>4</x:v>
      </x:c>
      <x:c r="O40" s="9" t="n">
        <x:f>SUMIFS('Task Plan'!$Z$8:$Z$157,'Task Plan'!$D$8:$D$157,$A40)</x:f>
        <x:v>4</x:v>
      </x:c>
      <x:c r="P40" s="9" t="n">
        <x:f>SUMIFS('Task Plan'!$AA$8:$AA$157,'Task Plan'!$D$8:$D$157,$A40)</x:f>
        <x:v>1.5</x:v>
      </x:c>
      <x:c r="Q40" s="9" t="n">
        <x:f>SUMIFS('Task Plan'!$AB$8:$AB$157,'Task Plan'!$D$8:$D$157,$A40)</x:f>
        <x:v>0</x:v>
      </x:c>
      <x:c r="R40" s="9" t="n">
        <x:f>SUMIFS('Task Plan'!$AC$8:$AC$157,'Task Plan'!$D$8:$D$157,$A40)</x:f>
        <x:v>4</x:v>
      </x:c>
      <x:c r="S40" s="9" t="n">
        <x:f>SUMIFS('Task Plan'!$AD$8:$AD$157,'Task Plan'!$D$8:$D$157,$A40)</x:f>
        <x:v>4</x:v>
      </x:c>
      <x:c r="T40" s="9" t="n">
        <x:f>SUMIFS('Task Plan'!$AE$8:$AE$157,'Task Plan'!$D$8:$D$157,$A40)</x:f>
        <x:v>2</x:v>
      </x:c>
      <x:c r="U40" s="9" t="n">
        <x:f>SUM(C40:T40)</x:f>
        <x:v>58.5</x:v>
      </x:c>
      <x:c r="V40" s="2" t="str">
        <x:f>IF(COUNTIFS('Task Plan'!$D$8:$D$157,$A40,'Task Plan'!$M$8:$M$157,"&lt;&gt;Scheduled")&gt;0,"Check tasks",IF(MIN(C43:T43)&lt;0,"Week overloaded",IF(OR(C40&gt;C41*$B$4,D40&gt;D41*$B$4,E40&gt;E41*$B$4,F40&gt;F41*$B$4,G40&gt;G41*$B$4,H40&gt;H41*$B$4,I40&gt;I41*$B$4,J40&gt;J41*$B$4,K40&gt;K41*$B$4,L40&gt;L41*$B$4,M40&gt;M41*$B$4,N40&gt;N41*$B$4,O40&gt;O41*$B$4,P40&gt;P41*$B$4,Q40&gt;Q41*$B$4,R40&gt;R41*$B$4,S40&gt;S41*$B$4,T40&gt;T41*$B$4),"Reserve reduced","Reserve available")))</x:f>
        <x:v>Reserve available</x:v>
      </x:c>
    </x:row>
    <x:row r="41">
      <x:c r="A41" s="34" t="str">
        <x:v>Tester 2</x:v>
      </x:c>
      <x:c r="B41" s="2" t="str">
        <x:v>Available days</x:v>
      </x:c>
      <x:c r="C41" s="9" t="n">
        <x:f>MAX(0,SUMIFS(Calendar!$C$16:$C$141,Calendar!$A$16:$A$141,"&gt;="&amp;C$19,Calendar!$A$16:$A$141,"&lt;="&amp;C$19+4)-C42)</x:f>
        <x:v>5</x:v>
      </x:c>
      <x:c r="D41" s="9" t="n">
        <x:f>MAX(0,SUMIFS(Calendar!$C$16:$C$141,Calendar!$A$16:$A$141,"&gt;="&amp;D$19,Calendar!$A$16:$A$141,"&lt;="&amp;D$19+4)-D42)</x:f>
        <x:v>5</x:v>
      </x:c>
      <x:c r="E41" s="9" t="n">
        <x:f>MAX(0,SUMIFS(Calendar!$C$16:$C$141,Calendar!$A$16:$A$141,"&gt;="&amp;E$19,Calendar!$A$16:$A$141,"&lt;="&amp;E$19+4)-E42)</x:f>
        <x:v>5</x:v>
      </x:c>
      <x:c r="F41" s="9" t="n">
        <x:f>MAX(0,SUMIFS(Calendar!$C$16:$C$141,Calendar!$A$16:$A$141,"&gt;="&amp;F$19,Calendar!$A$16:$A$141,"&lt;="&amp;F$19+4)-F42)</x:f>
        <x:v>5</x:v>
      </x:c>
      <x:c r="G41" s="9" t="n">
        <x:f>MAX(0,SUMIFS(Calendar!$C$16:$C$141,Calendar!$A$16:$A$141,"&gt;="&amp;G$19,Calendar!$A$16:$A$141,"&lt;="&amp;G$19+4)-G42)</x:f>
        <x:v>5</x:v>
      </x:c>
      <x:c r="H41" s="9" t="n">
        <x:f>MAX(0,SUMIFS(Calendar!$C$16:$C$141,Calendar!$A$16:$A$141,"&gt;="&amp;H$19,Calendar!$A$16:$A$141,"&lt;="&amp;H$19+4)-H42)</x:f>
        <x:v>5</x:v>
      </x:c>
      <x:c r="I41" s="9" t="n">
        <x:f>MAX(0,SUMIFS(Calendar!$C$16:$C$141,Calendar!$A$16:$A$141,"&gt;="&amp;I$19,Calendar!$A$16:$A$141,"&lt;="&amp;I$19+4)-I42)</x:f>
        <x:v>5</x:v>
      </x:c>
      <x:c r="J41" s="9" t="n">
        <x:f>MAX(0,SUMIFS(Calendar!$C$16:$C$141,Calendar!$A$16:$A$141,"&gt;="&amp;J$19,Calendar!$A$16:$A$141,"&lt;="&amp;J$19+4)-J42)</x:f>
        <x:v>5</x:v>
      </x:c>
      <x:c r="K41" s="9" t="n">
        <x:f>MAX(0,SUMIFS(Calendar!$C$16:$C$141,Calendar!$A$16:$A$141,"&gt;="&amp;K$19,Calendar!$A$16:$A$141,"&lt;="&amp;K$19+4)-K42)</x:f>
        <x:v>5</x:v>
      </x:c>
      <x:c r="L41" s="9" t="n">
        <x:f>MAX(0,SUMIFS(Calendar!$C$16:$C$141,Calendar!$A$16:$A$141,"&gt;="&amp;L$19,Calendar!$A$16:$A$141,"&lt;="&amp;L$19+4)-L42)</x:f>
        <x:v>5</x:v>
      </x:c>
      <x:c r="M41" s="9" t="n">
        <x:f>MAX(0,SUMIFS(Calendar!$C$16:$C$141,Calendar!$A$16:$A$141,"&gt;="&amp;M$19,Calendar!$A$16:$A$141,"&lt;="&amp;M$19+4)-M42)</x:f>
        <x:v>5</x:v>
      </x:c>
      <x:c r="N41" s="9" t="n">
        <x:f>MAX(0,SUMIFS(Calendar!$C$16:$C$141,Calendar!$A$16:$A$141,"&gt;="&amp;N$19,Calendar!$A$16:$A$141,"&lt;="&amp;N$19+4)-N42)</x:f>
        <x:v>5</x:v>
      </x:c>
      <x:c r="O41" s="9" t="n">
        <x:f>MAX(0,SUMIFS(Calendar!$C$16:$C$141,Calendar!$A$16:$A$141,"&gt;="&amp;O$19,Calendar!$A$16:$A$141,"&lt;="&amp;O$19+4)-O42)</x:f>
        <x:v>5</x:v>
      </x:c>
      <x:c r="P41" s="9" t="n">
        <x:f>MAX(0,SUMIFS(Calendar!$C$16:$C$141,Calendar!$A$16:$A$141,"&gt;="&amp;P$19,Calendar!$A$16:$A$141,"&lt;="&amp;P$19+4)-P42)</x:f>
        <x:v>2</x:v>
      </x:c>
      <x:c r="Q41" s="9" t="n">
        <x:f>MAX(0,SUMIFS(Calendar!$C$16:$C$141,Calendar!$A$16:$A$141,"&gt;="&amp;Q$19,Calendar!$A$16:$A$141,"&lt;="&amp;Q$19+4)-Q42)</x:f>
        <x:v>0</x:v>
      </x:c>
      <x:c r="R41" s="9" t="n">
        <x:f>MAX(0,SUMIFS(Calendar!$C$16:$C$141,Calendar!$A$16:$A$141,"&gt;="&amp;R$19,Calendar!$A$16:$A$141,"&lt;="&amp;R$19+4)-R42)</x:f>
        <x:v>5</x:v>
      </x:c>
      <x:c r="S41" s="9" t="n">
        <x:f>MAX(0,SUMIFS(Calendar!$C$16:$C$141,Calendar!$A$16:$A$141,"&gt;="&amp;S$19,Calendar!$A$16:$A$141,"&lt;="&amp;S$19+4)-S42)</x:f>
        <x:v>5</x:v>
      </x:c>
      <x:c r="T41" s="9" t="n">
        <x:f>MAX(0,SUMIFS(Calendar!$C$16:$C$141,Calendar!$A$16:$A$141,"&gt;="&amp;T$19,Calendar!$A$16:$A$141,"&lt;="&amp;T$19+4)-T42)</x:f>
        <x:v>5</x:v>
      </x:c>
      <x:c r="U41" s="9" t="n">
        <x:f>SUM(C41:T41)</x:f>
        <x:v>82</x:v>
      </x:c>
      <x:c r="V41" s="2"/>
    </x:row>
    <x:row r="42">
      <x:c r="A42" s="34" t="str">
        <x:v>Tester 2</x:v>
      </x:c>
      <x:c r="B42" s="2" t="str">
        <x:v>Extra leave (input)</x:v>
      </x:c>
      <x:c r="C42" s="51" t="n">
        <x:v>0</x:v>
      </x:c>
      <x:c r="D42" s="51" t="n">
        <x:v>0</x:v>
      </x:c>
      <x:c r="E42" s="51" t="n">
        <x:v>0</x:v>
      </x:c>
      <x:c r="F42" s="51" t="n">
        <x:v>0</x:v>
      </x:c>
      <x:c r="G42" s="51" t="n">
        <x:v>0</x:v>
      </x:c>
      <x:c r="H42" s="51" t="n">
        <x:v>0</x:v>
      </x:c>
      <x:c r="I42" s="51" t="n">
        <x:v>0</x:v>
      </x:c>
      <x:c r="J42" s="51" t="n">
        <x:v>0</x:v>
      </x:c>
      <x:c r="K42" s="51" t="n">
        <x:v>0</x:v>
      </x:c>
      <x:c r="L42" s="51" t="n">
        <x:v>0</x:v>
      </x:c>
      <x:c r="M42" s="51" t="n">
        <x:v>0</x:v>
      </x:c>
      <x:c r="N42" s="51" t="n">
        <x:v>0</x:v>
      </x:c>
      <x:c r="O42" s="51" t="n">
        <x:v>0</x:v>
      </x:c>
      <x:c r="P42" s="51" t="n">
        <x:v>0</x:v>
      </x:c>
      <x:c r="Q42" s="51" t="n">
        <x:v>0</x:v>
      </x:c>
      <x:c r="R42" s="51" t="n">
        <x:v>0</x:v>
      </x:c>
      <x:c r="S42" s="51" t="n">
        <x:v>0</x:v>
      </x:c>
      <x:c r="T42" s="51" t="n">
        <x:v>0</x:v>
      </x:c>
      <x:c r="U42" s="9" t="n">
        <x:f>SUM(C42:T42)</x:f>
        <x:v>0</x:v>
      </x:c>
      <x:c r="V42" s="2"/>
    </x:row>
    <x:row r="43">
      <x:c r="A43" s="34" t="str">
        <x:v>Tester 2</x:v>
      </x:c>
      <x:c r="B43" s="2" t="str">
        <x:v>Unassigned days</x:v>
      </x:c>
      <x:c r="C43" s="9" t="n">
        <x:f>C41-C40</x:f>
        <x:v>2</x:v>
      </x:c>
      <x:c r="D43" s="9" t="n">
        <x:f>D41-D40</x:f>
        <x:v>2</x:v>
      </x:c>
      <x:c r="E43" s="9" t="n">
        <x:f>E41-E40</x:f>
        <x:v>2</x:v>
      </x:c>
      <x:c r="F43" s="9" t="n">
        <x:f>F41-F40</x:f>
        <x:v>2</x:v>
      </x:c>
      <x:c r="G43" s="9" t="n">
        <x:f>G41-G40</x:f>
        <x:v>2</x:v>
      </x:c>
      <x:c r="H43" s="9" t="n">
        <x:f>H41-H40</x:f>
        <x:v>1</x:v>
      </x:c>
      <x:c r="I43" s="9" t="n">
        <x:f>I41-I40</x:f>
        <x:v>1</x:v>
      </x:c>
      <x:c r="J43" s="9" t="n">
        <x:f>J41-J40</x:f>
        <x:v>1</x:v>
      </x:c>
      <x:c r="K43" s="9" t="n">
        <x:f>K41-K40</x:f>
        <x:v>1</x:v>
      </x:c>
      <x:c r="L43" s="9" t="n">
        <x:f>L41-L40</x:f>
        <x:v>1</x:v>
      </x:c>
      <x:c r="M43" s="9" t="n">
        <x:f>M41-M40</x:f>
        <x:v>1</x:v>
      </x:c>
      <x:c r="N43" s="9" t="n">
        <x:f>N41-N40</x:f>
        <x:v>1</x:v>
      </x:c>
      <x:c r="O43" s="9" t="n">
        <x:f>O41-O40</x:f>
        <x:v>1</x:v>
      </x:c>
      <x:c r="P43" s="9" t="n">
        <x:f>P41-P40</x:f>
        <x:v>0.5</x:v>
      </x:c>
      <x:c r="Q43" s="9" t="n">
        <x:f>Q41-Q40</x:f>
        <x:v>0</x:v>
      </x:c>
      <x:c r="R43" s="9" t="n">
        <x:f>R41-R40</x:f>
        <x:v>1</x:v>
      </x:c>
      <x:c r="S43" s="9" t="n">
        <x:f>S41-S40</x:f>
        <x:v>1</x:v>
      </x:c>
      <x:c r="T43" s="9" t="n">
        <x:f>T41-T40</x:f>
        <x:v>3</x:v>
      </x:c>
      <x:c r="U43" s="9" t="n">
        <x:f>SUM(C43:T43)</x:f>
        <x:v>23.5</x:v>
      </x:c>
      <x:c r="V43" s="2"/>
    </x:row>
    <x:row r="44">
      <x:c r="A44" s="2"/>
      <x:c r="B44" s="2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2"/>
    </x:row>
    <x:row r="45">
      <x:c r="A45" s="20" t="str">
        <x:v>BA</x:v>
      </x:c>
      <x:c r="B45" s="2" t="str">
        <x:v>Scheduled days</x:v>
      </x:c>
      <x:c r="C45" s="9" t="n">
        <x:f>SUMIFS('Task Plan'!$N$8:$N$157,'Task Plan'!$D$8:$D$157,$A45)</x:f>
        <x:v>4</x:v>
      </x:c>
      <x:c r="D45" s="9" t="n">
        <x:f>SUMIFS('Task Plan'!$O$8:$O$157,'Task Plan'!$D$8:$D$157,$A45)</x:f>
        <x:v>4</x:v>
      </x:c>
      <x:c r="E45" s="9" t="n">
        <x:f>SUMIFS('Task Plan'!$P$8:$P$157,'Task Plan'!$D$8:$D$157,$A45)</x:f>
        <x:v>2</x:v>
      </x:c>
      <x:c r="F45" s="9" t="n">
        <x:f>SUMIFS('Task Plan'!$Q$8:$Q$157,'Task Plan'!$D$8:$D$157,$A45)</x:f>
        <x:v>2</x:v>
      </x:c>
      <x:c r="G45" s="9" t="n">
        <x:f>SUMIFS('Task Plan'!$R$8:$R$157,'Task Plan'!$D$8:$D$157,$A45)</x:f>
        <x:v>2</x:v>
      </x:c>
      <x:c r="H45" s="9" t="n">
        <x:f>SUMIFS('Task Plan'!$S$8:$S$157,'Task Plan'!$D$8:$D$157,$A45)</x:f>
        <x:v>3</x:v>
      </x:c>
      <x:c r="I45" s="9" t="n">
        <x:f>SUMIFS('Task Plan'!$T$8:$T$157,'Task Plan'!$D$8:$D$157,$A45)</x:f>
        <x:v>3</x:v>
      </x:c>
      <x:c r="J45" s="9" t="n">
        <x:f>SUMIFS('Task Plan'!$U$8:$U$157,'Task Plan'!$D$8:$D$157,$A45)</x:f>
        <x:v>3</x:v>
      </x:c>
      <x:c r="K45" s="9" t="n">
        <x:f>SUMIFS('Task Plan'!$V$8:$V$157,'Task Plan'!$D$8:$D$157,$A45)</x:f>
        <x:v>3</x:v>
      </x:c>
      <x:c r="L45" s="9" t="n">
        <x:f>SUMIFS('Task Plan'!$W$8:$W$157,'Task Plan'!$D$8:$D$157,$A45)</x:f>
        <x:v>3</x:v>
      </x:c>
      <x:c r="M45" s="9" t="n">
        <x:f>SUMIFS('Task Plan'!$X$8:$X$157,'Task Plan'!$D$8:$D$157,$A45)</x:f>
        <x:v>3</x:v>
      </x:c>
      <x:c r="N45" s="9" t="n">
        <x:f>SUMIFS('Task Plan'!$Y$8:$Y$157,'Task Plan'!$D$8:$D$157,$A45)</x:f>
        <x:v>4</x:v>
      </x:c>
      <x:c r="O45" s="9" t="n">
        <x:f>SUMIFS('Task Plan'!$Z$8:$Z$157,'Task Plan'!$D$8:$D$157,$A45)</x:f>
        <x:v>4</x:v>
      </x:c>
      <x:c r="P45" s="9" t="n">
        <x:f>SUMIFS('Task Plan'!$AA$8:$AA$157,'Task Plan'!$D$8:$D$157,$A45)</x:f>
        <x:v>1</x:v>
      </x:c>
      <x:c r="Q45" s="9" t="n">
        <x:f>SUMIFS('Task Plan'!$AB$8:$AB$157,'Task Plan'!$D$8:$D$157,$A45)</x:f>
        <x:v>0</x:v>
      </x:c>
      <x:c r="R45" s="9" t="n">
        <x:f>SUMIFS('Task Plan'!$AC$8:$AC$157,'Task Plan'!$D$8:$D$157,$A45)</x:f>
        <x:v>3</x:v>
      </x:c>
      <x:c r="S45" s="9" t="n">
        <x:f>SUMIFS('Task Plan'!$AD$8:$AD$157,'Task Plan'!$D$8:$D$157,$A45)</x:f>
        <x:v>3</x:v>
      </x:c>
      <x:c r="T45" s="9" t="n">
        <x:f>SUMIFS('Task Plan'!$AE$8:$AE$157,'Task Plan'!$D$8:$D$157,$A45)</x:f>
        <x:v>2</x:v>
      </x:c>
      <x:c r="U45" s="9" t="n">
        <x:f>SUM(C45:T45)</x:f>
        <x:v>49</x:v>
      </x:c>
      <x:c r="V45" s="2" t="str">
        <x:f>IF(COUNTIFS('Task Plan'!$D$8:$D$157,$A45,'Task Plan'!$M$8:$M$157,"&lt;&gt;Scheduled")&gt;0,"Check tasks",IF(MIN(C48:T48)&lt;0,"Week overloaded",IF(OR(C45&gt;C46*$B$4,D45&gt;D46*$B$4,E45&gt;E46*$B$4,F45&gt;F46*$B$4,G45&gt;G46*$B$4,H45&gt;H46*$B$4,I45&gt;I46*$B$4,J45&gt;J46*$B$4,K45&gt;K46*$B$4,L45&gt;L46*$B$4,M45&gt;M46*$B$4,N45&gt;N46*$B$4,O45&gt;O46*$B$4,P45&gt;P46*$B$4,Q45&gt;Q46*$B$4,R45&gt;R46*$B$4,S45&gt;S46*$B$4,T45&gt;T46*$B$4),"Reserve reduced","Reserve available")))</x:f>
        <x:v>Reserve available</x:v>
      </x:c>
    </x:row>
    <x:row r="46">
      <x:c r="A46" s="20" t="str">
        <x:v>BA</x:v>
      </x:c>
      <x:c r="B46" s="2" t="str">
        <x:v>Available days</x:v>
      </x:c>
      <x:c r="C46" s="9" t="n">
        <x:f>MAX(0,SUMIFS(Calendar!$C$16:$C$141,Calendar!$A$16:$A$141,"&gt;="&amp;C$19,Calendar!$A$16:$A$141,"&lt;="&amp;C$19+4)-C47)</x:f>
        <x:v>5</x:v>
      </x:c>
      <x:c r="D46" s="9" t="n">
        <x:f>MAX(0,SUMIFS(Calendar!$C$16:$C$141,Calendar!$A$16:$A$141,"&gt;="&amp;D$19,Calendar!$A$16:$A$141,"&lt;="&amp;D$19+4)-D47)</x:f>
        <x:v>5</x:v>
      </x:c>
      <x:c r="E46" s="9" t="n">
        <x:f>MAX(0,SUMIFS(Calendar!$C$16:$C$141,Calendar!$A$16:$A$141,"&gt;="&amp;E$19,Calendar!$A$16:$A$141,"&lt;="&amp;E$19+4)-E47)</x:f>
        <x:v>5</x:v>
      </x:c>
      <x:c r="F46" s="9" t="n">
        <x:f>MAX(0,SUMIFS(Calendar!$C$16:$C$141,Calendar!$A$16:$A$141,"&gt;="&amp;F$19,Calendar!$A$16:$A$141,"&lt;="&amp;F$19+4)-F47)</x:f>
        <x:v>5</x:v>
      </x:c>
      <x:c r="G46" s="9" t="n">
        <x:f>MAX(0,SUMIFS(Calendar!$C$16:$C$141,Calendar!$A$16:$A$141,"&gt;="&amp;G$19,Calendar!$A$16:$A$141,"&lt;="&amp;G$19+4)-G47)</x:f>
        <x:v>5</x:v>
      </x:c>
      <x:c r="H46" s="9" t="n">
        <x:f>MAX(0,SUMIFS(Calendar!$C$16:$C$141,Calendar!$A$16:$A$141,"&gt;="&amp;H$19,Calendar!$A$16:$A$141,"&lt;="&amp;H$19+4)-H47)</x:f>
        <x:v>5</x:v>
      </x:c>
      <x:c r="I46" s="9" t="n">
        <x:f>MAX(0,SUMIFS(Calendar!$C$16:$C$141,Calendar!$A$16:$A$141,"&gt;="&amp;I$19,Calendar!$A$16:$A$141,"&lt;="&amp;I$19+4)-I47)</x:f>
        <x:v>5</x:v>
      </x:c>
      <x:c r="J46" s="9" t="n">
        <x:f>MAX(0,SUMIFS(Calendar!$C$16:$C$141,Calendar!$A$16:$A$141,"&gt;="&amp;J$19,Calendar!$A$16:$A$141,"&lt;="&amp;J$19+4)-J47)</x:f>
        <x:v>5</x:v>
      </x:c>
      <x:c r="K46" s="9" t="n">
        <x:f>MAX(0,SUMIFS(Calendar!$C$16:$C$141,Calendar!$A$16:$A$141,"&gt;="&amp;K$19,Calendar!$A$16:$A$141,"&lt;="&amp;K$19+4)-K47)</x:f>
        <x:v>5</x:v>
      </x:c>
      <x:c r="L46" s="9" t="n">
        <x:f>MAX(0,SUMIFS(Calendar!$C$16:$C$141,Calendar!$A$16:$A$141,"&gt;="&amp;L$19,Calendar!$A$16:$A$141,"&lt;="&amp;L$19+4)-L47)</x:f>
        <x:v>5</x:v>
      </x:c>
      <x:c r="M46" s="9" t="n">
        <x:f>MAX(0,SUMIFS(Calendar!$C$16:$C$141,Calendar!$A$16:$A$141,"&gt;="&amp;M$19,Calendar!$A$16:$A$141,"&lt;="&amp;M$19+4)-M47)</x:f>
        <x:v>5</x:v>
      </x:c>
      <x:c r="N46" s="9" t="n">
        <x:f>MAX(0,SUMIFS(Calendar!$C$16:$C$141,Calendar!$A$16:$A$141,"&gt;="&amp;N$19,Calendar!$A$16:$A$141,"&lt;="&amp;N$19+4)-N47)</x:f>
        <x:v>5</x:v>
      </x:c>
      <x:c r="O46" s="9" t="n">
        <x:f>MAX(0,SUMIFS(Calendar!$C$16:$C$141,Calendar!$A$16:$A$141,"&gt;="&amp;O$19,Calendar!$A$16:$A$141,"&lt;="&amp;O$19+4)-O47)</x:f>
        <x:v>5</x:v>
      </x:c>
      <x:c r="P46" s="9" t="n">
        <x:f>MAX(0,SUMIFS(Calendar!$C$16:$C$141,Calendar!$A$16:$A$141,"&gt;="&amp;P$19,Calendar!$A$16:$A$141,"&lt;="&amp;P$19+4)-P47)</x:f>
        <x:v>2</x:v>
      </x:c>
      <x:c r="Q46" s="9" t="n">
        <x:f>MAX(0,SUMIFS(Calendar!$C$16:$C$141,Calendar!$A$16:$A$141,"&gt;="&amp;Q$19,Calendar!$A$16:$A$141,"&lt;="&amp;Q$19+4)-Q47)</x:f>
        <x:v>0</x:v>
      </x:c>
      <x:c r="R46" s="9" t="n">
        <x:f>MAX(0,SUMIFS(Calendar!$C$16:$C$141,Calendar!$A$16:$A$141,"&gt;="&amp;R$19,Calendar!$A$16:$A$141,"&lt;="&amp;R$19+4)-R47)</x:f>
        <x:v>5</x:v>
      </x:c>
      <x:c r="S46" s="9" t="n">
        <x:f>MAX(0,SUMIFS(Calendar!$C$16:$C$141,Calendar!$A$16:$A$141,"&gt;="&amp;S$19,Calendar!$A$16:$A$141,"&lt;="&amp;S$19+4)-S47)</x:f>
        <x:v>5</x:v>
      </x:c>
      <x:c r="T46" s="9" t="n">
        <x:f>MAX(0,SUMIFS(Calendar!$C$16:$C$141,Calendar!$A$16:$A$141,"&gt;="&amp;T$19,Calendar!$A$16:$A$141,"&lt;="&amp;T$19+4)-T47)</x:f>
        <x:v>5</x:v>
      </x:c>
      <x:c r="U46" s="9" t="n">
        <x:f>SUM(C46:T46)</x:f>
        <x:v>82</x:v>
      </x:c>
      <x:c r="V46" s="2"/>
    </x:row>
    <x:row r="47">
      <x:c r="A47" s="20" t="str">
        <x:v>BA</x:v>
      </x:c>
      <x:c r="B47" s="2" t="str">
        <x:v>Extra leave (input)</x:v>
      </x:c>
      <x:c r="C47" s="51" t="n">
        <x:v>0</x:v>
      </x:c>
      <x:c r="D47" s="51" t="n">
        <x:v>0</x:v>
      </x:c>
      <x:c r="E47" s="51" t="n">
        <x:v>0</x:v>
      </x:c>
      <x:c r="F47" s="51" t="n">
        <x:v>0</x:v>
      </x:c>
      <x:c r="G47" s="51" t="n">
        <x:v>0</x:v>
      </x:c>
      <x:c r="H47" s="51" t="n">
        <x:v>0</x:v>
      </x:c>
      <x:c r="I47" s="51" t="n">
        <x:v>0</x:v>
      </x:c>
      <x:c r="J47" s="51" t="n">
        <x:v>0</x:v>
      </x:c>
      <x:c r="K47" s="51" t="n">
        <x:v>0</x:v>
      </x:c>
      <x:c r="L47" s="51" t="n">
        <x:v>0</x:v>
      </x:c>
      <x:c r="M47" s="51" t="n">
        <x:v>0</x:v>
      </x:c>
      <x:c r="N47" s="51" t="n">
        <x:v>0</x:v>
      </x:c>
      <x:c r="O47" s="51" t="n">
        <x:v>0</x:v>
      </x:c>
      <x:c r="P47" s="51" t="n">
        <x:v>0</x:v>
      </x:c>
      <x:c r="Q47" s="51" t="n">
        <x:v>0</x:v>
      </x:c>
      <x:c r="R47" s="51" t="n">
        <x:v>0</x:v>
      </x:c>
      <x:c r="S47" s="51" t="n">
        <x:v>0</x:v>
      </x:c>
      <x:c r="T47" s="51" t="n">
        <x:v>0</x:v>
      </x:c>
      <x:c r="U47" s="9" t="n">
        <x:f>SUM(C47:T47)</x:f>
        <x:v>0</x:v>
      </x:c>
      <x:c r="V47" s="2"/>
    </x:row>
    <x:row r="48">
      <x:c r="A48" s="20" t="str">
        <x:v>BA</x:v>
      </x:c>
      <x:c r="B48" s="2" t="str">
        <x:v>Unassigned days</x:v>
      </x:c>
      <x:c r="C48" s="9" t="n">
        <x:f>C46-C45</x:f>
        <x:v>1</x:v>
      </x:c>
      <x:c r="D48" s="9" t="n">
        <x:f>D46-D45</x:f>
        <x:v>1</x:v>
      </x:c>
      <x:c r="E48" s="9" t="n">
        <x:f>E46-E45</x:f>
        <x:v>3</x:v>
      </x:c>
      <x:c r="F48" s="9" t="n">
        <x:f>F46-F45</x:f>
        <x:v>3</x:v>
      </x:c>
      <x:c r="G48" s="9" t="n">
        <x:f>G46-G45</x:f>
        <x:v>3</x:v>
      </x:c>
      <x:c r="H48" s="9" t="n">
        <x:f>H46-H45</x:f>
        <x:v>2</x:v>
      </x:c>
      <x:c r="I48" s="9" t="n">
        <x:f>I46-I45</x:f>
        <x:v>2</x:v>
      </x:c>
      <x:c r="J48" s="9" t="n">
        <x:f>J46-J45</x:f>
        <x:v>2</x:v>
      </x:c>
      <x:c r="K48" s="9" t="n">
        <x:f>K46-K45</x:f>
        <x:v>2</x:v>
      </x:c>
      <x:c r="L48" s="9" t="n">
        <x:f>L46-L45</x:f>
        <x:v>2</x:v>
      </x:c>
      <x:c r="M48" s="9" t="n">
        <x:f>M46-M45</x:f>
        <x:v>2</x:v>
      </x:c>
      <x:c r="N48" s="9" t="n">
        <x:f>N46-N45</x:f>
        <x:v>1</x:v>
      </x:c>
      <x:c r="O48" s="9" t="n">
        <x:f>O46-O45</x:f>
        <x:v>1</x:v>
      </x:c>
      <x:c r="P48" s="9" t="n">
        <x:f>P46-P45</x:f>
        <x:v>1</x:v>
      </x:c>
      <x:c r="Q48" s="9" t="n">
        <x:f>Q46-Q45</x:f>
        <x:v>0</x:v>
      </x:c>
      <x:c r="R48" s="9" t="n">
        <x:f>R46-R45</x:f>
        <x:v>2</x:v>
      </x:c>
      <x:c r="S48" s="9" t="n">
        <x:f>S46-S45</x:f>
        <x:v>2</x:v>
      </x:c>
      <x:c r="T48" s="9" t="n">
        <x:f>T46-T45</x:f>
        <x:v>3</x:v>
      </x:c>
      <x:c r="U48" s="9" t="n">
        <x:f>SUM(C48:T48)</x:f>
        <x:v>33</x:v>
      </x:c>
      <x:c r="V48" s="2"/>
    </x:row>
    <x:row r="49">
      <x:c r="A49" s="2"/>
      <x:c r="B49" s="2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2"/>
    </x:row>
    <x:row r="50">
      <x:c r="A50" s="22" t="str">
        <x:v>UI/UX</x:v>
      </x:c>
      <x:c r="B50" s="2" t="str">
        <x:v>Scheduled days</x:v>
      </x:c>
      <x:c r="C50" s="9" t="n">
        <x:f>SUMIFS('Task Plan'!$N$8:$N$157,'Task Plan'!$D$8:$D$157,$A50)</x:f>
        <x:v>4</x:v>
      </x:c>
      <x:c r="D50" s="9" t="n">
        <x:f>SUMIFS('Task Plan'!$O$8:$O$157,'Task Plan'!$D$8:$D$157,$A50)</x:f>
        <x:v>4</x:v>
      </x:c>
      <x:c r="E50" s="9" t="n">
        <x:f>SUMIFS('Task Plan'!$P$8:$P$157,'Task Plan'!$D$8:$D$157,$A50)</x:f>
        <x:v>4</x:v>
      </x:c>
      <x:c r="F50" s="9" t="n">
        <x:f>SUMIFS('Task Plan'!$Q$8:$Q$157,'Task Plan'!$D$8:$D$157,$A50)</x:f>
        <x:v>4</x:v>
      </x:c>
      <x:c r="G50" s="9" t="n">
        <x:f>SUMIFS('Task Plan'!$R$8:$R$157,'Task Plan'!$D$8:$D$157,$A50)</x:f>
        <x:v>4</x:v>
      </x:c>
      <x:c r="H50" s="9" t="n">
        <x:f>SUMIFS('Task Plan'!$S$8:$S$157,'Task Plan'!$D$8:$D$157,$A50)</x:f>
        <x:v>2</x:v>
      </x:c>
      <x:c r="I50" s="9" t="n">
        <x:f>SUMIFS('Task Plan'!$T$8:$T$157,'Task Plan'!$D$8:$D$157,$A50)</x:f>
        <x:v>2</x:v>
      </x:c>
      <x:c r="J50" s="9" t="n">
        <x:f>SUMIFS('Task Plan'!$U$8:$U$157,'Task Plan'!$D$8:$D$157,$A50)</x:f>
        <x:v>2</x:v>
      </x:c>
      <x:c r="K50" s="9" t="n">
        <x:f>SUMIFS('Task Plan'!$V$8:$V$157,'Task Plan'!$D$8:$D$157,$A50)</x:f>
        <x:v>2</x:v>
      </x:c>
      <x:c r="L50" s="9" t="n">
        <x:f>SUMIFS('Task Plan'!$W$8:$W$157,'Task Plan'!$D$8:$D$157,$A50)</x:f>
        <x:v>2</x:v>
      </x:c>
      <x:c r="M50" s="9" t="n">
        <x:f>SUMIFS('Task Plan'!$X$8:$X$157,'Task Plan'!$D$8:$D$157,$A50)</x:f>
        <x:v>2</x:v>
      </x:c>
      <x:c r="N50" s="9" t="n">
        <x:f>SUMIFS('Task Plan'!$Y$8:$Y$157,'Task Plan'!$D$8:$D$157,$A50)</x:f>
        <x:v>2</x:v>
      </x:c>
      <x:c r="O50" s="9" t="n">
        <x:f>SUMIFS('Task Plan'!$Z$8:$Z$157,'Task Plan'!$D$8:$D$157,$A50)</x:f>
        <x:v>2</x:v>
      </x:c>
      <x:c r="P50" s="9" t="n">
        <x:f>SUMIFS('Task Plan'!$AA$8:$AA$157,'Task Plan'!$D$8:$D$157,$A50)</x:f>
        <x:v>1</x:v>
      </x:c>
      <x:c r="Q50" s="9" t="n">
        <x:f>SUMIFS('Task Plan'!$AB$8:$AB$157,'Task Plan'!$D$8:$D$157,$A50)</x:f>
        <x:v>0</x:v>
      </x:c>
      <x:c r="R50" s="9" t="n">
        <x:f>SUMIFS('Task Plan'!$AC$8:$AC$157,'Task Plan'!$D$8:$D$157,$A50)</x:f>
        <x:v>2</x:v>
      </x:c>
      <x:c r="S50" s="9" t="n">
        <x:f>SUMIFS('Task Plan'!$AD$8:$AD$157,'Task Plan'!$D$8:$D$157,$A50)</x:f>
        <x:v>2</x:v>
      </x:c>
      <x:c r="T50" s="9" t="n">
        <x:f>SUMIFS('Task Plan'!$AE$8:$AE$157,'Task Plan'!$D$8:$D$157,$A50)</x:f>
        <x:v>1</x:v>
      </x:c>
      <x:c r="U50" s="9" t="n">
        <x:f>SUM(C50:T50)</x:f>
        <x:v>42</x:v>
      </x:c>
      <x:c r="V50" s="2" t="str">
        <x:f>IF(COUNTIFS('Task Plan'!$D$8:$D$157,$A50,'Task Plan'!$M$8:$M$157,"&lt;&gt;Scheduled")&gt;0,"Check tasks",IF(MIN(C53:T53)&lt;0,"Week overloaded",IF(OR(C50&gt;C51*$B$4,D50&gt;D51*$B$4,E50&gt;E51*$B$4,F50&gt;F51*$B$4,G50&gt;G51*$B$4,H50&gt;H51*$B$4,I50&gt;I51*$B$4,J50&gt;J51*$B$4,K50&gt;K51*$B$4,L50&gt;L51*$B$4,M50&gt;M51*$B$4,N50&gt;N51*$B$4,O50&gt;O51*$B$4,P50&gt;P51*$B$4,Q50&gt;Q51*$B$4,R50&gt;R51*$B$4,S50&gt;S51*$B$4,T50&gt;T51*$B$4),"Reserve reduced","Reserve available")))</x:f>
        <x:v>Reserve available</x:v>
      </x:c>
    </x:row>
    <x:row r="51">
      <x:c r="A51" s="22" t="str">
        <x:v>UI/UX</x:v>
      </x:c>
      <x:c r="B51" s="2" t="str">
        <x:v>Available days</x:v>
      </x:c>
      <x:c r="C51" s="9" t="n">
        <x:f>MAX(0,SUMIFS(Calendar!$C$16:$C$141,Calendar!$A$16:$A$141,"&gt;="&amp;C$19,Calendar!$A$16:$A$141,"&lt;="&amp;C$19+4)-C52)</x:f>
        <x:v>5</x:v>
      </x:c>
      <x:c r="D51" s="9" t="n">
        <x:f>MAX(0,SUMIFS(Calendar!$C$16:$C$141,Calendar!$A$16:$A$141,"&gt;="&amp;D$19,Calendar!$A$16:$A$141,"&lt;="&amp;D$19+4)-D52)</x:f>
        <x:v>5</x:v>
      </x:c>
      <x:c r="E51" s="9" t="n">
        <x:f>MAX(0,SUMIFS(Calendar!$C$16:$C$141,Calendar!$A$16:$A$141,"&gt;="&amp;E$19,Calendar!$A$16:$A$141,"&lt;="&amp;E$19+4)-E52)</x:f>
        <x:v>5</x:v>
      </x:c>
      <x:c r="F51" s="9" t="n">
        <x:f>MAX(0,SUMIFS(Calendar!$C$16:$C$141,Calendar!$A$16:$A$141,"&gt;="&amp;F$19,Calendar!$A$16:$A$141,"&lt;="&amp;F$19+4)-F52)</x:f>
        <x:v>5</x:v>
      </x:c>
      <x:c r="G51" s="9" t="n">
        <x:f>MAX(0,SUMIFS(Calendar!$C$16:$C$141,Calendar!$A$16:$A$141,"&gt;="&amp;G$19,Calendar!$A$16:$A$141,"&lt;="&amp;G$19+4)-G52)</x:f>
        <x:v>5</x:v>
      </x:c>
      <x:c r="H51" s="9" t="n">
        <x:f>MAX(0,SUMIFS(Calendar!$C$16:$C$141,Calendar!$A$16:$A$141,"&gt;="&amp;H$19,Calendar!$A$16:$A$141,"&lt;="&amp;H$19+4)-H52)</x:f>
        <x:v>5</x:v>
      </x:c>
      <x:c r="I51" s="9" t="n">
        <x:f>MAX(0,SUMIFS(Calendar!$C$16:$C$141,Calendar!$A$16:$A$141,"&gt;="&amp;I$19,Calendar!$A$16:$A$141,"&lt;="&amp;I$19+4)-I52)</x:f>
        <x:v>5</x:v>
      </x:c>
      <x:c r="J51" s="9" t="n">
        <x:f>MAX(0,SUMIFS(Calendar!$C$16:$C$141,Calendar!$A$16:$A$141,"&gt;="&amp;J$19,Calendar!$A$16:$A$141,"&lt;="&amp;J$19+4)-J52)</x:f>
        <x:v>5</x:v>
      </x:c>
      <x:c r="K51" s="9" t="n">
        <x:f>MAX(0,SUMIFS(Calendar!$C$16:$C$141,Calendar!$A$16:$A$141,"&gt;="&amp;K$19,Calendar!$A$16:$A$141,"&lt;="&amp;K$19+4)-K52)</x:f>
        <x:v>5</x:v>
      </x:c>
      <x:c r="L51" s="9" t="n">
        <x:f>MAX(0,SUMIFS(Calendar!$C$16:$C$141,Calendar!$A$16:$A$141,"&gt;="&amp;L$19,Calendar!$A$16:$A$141,"&lt;="&amp;L$19+4)-L52)</x:f>
        <x:v>5</x:v>
      </x:c>
      <x:c r="M51" s="9" t="n">
        <x:f>MAX(0,SUMIFS(Calendar!$C$16:$C$141,Calendar!$A$16:$A$141,"&gt;="&amp;M$19,Calendar!$A$16:$A$141,"&lt;="&amp;M$19+4)-M52)</x:f>
        <x:v>5</x:v>
      </x:c>
      <x:c r="N51" s="9" t="n">
        <x:f>MAX(0,SUMIFS(Calendar!$C$16:$C$141,Calendar!$A$16:$A$141,"&gt;="&amp;N$19,Calendar!$A$16:$A$141,"&lt;="&amp;N$19+4)-N52)</x:f>
        <x:v>5</x:v>
      </x:c>
      <x:c r="O51" s="9" t="n">
        <x:f>MAX(0,SUMIFS(Calendar!$C$16:$C$141,Calendar!$A$16:$A$141,"&gt;="&amp;O$19,Calendar!$A$16:$A$141,"&lt;="&amp;O$19+4)-O52)</x:f>
        <x:v>5</x:v>
      </x:c>
      <x:c r="P51" s="9" t="n">
        <x:f>MAX(0,SUMIFS(Calendar!$C$16:$C$141,Calendar!$A$16:$A$141,"&gt;="&amp;P$19,Calendar!$A$16:$A$141,"&lt;="&amp;P$19+4)-P52)</x:f>
        <x:v>2</x:v>
      </x:c>
      <x:c r="Q51" s="9" t="n">
        <x:f>MAX(0,SUMIFS(Calendar!$C$16:$C$141,Calendar!$A$16:$A$141,"&gt;="&amp;Q$19,Calendar!$A$16:$A$141,"&lt;="&amp;Q$19+4)-Q52)</x:f>
        <x:v>0</x:v>
      </x:c>
      <x:c r="R51" s="9" t="n">
        <x:f>MAX(0,SUMIFS(Calendar!$C$16:$C$141,Calendar!$A$16:$A$141,"&gt;="&amp;R$19,Calendar!$A$16:$A$141,"&lt;="&amp;R$19+4)-R52)</x:f>
        <x:v>5</x:v>
      </x:c>
      <x:c r="S51" s="9" t="n">
        <x:f>MAX(0,SUMIFS(Calendar!$C$16:$C$141,Calendar!$A$16:$A$141,"&gt;="&amp;S$19,Calendar!$A$16:$A$141,"&lt;="&amp;S$19+4)-S52)</x:f>
        <x:v>5</x:v>
      </x:c>
      <x:c r="T51" s="9" t="n">
        <x:f>MAX(0,SUMIFS(Calendar!$C$16:$C$141,Calendar!$A$16:$A$141,"&gt;="&amp;T$19,Calendar!$A$16:$A$141,"&lt;="&amp;T$19+4)-T52)</x:f>
        <x:v>5</x:v>
      </x:c>
      <x:c r="U51" s="9" t="n">
        <x:f>SUM(C51:T51)</x:f>
        <x:v>82</x:v>
      </x:c>
      <x:c r="V51" s="2"/>
    </x:row>
    <x:row r="52">
      <x:c r="A52" s="22" t="str">
        <x:v>UI/UX</x:v>
      </x:c>
      <x:c r="B52" s="2" t="str">
        <x:v>Extra leave (input)</x:v>
      </x:c>
      <x:c r="C52" s="51" t="n">
        <x:v>0</x:v>
      </x:c>
      <x:c r="D52" s="51" t="n">
        <x:v>0</x:v>
      </x:c>
      <x:c r="E52" s="51" t="n">
        <x:v>0</x:v>
      </x:c>
      <x:c r="F52" s="51" t="n">
        <x:v>0</x:v>
      </x:c>
      <x:c r="G52" s="51" t="n">
        <x:v>0</x:v>
      </x:c>
      <x:c r="H52" s="51" t="n">
        <x:v>0</x:v>
      </x:c>
      <x:c r="I52" s="51" t="n">
        <x:v>0</x:v>
      </x:c>
      <x:c r="J52" s="51" t="n">
        <x:v>0</x:v>
      </x:c>
      <x:c r="K52" s="51" t="n">
        <x:v>0</x:v>
      </x:c>
      <x:c r="L52" s="51" t="n">
        <x:v>0</x:v>
      </x:c>
      <x:c r="M52" s="51" t="n">
        <x:v>0</x:v>
      </x:c>
      <x:c r="N52" s="51" t="n">
        <x:v>0</x:v>
      </x:c>
      <x:c r="O52" s="51" t="n">
        <x:v>0</x:v>
      </x:c>
      <x:c r="P52" s="51" t="n">
        <x:v>0</x:v>
      </x:c>
      <x:c r="Q52" s="51" t="n">
        <x:v>0</x:v>
      </x:c>
      <x:c r="R52" s="51" t="n">
        <x:v>0</x:v>
      </x:c>
      <x:c r="S52" s="51" t="n">
        <x:v>0</x:v>
      </x:c>
      <x:c r="T52" s="51" t="n">
        <x:v>0</x:v>
      </x:c>
      <x:c r="U52" s="9" t="n">
        <x:f>SUM(C52:T52)</x:f>
        <x:v>0</x:v>
      </x:c>
      <x:c r="V52" s="2"/>
    </x:row>
    <x:row r="53">
      <x:c r="A53" s="22" t="str">
        <x:v>UI/UX</x:v>
      </x:c>
      <x:c r="B53" s="2" t="str">
        <x:v>Unassigned days</x:v>
      </x:c>
      <x:c r="C53" s="9" t="n">
        <x:f>C51-C50</x:f>
        <x:v>1</x:v>
      </x:c>
      <x:c r="D53" s="9" t="n">
        <x:f>D51-D50</x:f>
        <x:v>1</x:v>
      </x:c>
      <x:c r="E53" s="9" t="n">
        <x:f>E51-E50</x:f>
        <x:v>1</x:v>
      </x:c>
      <x:c r="F53" s="9" t="n">
        <x:f>F51-F50</x:f>
        <x:v>1</x:v>
      </x:c>
      <x:c r="G53" s="9" t="n">
        <x:f>G51-G50</x:f>
        <x:v>1</x:v>
      </x:c>
      <x:c r="H53" s="9" t="n">
        <x:f>H51-H50</x:f>
        <x:v>3</x:v>
      </x:c>
      <x:c r="I53" s="9" t="n">
        <x:f>I51-I50</x:f>
        <x:v>3</x:v>
      </x:c>
      <x:c r="J53" s="9" t="n">
        <x:f>J51-J50</x:f>
        <x:v>3</x:v>
      </x:c>
      <x:c r="K53" s="9" t="n">
        <x:f>K51-K50</x:f>
        <x:v>3</x:v>
      </x:c>
      <x:c r="L53" s="9" t="n">
        <x:f>L51-L50</x:f>
        <x:v>3</x:v>
      </x:c>
      <x:c r="M53" s="9" t="n">
        <x:f>M51-M50</x:f>
        <x:v>3</x:v>
      </x:c>
      <x:c r="N53" s="9" t="n">
        <x:f>N51-N50</x:f>
        <x:v>3</x:v>
      </x:c>
      <x:c r="O53" s="9" t="n">
        <x:f>O51-O50</x:f>
        <x:v>3</x:v>
      </x:c>
      <x:c r="P53" s="9" t="n">
        <x:f>P51-P50</x:f>
        <x:v>1</x:v>
      </x:c>
      <x:c r="Q53" s="9" t="n">
        <x:f>Q51-Q50</x:f>
        <x:v>0</x:v>
      </x:c>
      <x:c r="R53" s="9" t="n">
        <x:f>R51-R50</x:f>
        <x:v>3</x:v>
      </x:c>
      <x:c r="S53" s="9" t="n">
        <x:f>S51-S50</x:f>
        <x:v>3</x:v>
      </x:c>
      <x:c r="T53" s="9" t="n">
        <x:f>T51-T50</x:f>
        <x:v>4</x:v>
      </x:c>
      <x:c r="U53" s="9" t="n">
        <x:f>SUM(C53:T53)</x:f>
        <x:v>40</x:v>
      </x:c>
      <x:c r="V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 ht="27" customHeight="1">
      <x:c r="A56" s="36" t="str">
        <x:v>Role ownership: modules in one Java backend; UI/UX owns frontend implementation</x:v>
      </x:c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</x:row>
    <x:row r="57" ht="39" customHeight="1">
      <x:c r="A57" s="2" t="str">
        <x:v>Dev 1</x:v>
      </x:c>
      <x:c r="B57" s="2" t="str">
        <x:v>API / business logic</x:v>
      </x:c>
      <x:c r="C57" s="46" t="str">
        <x:v>Own APIs, sessions, authorization, Cases/Open Items, Triage decisions and approval/publication logic. Own Java PR/unit/contract checks in GitHub Actions; integrate with UI/UX.</x:v>
      </x:c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</x:row>
    <x:row r="58" ht="39" customHeight="1">
      <x:c r="A58" s="2" t="str">
        <x:v>Dev 2</x:v>
      </x:c>
      <x:c r="B58" s="2" t="str">
        <x:v>Async / Azure / platform</x:v>
      </x:c>
      <x:c r="C58" s="46" t="str">
        <x:v>Own Graph/Foundry/PostgreSQL/Blob, durable jobs and approved sending. Own GitHub Actions Azure OIDC, image/deployment/migrations, replicas, runtime telemetry, restore and rollback. One shared Java backend.</x:v>
      </x:c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</x:row>
    <x:row r="59" ht="39" customHeight="1">
      <x:c r="A59" s="2" t="str">
        <x:v>DS</x:v>
      </x:c>
      <x:c r="B59" s="2" t="str">
        <x:v>AI quality</x:v>
      </x:c>
      <x:c r="C59" s="46" t="str">
        <x:v>Own intent, draft-mail and Playbook tuning, prompts/schemas and dev-set evaluation. Release versioned candidates to QA; analyze validation failures and fix on dev data. Tester 2 independently verifies quality.</x:v>
      </x:c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</x:row>
    <x:row r="60" ht="39" customHeight="1">
      <x:c r="A60" s="2" t="str">
        <x:v>Tester 1</x:v>
      </x:c>
      <x:c r="B60" s="2" t="str">
        <x:v>Technical QA / SIT</x:v>
      </x:c>
      <x:c r="C60" s="46" t="str">
        <x:v>Own technical QA: API/AI integration, permissions, timeouts, malformed outputs, concurrency, idempotency, JVM failover, restore/rollback and CI evidence. Support SIT/UAT and verify changed candidates.</x:v>
      </x:c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</x:row>
    <x:row r="61" ht="39" customHeight="1">
      <x:c r="A61" s="2" t="str">
        <x:v>Tester 2</x:v>
      </x:c>
      <x:c r="B61" s="2" t="str">
        <x:v>Business QA / evaluation</x:v>
      </x:c>
      <x:c r="C61" s="46" t="str">
        <x:v>Own business QA: independently test intent, draft and Playbook scenarios after DS release; measure FSD quality targets, manage unseen holdout, retest fixes and guide AM UAT. BA defines expected outcomes.</x:v>
      </x:c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</x:row>
    <x:row r="62" ht="39" customHeight="1">
      <x:c r="A62" s="2" t="str">
        <x:v>BA</x:v>
      </x:c>
      <x:c r="B62" s="2" t="str">
        <x:v>FSD / Cases / acceptance</x:v>
      </x:c>
      <x:c r="C62" s="46" t="str">
        <x:v>Own FSD, per-requirement AC, default Case/Playbook definitions, business rubrics and clarifications. Coordinate business-owner FSD/UAT signoff, AM availability and acceptance decisions.</x:v>
      </x:c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</x:row>
    <x:row r="63" ht="39" customHeight="1">
      <x:c r="A63" s="2" t="str">
        <x:v>UI/UX</x:v>
      </x:c>
      <x:c r="B63" s="2" t="str">
        <x:v>Design + frontend delivery</x:v>
      </x:c>
      <x:c r="C63" s="46" t="str">
        <x:v>Own research, page/interaction design, prototypes and frontend implementation/integration. Cover loading, polling, errors, draft approval, Playbook tests and accessibility/usability fixes.</x:v>
      </x:c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 ht="27" customHeight="1">
      <x:c r="A66" s="36" t="str">
        <x:v>Gate dates are plans. Evidence and business / release approvals must be recorded before stage entry.</x:v>
      </x:c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</x:row>
    <x:row r="67" ht="36" customHeight="1">
      <x:c r="A67" s="13" t="str">
        <x:v>Gate</x:v>
      </x:c>
      <x:c r="B67" s="13" t="str">
        <x:v>Milestone</x:v>
      </x:c>
      <x:c r="C67" s="13" t="str">
        <x:v>Week</x:v>
      </x:c>
      <x:c r="D67" s="13" t="str">
        <x:v>Planned date</x:v>
      </x:c>
      <x:c r="E67" s="13" t="str">
        <x:v>Coordinator</x:v>
      </x:c>
      <x:c r="F67" s="13" t="str">
        <x:v>Evidence</x:v>
      </x:c>
      <x:c r="G67" s="13" t="str">
        <x:v>Decision</x:v>
      </x:c>
      <x:c r="H67" s="13" t="str">
        <x:v>Approver and acceptance criteria</x:v>
      </x:c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</x:row>
    <x:row r="68" ht="44" customHeight="1">
      <x:c r="A68" s="2" t="str">
        <x:v>G01</x:v>
      </x:c>
      <x:c r="B68" s="46" t="str">
        <x:v>FSD SIGNOFF</x:v>
      </x:c>
      <x:c r="C68" s="2" t="n">
        <x:f>INT((D68-'Delivery Timeline'!$B$4)/7)+1</x:f>
        <x:v>2</x:v>
      </x:c>
      <x:c r="D68" s="14" t="n">
        <x:f>INDEX('Task Plan'!$K$8:$K$157,MATCH("BA03",'Task Plan'!$A$8:$A$157,0))</x:f>
        <x:v>46339</x:v>
      </x:c>
      <x:c r="E68" s="2" t="str">
        <x:v>BA</x:v>
      </x:c>
      <x:c r="F68" s="50" t="str">
        <x:v>Not run</x:v>
      </x:c>
      <x:c r="G68" s="50" t="str">
        <x:v>Pending</x:v>
      </x:c>
      <x:c r="H68" s="46" t="str">
        <x:v>Business owner approves FSD, every requirement AC, default Cases/Playbooks, exclusions and measurable AI quality criteria.</x:v>
      </x:c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</x:row>
    <x:row r="69" ht="44" customHeight="1">
      <x:c r="A69" s="2" t="str">
        <x:v>G02</x:v>
      </x:c>
      <x:c r="B69" s="46" t="str">
        <x:v>GitHub Actions / test environment ready</x:v>
      </x:c>
      <x:c r="C69" s="2" t="n">
        <x:f>INT((D69-'Delivery Timeline'!$B$4)/7)+1</x:f>
        <x:v>3</x:v>
      </x:c>
      <x:c r="D69" s="14" t="n">
        <x:f>INDEX('Task Plan'!$K$8:$K$157,MATCH("A03",'Task Plan'!$A$8:$A$157,0))</x:f>
        <x:v>46346</x:v>
      </x:c>
      <x:c r="E69" s="2" t="str">
        <x:v>Dev 2</x:v>
      </x:c>
      <x:c r="F69" s="50" t="str">
        <x:v>Not run</x:v>
      </x:c>
      <x:c r="G69" s="50" t="str">
        <x:v>Pending</x:v>
      </x:c>
      <x:c r="H69" s="46" t="str">
        <x:v>Dev leads / QA accept PR checks, one backend image, test deploy, Azure OIDC, migration and rollback evidence.</x:v>
      </x:c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</x:row>
    <x:row r="70" ht="44" customHeight="1">
      <x:c r="A70" s="2" t="str">
        <x:v>G03</x:v>
      </x:c>
      <x:c r="B70" s="46" t="str">
        <x:v>UI/UX design SIGNOFF</x:v>
      </x:c>
      <x:c r="C70" s="2" t="n">
        <x:f>INT((D70-'Delivery Timeline'!$B$4)/7)+1</x:f>
        <x:v>2</x:v>
      </x:c>
      <x:c r="D70" s="14" t="n">
        <x:f>INDEX('Task Plan'!$K$8:$K$157,MATCH("F03",'Task Plan'!$A$8:$A$157,0))</x:f>
        <x:v>46339</x:v>
      </x:c>
      <x:c r="E70" s="2" t="str">
        <x:v>UI/UX</x:v>
      </x:c>
      <x:c r="F70" s="50" t="str">
        <x:v>Not run</x:v>
      </x:c>
      <x:c r="G70" s="50" t="str">
        <x:v>Pending</x:v>
      </x:c>
      <x:c r="H70" s="46" t="str">
        <x:v>Business owner / pilot AM approve page flows, key UI states and implementation scope.</x:v>
      </x:c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</x:row>
    <x:row r="71" ht="44" customHeight="1">
      <x:c r="A71" s="2" t="str">
        <x:v>G04</x:v>
      </x:c>
      <x:c r="B71" s="46" t="str">
        <x:v>Feature complete / SIT entry ready</x:v>
      </x:c>
      <x:c r="C71" s="2" t="n">
        <x:f>INT((D71-'Delivery Timeline'!$B$4)/7)+1</x:f>
        <x:v>5</x:v>
      </x:c>
      <x:c r="D71" s="14" t="n">
        <x:f>INDEX('Task Plan'!$K$8:$K$157,MATCH("B07",'Task Plan'!$A$8:$A$157,0))</x:f>
        <x:v>46360</x:v>
      </x:c>
      <x:c r="E71" s="2" t="str">
        <x:v>Dev 1</x:v>
      </x:c>
      <x:c r="F71" s="50" t="str">
        <x:v>Not run</x:v>
      </x:c>
      <x:c r="G71" s="50" t="str">
        <x:v>Pending</x:v>
      </x:c>
      <x:c r="H71" s="46" t="str">
        <x:v>Dev leads + QA confirm FSD scope integrated, developer tests passed, data/environment ready and no blocking smoke defects.</x:v>
      </x:c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</x:row>
    <x:row r="72" ht="44" customHeight="1">
      <x:c r="A72" s="2" t="str">
        <x:v>G05</x:v>
      </x:c>
      <x:c r="B72" s="46" t="str">
        <x:v>SIT START</x:v>
      </x:c>
      <x:c r="C72" s="2" t="n">
        <x:f>INT((D72-'Delivery Timeline'!$B$4)/7)+1</x:f>
        <x:v>6</x:v>
      </x:c>
      <x:c r="D72" s="14" t="n">
        <x:f>INDEX('Task Plan'!$J$8:$J$157,MATCH("Q08",'Task Plan'!$A$8:$A$157,0))</x:f>
        <x:v>46363</x:v>
      </x:c>
      <x:c r="E72" s="2" t="str">
        <x:v>Tester 1</x:v>
      </x:c>
      <x:c r="F72" s="50" t="str">
        <x:v>Not run</x:v>
      </x:c>
      <x:c r="G72" s="50" t="str">
        <x:v>Pending</x:v>
      </x:c>
      <x:c r="H72" s="46" t="str">
        <x:v>QA lead authorizes entry after FSD/design and feature-complete gates; full-system tests use qualified environments and traceable AC.</x:v>
      </x:c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</x:row>
    <x:row r="73" ht="44" customHeight="1">
      <x:c r="A73" s="2" t="str">
        <x:v>G06</x:v>
      </x:c>
      <x:c r="B73" s="46" t="str">
        <x:v>SIT SIGNOFF</x:v>
      </x:c>
      <x:c r="C73" s="2" t="n">
        <x:f>INT((D73-'Delivery Timeline'!$B$4)/7)+1</x:f>
        <x:v>13</x:v>
      </x:c>
      <x:c r="D73" s="14" t="n">
        <x:f>INDEX('Task Plan'!$K$8:$K$157,MATCH("Q13",'Task Plan'!$A$8:$A$157,0))</x:f>
        <x:v>46416</x:v>
      </x:c>
      <x:c r="E73" s="2" t="str">
        <x:v>Tester 1</x:v>
      </x:c>
      <x:c r="F73" s="50" t="str">
        <x:v>Not run</x:v>
      </x:c>
      <x:c r="G73" s="50" t="str">
        <x:v>Pending</x:v>
      </x:c>
      <x:c r="H73" s="46" t="str">
        <x:v>Tester 1 supplies technical QA evidence; Tester 2 supplies business scenario and final unseen-holdout AI results against FSD targets. QA lead + business owner accept both, with no critical defects and agreed residuals.</x:v>
      </x:c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</x:row>
    <x:row r="74" ht="44" customHeight="1">
      <x:c r="A74" s="2" t="str">
        <x:v>G07</x:v>
      </x:c>
      <x:c r="B74" s="46" t="str">
        <x:v>UAT environment READY / smoke passed</x:v>
      </x:c>
      <x:c r="C74" s="2" t="n">
        <x:f>INT((D74-'Delivery Timeline'!$B$4)/7)+1</x:f>
        <x:v>14</x:v>
      </x:c>
      <x:c r="D74" s="14" t="n">
        <x:f>INDEX('Task Plan'!$K$8:$K$157,MATCH("A14",'Task Plan'!$A$8:$A$157,0))</x:f>
        <x:v>46420</x:v>
      </x:c>
      <x:c r="E74" s="2" t="str">
        <x:v>Dev 2</x:v>
      </x:c>
      <x:c r="F74" s="50" t="str">
        <x:v>Not run</x:v>
      </x:c>
      <x:c r="G74" s="50" t="str">
        <x:v>Pending</x:v>
      </x:c>
      <x:c r="H74" s="46" t="str">
        <x:v>By Feb 2: UAT Portal/backend/models, approved data, accounts and scripts are deployed; basic sync, Case and approved-send smoke passes.</x:v>
      </x:c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</x:row>
    <x:row r="75" ht="44" customHeight="1">
      <x:c r="A75" s="2" t="str">
        <x:v>G08</x:v>
      </x:c>
      <x:c r="B75" s="46" t="str">
        <x:v>UAT START</x:v>
      </x:c>
      <x:c r="C75" s="2" t="n">
        <x:f>INT((D75-'Delivery Timeline'!$B$4)/7)+1</x:f>
        <x:v>16</x:v>
      </x:c>
      <x:c r="D75" s="14" t="n">
        <x:f>INDEX('Task Plan'!$J$8:$J$157,MATCH("U16",'Task Plan'!$A$8:$A$157,0))</x:f>
        <x:v>46433</x:v>
      </x:c>
      <x:c r="E75" s="2" t="str">
        <x:v>BA</x:v>
      </x:c>
      <x:c r="F75" s="50" t="str">
        <x:v>Not run</x:v>
      </x:c>
      <x:c r="G75" s="50" t="str">
        <x:v>Pending</x:v>
      </x:c>
      <x:c r="H75" s="46" t="str">
        <x:v>Feb 15: business owner authorizes AM UAT after SIT signoff, environment re-entry smoke, data/scripts and reviewer availability.</x:v>
      </x:c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</x:row>
    <x:row r="76" ht="44" customHeight="1">
      <x:c r="A76" s="2" t="str">
        <x:v>G09</x:v>
      </x:c>
      <x:c r="B76" s="46" t="str">
        <x:v>UAT SIGNOFF</x:v>
      </x:c>
      <x:c r="C76" s="2" t="n">
        <x:f>INT((D76-'Delivery Timeline'!$B$4)/7)+1</x:f>
        <x:v>17</x:v>
      </x:c>
      <x:c r="D76" s="14" t="n">
        <x:f>INDEX('Task Plan'!$K$8:$K$157,MATCH("BA17",'Task Plan'!$A$8:$A$157,0))</x:f>
        <x:v>46442</x:v>
      </x:c>
      <x:c r="E76" s="2" t="str">
        <x:v>BA</x:v>
      </x:c>
      <x:c r="F76" s="50" t="str">
        <x:v>Not run</x:v>
      </x:c>
      <x:c r="G76" s="50" t="str">
        <x:v>Pending</x:v>
      </x:c>
      <x:c r="H76" s="46" t="str">
        <x:v>Business owner / pilot AM accept FSD journeys, AI quality, scope and defect retests; BA records final approval by Feb 24. Eight workdays of AM UAT require pre-booked reviewers.</x:v>
      </x:c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</x:row>
    <x:row r="77" ht="44" customHeight="1">
      <x:c r="A77" s="2" t="str">
        <x:v>G10</x:v>
      </x:c>
      <x:c r="B77" s="46" t="str">
        <x:v>Release Go / No-Go</x:v>
      </x:c>
      <x:c r="C77" s="2" t="n">
        <x:f>INT((D77-'Delivery Timeline'!$B$4)/7)+1</x:f>
        <x:v>17</x:v>
      </x:c>
      <x:c r="D77" s="14" t="n">
        <x:f>INDEX('Task Plan'!$J$8:$J$157,MATCH("B-GATE",'Task Plan'!$A$8:$A$157,0))</x:f>
        <x:v>46443</x:v>
      </x:c>
      <x:c r="E77" s="2" t="str">
        <x:v>Dev 1</x:v>
      </x:c>
      <x:c r="F77" s="50" t="str">
        <x:v>Not run</x:v>
      </x:c>
      <x:c r="G77" s="50" t="str">
        <x:v>Pending</x:v>
      </x:c>
      <x:c r="H77" s="46" t="str">
        <x:v>Feb 25: release owner + QA + business owner require UAT signoff, P0/P1 zero, provider readiness and rollback evidence.</x:v>
      </x:c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</x:row>
    <x:row r="78" ht="44" customHeight="1">
      <x:c r="A78" s="2" t="str">
        <x:v>G11</x:v>
      </x:c>
      <x:c r="B78" s="46" t="str">
        <x:v>Production release</x:v>
      </x:c>
      <x:c r="C78" s="2" t="n">
        <x:f>INT((D78-'Delivery Timeline'!$B$4)/7)+1</x:f>
        <x:v>17</x:v>
      </x:c>
      <x:c r="D78" s="14" t="n">
        <x:f>INDEX('Task Plan'!$J$8:$J$157,MATCH("A-REL",'Task Plan'!$A$8:$A$157,0))</x:f>
        <x:v>46444</x:v>
      </x:c>
      <x:c r="E78" s="2" t="str">
        <x:v>Dev 2</x:v>
      </x:c>
      <x:c r="F78" s="50" t="str">
        <x:v>Not run</x:v>
      </x:c>
      <x:c r="G78" s="50" t="str">
        <x:v>Pending</x:v>
      </x:c>
      <x:c r="H78" s="46" t="str">
        <x:v>Release owner authorizes Feb 26 deployment after Go decision; controlled smoke and rollback are staffed.</x:v>
      </x:c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</x:row>
    <x:row r="79" ht="44" customHeight="1">
      <x:c r="A79" s="2" t="str">
        <x:v>G12</x:v>
      </x:c>
      <x:c r="B79" s="46" t="str">
        <x:v>Hypercare / handover complete</x:v>
      </x:c>
      <x:c r="C79" s="2" t="n">
        <x:f>INT((D79-'Delivery Timeline'!$B$4)/7)+1</x:f>
        <x:v>18</x:v>
      </x:c>
      <x:c r="D79" s="14" t="n">
        <x:f>INDEX('Task Plan'!$K$8:$K$157,MATCH("BA18",'Task Plan'!$A$8:$A$157,0))</x:f>
        <x:v>46451</x:v>
      </x:c>
      <x:c r="E79" s="2" t="str">
        <x:v>BA</x:v>
      </x:c>
      <x:c r="F79" s="50" t="str">
        <x:v>Not run</x:v>
      </x:c>
      <x:c r="G79" s="50" t="str">
        <x:v>Pending</x:v>
      </x:c>
      <x:c r="H79" s="46" t="str">
        <x:v>Business/service owner accepts first records, approved sends, alerts, training and support handover by Mar 5.</x:v>
      </x:c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</x:row>
    <x:row r="82" ht="27" customHeight="1">
      <x:c r="A82" s="36" t="str">
        <x:v>Scope, assumptions, tuning uncertainty and acceptance controls</x:v>
      </x:c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</x:row>
    <x:row r="83" ht="42" customHeight="1">
      <x:c r="A83" s="46" t="str">
        <x:v>Architecture</x:v>
      </x:c>
      <x:c r="B83" s="2"/>
      <x:c r="C83" s="46" t="str">
        <x:v>One Spring Boot backend, multiple replicas, Spring AI + Foundry, Next.js Portal, PostgreSQL and Blob. HTTP handlers and bounded async executors share one application.</x:v>
      </x:c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</x:row>
    <x:row r="84" ht="42" customHeight="1">
      <x:c r="A84" s="46" t="str">
        <x:v>Staffing</x:v>
      </x:c>
      <x:c r="B84" s="2"/>
      <x:c r="C84" s="46" t="str">
        <x:v>Seven assumed resources: Dev 1, Dev 2, DS, Tester 1, Tester 2, BA and UI/UX. UI/UX includes frontend implementation. Confirm availability in W1.</x:v>
      </x:c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</x:row>
    <x:row r="85" ht="42" customHeight="1">
      <x:c r="A85" s="46" t="str">
        <x:v>Preparation</x:v>
      </x:c>
      <x:c r="B85" s="2"/>
      <x:c r="C85" s="46" t="str">
        <x:v>Nov 2-13: two weeks for signed FSD/AC/default Cases and UX design. GitHub Actions foundations run Nov 2-20 in parallel; qualified CI/CD does not block coding start.</x:v>
      </x:c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</x:row>
    <x:row r="86" ht="42" customHeight="1">
      <x:c r="A86" s="46" t="str">
        <x:v>Coding window</x:v>
      </x:c>
      <x:c r="B86" s="2"/>
      <x:c r="C86" s="46" t="str">
        <x:v>Nov 16-Dec 4: three weeks of feature implementation and Portal integration. In Nov 16-20 each Dev spends 3 days coding + 1 day CI/CD. Use local builds/stubs and controlled test deployment until automated delivery is qualified.</x:v>
      </x:c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</x:row>
    <x:row r="87" ht="42" customHeight="1">
      <x:c r="A87" s="46" t="str">
        <x:v>Tuning</x:v>
      </x:c>
      <x:c r="B87" s="2"/>
      <x:c r="C87" s="46" t="str">
        <x:v>Dec 7-25: focused intent, draft and Playbook tuning. Dec 28-Jan 22: QA-feedback tuning and independent regression; freeze final candidate Jan 22. Final unseen evaluation Jan 25-29.</x:v>
      </x:c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</x:row>
    <x:row r="88" ht="42" customHeight="1">
      <x:c r="A88" s="46" t="str">
        <x:v>Test stages</x:v>
      </x:c>
      <x:c r="B88" s="2"/>
      <x:c r="C88" s="46" t="str">
        <x:v>Continuous component tests run during coding. Formal SIT runs Dec 7-Jan 29 (8 weeks). UAT preparation runs Jan 4-Feb 2. Formal AM UAT and regression run Feb 15-24 (8 workdays).</x:v>
      </x:c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</x:row>
    <x:row r="89" ht="42" customHeight="1">
      <x:c r="A89" s="46" t="str">
        <x:v>Approvals</x:v>
      </x:c>
      <x:c r="B89" s="2"/>
      <x:c r="C89" s="46" t="str">
        <x:v>Dates are planned checkpoints, not approvals. BA prepares FSD/UAT evidence; named business owners approve. SIT signoff requires QA and business acceptance.</x:v>
      </x:c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</x:row>
    <x:row r="90" ht="42" customHeight="1">
      <x:c r="A90" s="46" t="str">
        <x:v>Default Cases</x:v>
      </x:c>
      <x:c r="B90" s="2"/>
      <x:c r="C90" s="46" t="str">
        <x:v>BA defines 2–3 launch templates, e.g. renewal, periodic report and program change: intent, required inputs, Case/Open Items, owners, completion evidence, replies and exceptions.</x:v>
      </x:c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</x:row>
    <x:row r="91" ht="42" customHeight="1">
      <x:c r="A91" s="46" t="str">
        <x:v>AC coverage</x:v>
      </x:c>
      <x:c r="B91" s="2"/>
      <x:c r="C91" s="46" t="str">
        <x:v>Every FSD requirement includes positive/negative AC, source permissions, failure/ambiguity behavior and expected UI states. Map AC IDs to SIT/UAT tests and evidence.</x:v>
      </x:c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</x:row>
    <x:row r="92" ht="42" customHeight="1">
      <x:c r="A92" s="46" t="str">
        <x:v>Capacity</x:v>
      </x:c>
      <x:c r="B92" s="2"/>
      <x:c r="C92" s="46" t="str">
        <x:v>82 available workdays per person before individual leave. Most weeks allocate at most 80%; unassigned capacity handles review, defects and uncertainty. Reserve is not pre-charged.</x:v>
      </x:c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</x:row>
    <x:row r="93" ht="42" customHeight="1">
      <x:c r="A93" s="46" t="str">
        <x:v>Cost basis</x:v>
      </x:c>
      <x:c r="B93" s="2"/>
      <x:c r="C93" s="46" t="str">
        <x:v>Default USD 360 per scheduled person-day for all seven resources; edit individual rates above. Cost derives from weekly Gantt allocations. Excludes Azure, model usage, external IT/AM time and overhead.</x:v>
      </x:c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</x:row>
    <x:row r="94" ht="42" customHeight="1">
      <x:c r="A94" s="46" t="str">
        <x:v>Scheduling</x:v>
      </x:c>
      <x:c r="B94" s="2"/>
      <x:c r="C94" s="46" t="str">
        <x:v>Start WD and Window WD drive dates and weekly allocation. Extra individual leave flags capacity issues; dependencies are checked but not automatically moved or resource-leveled.</x:v>
      </x:c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</x:row>
    <x:row r="95" ht="42" customHeight="1">
      <x:c r="A95" s="46" t="str">
        <x:v>Risk response</x:v>
      </x:c>
      <x:c r="B95" s="2"/>
      <x:c r="C95" s="46" t="str">
        <x:v>Post-holiday formal UAT has eight workdays, ending Feb 24. Go/No-Go Feb 25; production Feb 26; hypercare through Mar 5. Friday rollout requires staffed deployment/rollback and weekend on-call coverage. Pre-book AM reviewers and prepare scripts/data before leave. Material late defects require approved scope/date changes; do not silently waive acceptance.</x:v>
      </x:c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</x:row>
    <x:row r="96" ht="42" customHeight="1">
      <x:c r="A96" s="46" t="str">
        <x:v>Data and eval</x:v>
      </x:c>
      <x:c r="B96" s="2"/>
      <x:c r="C96" s="46" t="str">
        <x:v>Obtain authorized de-identified examples early. Split by thread/Case before tuning. DS uses tuning/dev data; Tester 2 controls and executes independent holdout.</x:v>
      </x:c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</x:row>
    <x:row r="97" ht="42" customHeight="1">
      <x:c r="A97" s="46" t="str">
        <x:v>AI acceptance</x:v>
      </x:c>
      <x:c r="B97" s="2"/>
      <x:c r="C97" s="46" t="str">
        <x:v>Agree measurable intent recall/matching precision, grounded draft usefulness, valid Playbook/replay criteria, latency/cost and slice sample sizes at FSD signoff.</x:v>
      </x:c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</x:row>
    <x:row r="98" ht="42" customHeight="1">
      <x:c r="A98" s="46" t="str">
        <x:v>Safety</x:v>
      </x:c>
      <x:c r="B98" s="2"/>
      <x:c r="C98" s="46" t="str">
        <x:v>No critical unauthorized disclosure, wrong recipients or fabricated commitments in acceptance evidence. Sending requires AM approval; uncertain sends are reconciled, never blindly resent.</x:v>
      </x:c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</x:row>
    <x:row r="99" ht="42" customHeight="1">
      <x:c r="A99" s="46" t="str">
        <x:v>Candidate changes</x:v>
      </x:c>
      <x:c r="B99" s="2"/>
      <x:c r="C99" s="46" t="str">
        <x:v>Pin model, prompts, schema, Playbook and corpus versions. Fixes after candidate freeze/SIT signoff trigger affected regression and independent evaluation before UAT acceptance.</x:v>
      </x:c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</x:row>
    <x:row r="100" ht="42" customHeight="1">
      <x:c r="A100" s="46" t="str">
        <x:v>GitHub Actions</x:v>
      </x:c>
      <x:c r="B100" s="2"/>
      <x:c r="C100" s="46" t="str">
        <x:v>Dev 1: Java build/unit/contract PR checks. Dev 2: Azure OIDC, images, migration and deploy/rollback. CI/CD completes Nov 20 in parallel with coding; it gates SIT entry, not development start. UI/UX supplies frontend checks; Tester 1 verifies failure propagation.</x:v>
      </x:c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</x:row>
    <x:row r="101" ht="42" customHeight="1">
      <x:c r="A101" s="46" t="str">
        <x:v>Holiday inputs</x:v>
      </x:c>
      <x:c r="B101" s="2"/>
      <x:c r="C101" s="46" t="str">
        <x:v>Nov 2, 2026 start; FSD/UX Nov 13; Java complete Dec 4; Feb 24, 2027 UAT signoff; Feb 26 launch; Mar 5 handover. Feb 3–12 leave is excluded. Christmas/New Year weekdays remain available; confirm external IT/AM availability.</x:v>
      </x:c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</x:row>
    <x:row r="102" ht="42" customHeight="1">
      <x:c r="A102" s="46" t="str">
        <x:v>QA feedback loop</x:v>
      </x:c>
      <x:c r="B102" s="2"/>
      <x:c r="C102" s="46" t="str">
        <x:v>DS candidate release -&gt; Tester 2 independent scenario validation -&gt; defect feedback -&gt; DS dev-set fixes -&gt; QA regression. Intent QA: Dec 14-18; draft QA: Dec 21-25; Playbook QA: Dec 28-Jan 1. Final candidate freezes Jan 22; unseen holdout runs Jan 25-29.</x:v>
      </x:c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</x:row>
    <x:row r="103" ht="42" customHeight="1">
      <x:c r="A103" s="46" t="str">
        <x:v>QA ownership</x:v>
      </x:c>
      <x:c r="B103" s="2"/>
      <x:c r="C103" s="46" t="str">
        <x:v>Tester 1 = technical QA; Tester 2 = business/AI scenario QA. BA defines expected outcomes, scoring rubrics and thresholds in FSD. Shared validation failures become regression cases; final holdout stays isolated. Overview AI row is a subset of Business QA, not extra effort.</x:v>
      </x:c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</x:row>
    <x:row r="104" ht="42" customHeight="1">
      <x:c r="A104" s="46" t="str">
        <x:v>Launch scope</x:v>
      </x:c>
      <x:c r="B104" s="2"/>
      <x:c r="C104" s="46" t="str">
        <x:v>Mail visibility, Triage, Cases/Open Items, summaries, generated replies with AM-approved sending and bounded prompt/example-generated Playbooks. Defer autonomous multi-agent execution.</x:v>
      </x:c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</x:row>
    <x:row r="107" ht="27" customHeight="1">
      <x:c r="A107" s="36" t="str">
        <x:v>Independent AI scenario acceptance: BA defines criteria; Tester 2 measures business quality; Tester 1 verifies technical behavior</x:v>
      </x:c>
      <x:c r="B107" s="3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36"/>
      <x:c r="T107" s="36"/>
      <x:c r="U107" s="36"/>
      <x:c r="V107" s="36"/>
    </x:row>
    <x:row r="108" ht="36" customHeight="1">
      <x:c r="A108" s="13" t="str">
        <x:v>Capability</x:v>
      </x:c>
      <x:c r="B108" s="13"/>
      <x:c r="C108" s="13" t="str">
        <x:v>Business scenario coverage</x:v>
      </x:c>
      <x:c r="D108" s="13"/>
      <x:c r="E108" s="13"/>
      <x:c r="F108" s="13"/>
      <x:c r="G108" s="13" t="str">
        <x:v>Business QA measures</x:v>
      </x:c>
      <x:c r="H108" s="13"/>
      <x:c r="I108" s="13"/>
      <x:c r="J108" s="13"/>
      <x:c r="K108" s="13" t="str">
        <x:v>Technical QA checks</x:v>
      </x:c>
      <x:c r="L108" s="13"/>
      <x:c r="M108" s="13"/>
      <x:c r="N108" s="13"/>
      <x:c r="O108" s="13" t="str">
        <x:v>QA ownership</x:v>
      </x:c>
      <x:c r="P108" s="13"/>
      <x:c r="Q108" s="13" t="str">
        <x:v>Acceptance and evidence</x:v>
      </x:c>
      <x:c r="R108" s="13"/>
      <x:c r="S108" s="13"/>
      <x:c r="T108" s="13"/>
      <x:c r="U108" s="13"/>
      <x:c r="V108" s="13"/>
    </x:row>
    <x:row r="109" ht="100" customHeight="1">
      <x:c r="A109" s="47" t="str">
        <x:v>Intent / Case match</x:v>
      </x:c>
      <x:c r="B109" s="47"/>
      <x:c r="C109" s="47" t="str">
        <x:v>All launch Cases; multi-intent, ambiguous, no-action, wrong customer/period and existing-Case matches.</x:v>
      </x:c>
      <x:c r="D109" s="47"/>
      <x:c r="E109" s="47"/>
      <x:c r="F109" s="47"/>
      <x:c r="G109" s="47" t="str">
        <x:v>Per-intent precision/recall; Case-match precision; abstention and wrong-customer errors.</x:v>
      </x:c>
      <x:c r="H109" s="47"/>
      <x:c r="I109" s="47"/>
      <x:c r="J109" s="47"/>
      <x:c r="K109" s="47" t="str">
        <x:v>Graph sync, source ACL, typed output, timeouts/429, retry and deduplication.</x:v>
      </x:c>
      <x:c r="L109" s="47"/>
      <x:c r="M109" s="47"/>
      <x:c r="N109" s="47"/>
      <x:c r="O109" s="47" t="str">
        <x:v>Tester 2 + Tester 1</x:v>
      </x:c>
      <x:c r="P109" s="47"/>
      <x:c r="Q109" s="47" t="str">
        <x:v>DS S08 -&gt; QA U09; final U13. Use BA-approved labels/thresholds, per-slice sample counts and pinned versions.</x:v>
      </x:c>
      <x:c r="R109" s="47"/>
      <x:c r="S109" s="47"/>
      <x:c r="T109" s="47"/>
      <x:c r="U109" s="47"/>
      <x:c r="V109" s="47"/>
    </x:row>
    <x:row r="110" ht="100" customHeight="1">
      <x:c r="A110" s="58" t="str">
        <x:v>Mail drafting</x:v>
      </x:c>
      <x:c r="B110" s="58"/>
      <x:c r="C110" s="58" t="str">
        <x:v>Each launch Case; missing facts, conflicting threads, attachments, wrong recipients and unsupported commitments.</x:v>
      </x:c>
      <x:c r="D110" s="58"/>
      <x:c r="E110" s="58"/>
      <x:c r="F110" s="58"/>
      <x:c r="G110" s="58" t="str">
        <x:v>Grounded facts, question coverage, recipient correctness, unsupported claims and business acceptance.</x:v>
      </x:c>
      <x:c r="H110" s="58"/>
      <x:c r="I110" s="58"/>
      <x:c r="J110" s="58"/>
      <x:c r="K110" s="58" t="str">
        <x:v>Prompt context access, malformed responses, approval binding, send idempotency and uncertain-send recovery.</x:v>
      </x:c>
      <x:c r="L110" s="58"/>
      <x:c r="M110" s="58"/>
      <x:c r="N110" s="58"/>
      <x:c r="O110" s="58" t="str">
        <x:v>Tester 2 + Tester 1</x:v>
      </x:c>
      <x:c r="P110" s="58"/>
      <x:c r="Q110" s="58" t="str">
        <x:v>DS S09 -&gt; QA U10; final U13. BA-approved rubric and critical-error policy; trace failures to source evidence.</x:v>
      </x:c>
      <x:c r="R110" s="58"/>
      <x:c r="S110" s="58"/>
      <x:c r="T110" s="58"/>
      <x:c r="U110" s="58"/>
      <x:c r="V110" s="58"/>
    </x:row>
    <x:row r="111" ht="100" customHeight="1">
      <x:c r="A111" s="47" t="str">
        <x:v>Playbook generation</x:v>
      </x:c>
      <x:c r="B111" s="47"/>
      <x:c r="C111" s="47" t="str">
        <x:v>Prompt + example mail; positive/negative rule triggers, exceptions, overlapping intents and missing inputs.</x:v>
      </x:c>
      <x:c r="D111" s="47"/>
      <x:c r="E111" s="47"/>
      <x:c r="F111" s="47"/>
      <x:c r="G111" s="47" t="str">
        <x:v>Rule correctness, scenario replay pass rate, false triggers and unsafe/missing actions; schema validity reported separately.</x:v>
      </x:c>
      <x:c r="H111" s="47"/>
      <x:c r="I111" s="47"/>
      <x:c r="J111" s="47"/>
      <x:c r="K111" s="47" t="str">
        <x:v>Schema/API contracts, async progress, failed jobs, concurrency, replay integration and publication permissions.</x:v>
      </x:c>
      <x:c r="L111" s="47"/>
      <x:c r="M111" s="47"/>
      <x:c r="N111" s="47"/>
      <x:c r="O111" s="47" t="str">
        <x:v>Tester 2 + Tester 1</x:v>
      </x:c>
      <x:c r="P111" s="47"/>
      <x:c r="Q111" s="47" t="str">
        <x:v>DS S10 -&gt; QA U11; final U13. Trace generated rules to AC; pin model/prompt/schema/Playbook/corpus versions.</x:v>
      </x:c>
      <x:c r="R111" s="47"/>
      <x:c r="S111" s="47"/>
      <x:c r="T111" s="47"/>
      <x:c r="U111" s="47"/>
      <x:c r="V111" s="47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</x:row>
  </x:sheetData>
  <x:mergeCells>
    <x:mergeCell ref="C57:V57"/>
    <x:mergeCell ref="C58:V58"/>
    <x:mergeCell ref="C59:V59"/>
    <x:mergeCell ref="C60:V60"/>
    <x:mergeCell ref="C61:V61"/>
    <x:mergeCell ref="C62:V62"/>
    <x:mergeCell ref="C63:V63"/>
    <x:mergeCell ref="H67:V67"/>
    <x:mergeCell ref="H68:V68"/>
    <x:mergeCell ref="H69:V69"/>
    <x:mergeCell ref="H70:V70"/>
    <x:mergeCell ref="H71:V71"/>
    <x:mergeCell ref="H72:V72"/>
    <x:mergeCell ref="H73:V73"/>
    <x:mergeCell ref="H74:V74"/>
    <x:mergeCell ref="H75:V75"/>
    <x:mergeCell ref="H76:V76"/>
    <x:mergeCell ref="H77:V77"/>
    <x:mergeCell ref="H78:V78"/>
    <x:mergeCell ref="H79:V79"/>
    <x:mergeCell ref="C83:V83"/>
    <x:mergeCell ref="C84:V84"/>
    <x:mergeCell ref="C85:V85"/>
    <x:mergeCell ref="C86:V86"/>
    <x:mergeCell ref="C87:V87"/>
    <x:mergeCell ref="C88:V88"/>
    <x:mergeCell ref="C89:V89"/>
    <x:mergeCell ref="C90:V90"/>
    <x:mergeCell ref="C91:V91"/>
    <x:mergeCell ref="C92:V92"/>
    <x:mergeCell ref="C93:V93"/>
    <x:mergeCell ref="C94:V94"/>
    <x:mergeCell ref="C95:V95"/>
    <x:mergeCell ref="C96:V96"/>
    <x:mergeCell ref="C97:V97"/>
    <x:mergeCell ref="C98:V98"/>
    <x:mergeCell ref="C99:V99"/>
    <x:mergeCell ref="C100:V100"/>
    <x:mergeCell ref="C101:V101"/>
    <x:mergeCell ref="C102:V102"/>
    <x:mergeCell ref="C103:V103"/>
    <x:mergeCell ref="C104:V104"/>
    <x:mergeCell ref="A108:B108"/>
    <x:mergeCell ref="C108:F108"/>
    <x:mergeCell ref="G108:J108"/>
    <x:mergeCell ref="K108:N108"/>
    <x:mergeCell ref="O108:P108"/>
    <x:mergeCell ref="Q108:V108"/>
    <x:mergeCell ref="A109:B109"/>
    <x:mergeCell ref="C109:F109"/>
    <x:mergeCell ref="G109:J109"/>
    <x:mergeCell ref="K109:N109"/>
    <x:mergeCell ref="O109:P109"/>
    <x:mergeCell ref="Q109:V109"/>
    <x:mergeCell ref="A110:B110"/>
    <x:mergeCell ref="C110:F110"/>
    <x:mergeCell ref="G110:J110"/>
    <x:mergeCell ref="K110:N110"/>
    <x:mergeCell ref="O110:P110"/>
    <x:mergeCell ref="Q110:V110"/>
    <x:mergeCell ref="A111:B111"/>
    <x:mergeCell ref="C111:F111"/>
    <x:mergeCell ref="G111:J111"/>
    <x:mergeCell ref="K111:N111"/>
    <x:mergeCell ref="O111:P111"/>
    <x:mergeCell ref="Q111:V111"/>
  </x:mergeCells>
  <x:conditionalFormatting sqref="C20:T20">
    <x:cfRule type="expression" dxfId="34" priority="1">
      <x:formula>C20&gt;C21</x:formula>
    </x:cfRule>
  </x:conditionalFormatting>
  <x:conditionalFormatting sqref="C20:T23">
    <x:cfRule type="expression" dxfId="35" priority="2">
      <x:formula>SUMIFS(Calendar!$C$16:$C$141,Calendar!$A$16:$A$141,"&gt;="&amp;C$19,Calendar!$A$16:$A$141,"&lt;="&amp;C$19+4)=0</x:formula>
    </x:cfRule>
  </x:conditionalFormatting>
  <x:conditionalFormatting sqref="C25:T25">
    <x:cfRule type="expression" dxfId="36" priority="3">
      <x:formula>C25&gt;C26</x:formula>
    </x:cfRule>
  </x:conditionalFormatting>
  <x:conditionalFormatting sqref="C25:T28">
    <x:cfRule type="expression" dxfId="37" priority="4">
      <x:formula>SUMIFS(Calendar!$C$16:$C$141,Calendar!$A$16:$A$141,"&gt;="&amp;C$19,Calendar!$A$16:$A$141,"&lt;="&amp;C$19+4)=0</x:formula>
    </x:cfRule>
  </x:conditionalFormatting>
  <x:conditionalFormatting sqref="C30:T30">
    <x:cfRule type="expression" dxfId="38" priority="5">
      <x:formula>C30&gt;C31</x:formula>
    </x:cfRule>
  </x:conditionalFormatting>
  <x:conditionalFormatting sqref="C30:T33">
    <x:cfRule type="expression" dxfId="39" priority="6">
      <x:formula>SUMIFS(Calendar!$C$16:$C$141,Calendar!$A$16:$A$141,"&gt;="&amp;C$19,Calendar!$A$16:$A$141,"&lt;="&amp;C$19+4)=0</x:formula>
    </x:cfRule>
  </x:conditionalFormatting>
  <x:conditionalFormatting sqref="C35:T35">
    <x:cfRule type="expression" dxfId="40" priority="7">
      <x:formula>C35&gt;C36</x:formula>
    </x:cfRule>
  </x:conditionalFormatting>
  <x:conditionalFormatting sqref="C35:T38">
    <x:cfRule type="expression" dxfId="41" priority="8">
      <x:formula>SUMIFS(Calendar!$C$16:$C$141,Calendar!$A$16:$A$141,"&gt;="&amp;C$19,Calendar!$A$16:$A$141,"&lt;="&amp;C$19+4)=0</x:formula>
    </x:cfRule>
  </x:conditionalFormatting>
  <x:conditionalFormatting sqref="C40:T40">
    <x:cfRule type="expression" dxfId="42" priority="9">
      <x:formula>C40&gt;C41</x:formula>
    </x:cfRule>
  </x:conditionalFormatting>
  <x:conditionalFormatting sqref="C40:T43">
    <x:cfRule type="expression" dxfId="43" priority="10">
      <x:formula>SUMIFS(Calendar!$C$16:$C$141,Calendar!$A$16:$A$141,"&gt;="&amp;C$19,Calendar!$A$16:$A$141,"&lt;="&amp;C$19+4)=0</x:formula>
    </x:cfRule>
  </x:conditionalFormatting>
  <x:conditionalFormatting sqref="C45:T45">
    <x:cfRule type="expression" dxfId="44" priority="11">
      <x:formula>C45&gt;C46</x:formula>
    </x:cfRule>
  </x:conditionalFormatting>
  <x:conditionalFormatting sqref="C45:T48">
    <x:cfRule type="expression" dxfId="45" priority="12">
      <x:formula>SUMIFS(Calendar!$C$16:$C$141,Calendar!$A$16:$A$141,"&gt;="&amp;C$19,Calendar!$A$16:$A$141,"&lt;="&amp;C$19+4)=0</x:formula>
    </x:cfRule>
  </x:conditionalFormatting>
  <x:conditionalFormatting sqref="C50:T50">
    <x:cfRule type="expression" dxfId="46" priority="13">
      <x:formula>C50&gt;C51</x:formula>
    </x:cfRule>
  </x:conditionalFormatting>
  <x:conditionalFormatting sqref="C50:T53">
    <x:cfRule type="expression" dxfId="47" priority="14">
      <x:formula>SUMIFS(Calendar!$C$16:$C$141,Calendar!$A$16:$A$141,"&gt;="&amp;C$19,Calendar!$A$16:$A$141,"&lt;="&amp;C$19+4)=0</x:formula>
    </x:cfRule>
  </x:conditionalFormatting>
  <x:dataValidations count="9">
    <x:dataValidation type="decimal" operator="between" sqref="C22:T22">
      <x:formula1>0</x:formula1>
      <x:formula2>5</x:formula2>
    </x:dataValidation>
    <x:dataValidation type="decimal" operator="between" sqref="C27:T27">
      <x:formula1>0</x:formula1>
      <x:formula2>5</x:formula2>
    </x:dataValidation>
    <x:dataValidation type="decimal" operator="between" sqref="C32:T32">
      <x:formula1>0</x:formula1>
      <x:formula2>5</x:formula2>
    </x:dataValidation>
    <x:dataValidation type="decimal" operator="between" sqref="C37:T37">
      <x:formula1>0</x:formula1>
      <x:formula2>5</x:formula2>
    </x:dataValidation>
    <x:dataValidation type="decimal" operator="between" sqref="C42:T42">
      <x:formula1>0</x:formula1>
      <x:formula2>5</x:formula2>
    </x:dataValidation>
    <x:dataValidation type="decimal" operator="between" sqref="C47:T47">
      <x:formula1>0</x:formula1>
      <x:formula2>5</x:formula2>
    </x:dataValidation>
    <x:dataValidation type="decimal" operator="between" sqref="C52:T52">
      <x:formula1>0</x:formula1>
      <x:formula2>5</x:formula2>
    </x:dataValidation>
    <x:dataValidation type="list" sqref="F68:F79">
      <x:formula1>"Not run,Pass,Fail"</x:formula1>
    </x:dataValidation>
    <x:dataValidation type="list" sqref="G68:G79">
      <x:formula1>"Pending,Go,No-go"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6" hidden="0" customWidth="1"/>
    <x:col min="5" max="5" width="17" hidden="0" customWidth="1"/>
    <x:col min="6" max="6" width="65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Working Calendar and Shared Leave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 ht="36" customHeight="1">
      <x:c r="A4" s="13" t="str">
        <x:v>Leave period</x:v>
      </x:c>
      <x:c r="B4" s="13" t="str">
        <x:v>From</x:v>
      </x:c>
      <x:c r="C4" s="13" t="str">
        <x:v>Through</x:v>
      </x:c>
      <x:c r="D4" s="13" t="str">
        <x:v>Planning basis</x:v>
      </x:c>
      <x:c r="E4" s="2"/>
      <x:c r="F4" s="2"/>
    </x:row>
    <x:row r="5">
      <x:c r="A5" s="2" t="str">
        <x:v>Additional leave</x:v>
      </x:c>
      <x:c r="B5" s="7"/>
      <x:c r="C5" s="7"/>
      <x:c r="D5" s="2" t="str">
        <x:v>Optional; inactive while blank</x:v>
      </x:c>
      <x:c r="E5" s="2"/>
      <x:c r="F5" s="2"/>
    </x:row>
    <x:row r="6">
      <x:c r="A6" s="2" t="str">
        <x:v>Lunar New Year</x:v>
      </x:c>
      <x:c r="B6" s="7" t="d">
        <x:v>2027-02-03T00:00:00.000Z</x:v>
      </x:c>
      <x:c r="C6" s="7" t="d">
        <x:v>2027-02-12T00:00:00.000Z</x:v>
      </x:c>
      <x:c r="D6" s="2" t="str">
        <x:v>User-confirmed dates</x:v>
      </x:c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Calendar weeks</x:v>
      </x:c>
      <x:c r="B8" s="2" t="n">
        <x:v>18</x:v>
      </x:c>
      <x:c r="C8" s="2"/>
      <x:c r="D8" s="2"/>
      <x:c r="E8" s="2"/>
      <x:c r="F8" s="2"/>
    </x:row>
    <x:row r="9">
      <x:c r="A9" s="2" t="str">
        <x:v>Available workdays</x:v>
      </x:c>
      <x:c r="B9" s="2" t="n">
        <x:f>SUM(C16:C141)</x:f>
        <x:v>82</x:v>
      </x:c>
      <x:c r="C9" s="2"/>
      <x:c r="D9" s="2"/>
      <x:c r="E9" s="2"/>
      <x:c r="F9" s="2"/>
    </x:row>
    <x:row r="10">
      <x:c r="A10" s="2" t="str">
        <x:v>Weekdays excluded</x:v>
      </x:c>
      <x:c r="B10" s="2" t="n">
        <x:f>90-B9</x:f>
        <x:v>8</x:v>
      </x:c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 t="str">
        <x:v>Weekends and Feb 3–12 are excluded. Christmas and New Year weekdays are available. Individual extra leave is entered in Team and Gates.</x:v>
      </x:c>
      <x:c r="B12" s="2"/>
      <x:c r="C12" s="2"/>
      <x:c r="D12" s="2"/>
      <x:c r="E12" s="2"/>
      <x:c r="F12" s="2"/>
    </x:row>
    <x:row r="13">
      <x:c r="A13" s="2" t="str">
        <x:v>Dates are inclusive. UAT ends Feb 24; production starts Feb 26; observation and handover end Mar 5.</x:v>
      </x:c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 ht="36" customHeight="1">
      <x:c r="A15" s="13" t="str">
        <x:v>Date</x:v>
      </x:c>
      <x:c r="B15" s="13" t="str">
        <x:v>Day</x:v>
      </x:c>
      <x:c r="C15" s="13" t="str">
        <x:v>Workday flag</x:v>
      </x:c>
      <x:c r="D15" s="13" t="str">
        <x:v>Workday index</x:v>
      </x:c>
      <x:c r="E15" s="13" t="str">
        <x:v>Calendar week</x:v>
      </x:c>
      <x:c r="F15" s="13" t="str">
        <x:v>Day status</x:v>
      </x:c>
    </x:row>
    <x:row r="16" ht="23" customHeight="1">
      <x:c r="A16" s="5" t="n">
        <x:f>'Delivery Timeline'!$B$4+0</x:f>
        <x:v>46328</x:v>
      </x:c>
      <x:c r="B16" s="2" t="str">
        <x:f>CHOOSE(WEEKDAY(A16,2),"Mon","Tue","Wed","Thu","Fri","Sat","Sun")</x:f>
        <x:v>Mon</x:v>
      </x:c>
      <x:c r="C16" s="2" t="n">
        <x:f>IF(WEEKDAY(A16,2)&gt;5,0,IF(OR(AND(COUNT($B$5:$C$5)=2,A16&gt;=$B$5,A16&lt;=$C$5),AND(A16&gt;=$B$6,A16&lt;=$C$6)),0,1))</x:f>
        <x:v>1</x:v>
      </x:c>
      <x:c r="D16" s="2" t="n">
        <x:f>IF(C16=1,SUM($C$16:C16),"")</x:f>
        <x:v>1</x:v>
      </x:c>
      <x:c r="E16" s="2" t="n">
        <x:f>INT((A16-'Delivery Timeline'!$B$4)/7)+1</x:f>
        <x:v>1</x:v>
      </x:c>
      <x:c r="F16" s="2" t="str">
        <x:f>IF(AND(COUNT($B$5:$C$5)=2,A16&gt;=$B$5,A16&lt;=$C$5),"Additional leave",IF(AND(A16&gt;=$B$6,A16&lt;=$C$6),"Lunar New Year leave",IF(C16=1,"Working day","Weekend")))</x:f>
        <x:v>Working day</x:v>
      </x:c>
    </x:row>
    <x:row r="17" ht="23" customHeight="1">
      <x:c r="A17" s="5" t="n">
        <x:f>'Delivery Timeline'!$B$4+1</x:f>
        <x:v>46329</x:v>
      </x:c>
      <x:c r="B17" s="2" t="str">
        <x:f>CHOOSE(WEEKDAY(A17,2),"Mon","Tue","Wed","Thu","Fri","Sat","Sun")</x:f>
        <x:v>Tue</x:v>
      </x:c>
      <x:c r="C17" s="2" t="n">
        <x:f>IF(WEEKDAY(A17,2)&gt;5,0,IF(OR(AND(COUNT($B$5:$C$5)=2,A17&gt;=$B$5,A17&lt;=$C$5),AND(A17&gt;=$B$6,A17&lt;=$C$6)),0,1))</x:f>
        <x:v>1</x:v>
      </x:c>
      <x:c r="D17" s="2" t="n">
        <x:f>IF(C17=1,SUM($C$16:C17),"")</x:f>
        <x:v>2</x:v>
      </x:c>
      <x:c r="E17" s="2" t="n">
        <x:f>INT((A17-'Delivery Timeline'!$B$4)/7)+1</x:f>
        <x:v>1</x:v>
      </x:c>
      <x:c r="F17" s="2" t="str">
        <x:f>IF(AND(COUNT($B$5:$C$5)=2,A17&gt;=$B$5,A17&lt;=$C$5),"Additional leave",IF(AND(A17&gt;=$B$6,A17&lt;=$C$6),"Lunar New Year leave",IF(C17=1,"Working day","Weekend")))</x:f>
        <x:v>Working day</x:v>
      </x:c>
    </x:row>
    <x:row r="18" ht="23" customHeight="1">
      <x:c r="A18" s="5" t="n">
        <x:f>'Delivery Timeline'!$B$4+2</x:f>
        <x:v>46330</x:v>
      </x:c>
      <x:c r="B18" s="2" t="str">
        <x:f>CHOOSE(WEEKDAY(A18,2),"Mon","Tue","Wed","Thu","Fri","Sat","Sun")</x:f>
        <x:v>Wed</x:v>
      </x:c>
      <x:c r="C18" s="2" t="n">
        <x:f>IF(WEEKDAY(A18,2)&gt;5,0,IF(OR(AND(COUNT($B$5:$C$5)=2,A18&gt;=$B$5,A18&lt;=$C$5),AND(A18&gt;=$B$6,A18&lt;=$C$6)),0,1))</x:f>
        <x:v>1</x:v>
      </x:c>
      <x:c r="D18" s="2" t="n">
        <x:f>IF(C18=1,SUM($C$16:C18),"")</x:f>
        <x:v>3</x:v>
      </x:c>
      <x:c r="E18" s="2" t="n">
        <x:f>INT((A18-'Delivery Timeline'!$B$4)/7)+1</x:f>
        <x:v>1</x:v>
      </x:c>
      <x:c r="F18" s="2" t="str">
        <x:f>IF(AND(COUNT($B$5:$C$5)=2,A18&gt;=$B$5,A18&lt;=$C$5),"Additional leave",IF(AND(A18&gt;=$B$6,A18&lt;=$C$6),"Lunar New Year leave",IF(C18=1,"Working day","Weekend")))</x:f>
        <x:v>Working day</x:v>
      </x:c>
    </x:row>
    <x:row r="19" ht="23" customHeight="1">
      <x:c r="A19" s="5" t="n">
        <x:f>'Delivery Timeline'!$B$4+3</x:f>
        <x:v>46331</x:v>
      </x:c>
      <x:c r="B19" s="2" t="str">
        <x:f>CHOOSE(WEEKDAY(A19,2),"Mon","Tue","Wed","Thu","Fri","Sat","Sun")</x:f>
        <x:v>Thu</x:v>
      </x:c>
      <x:c r="C19" s="2" t="n">
        <x:f>IF(WEEKDAY(A19,2)&gt;5,0,IF(OR(AND(COUNT($B$5:$C$5)=2,A19&gt;=$B$5,A19&lt;=$C$5),AND(A19&gt;=$B$6,A19&lt;=$C$6)),0,1))</x:f>
        <x:v>1</x:v>
      </x:c>
      <x:c r="D19" s="2" t="n">
        <x:f>IF(C19=1,SUM($C$16:C19),"")</x:f>
        <x:v>4</x:v>
      </x:c>
      <x:c r="E19" s="2" t="n">
        <x:f>INT((A19-'Delivery Timeline'!$B$4)/7)+1</x:f>
        <x:v>1</x:v>
      </x:c>
      <x:c r="F19" s="2" t="str">
        <x:f>IF(AND(COUNT($B$5:$C$5)=2,A19&gt;=$B$5,A19&lt;=$C$5),"Additional leave",IF(AND(A19&gt;=$B$6,A19&lt;=$C$6),"Lunar New Year leave",IF(C19=1,"Working day","Weekend")))</x:f>
        <x:v>Working day</x:v>
      </x:c>
    </x:row>
    <x:row r="20" ht="23" customHeight="1">
      <x:c r="A20" s="5" t="n">
        <x:f>'Delivery Timeline'!$B$4+4</x:f>
        <x:v>46332</x:v>
      </x:c>
      <x:c r="B20" s="2" t="str">
        <x:f>CHOOSE(WEEKDAY(A20,2),"Mon","Tue","Wed","Thu","Fri","Sat","Sun")</x:f>
        <x:v>Fri</x:v>
      </x:c>
      <x:c r="C20" s="2" t="n">
        <x:f>IF(WEEKDAY(A20,2)&gt;5,0,IF(OR(AND(COUNT($B$5:$C$5)=2,A20&gt;=$B$5,A20&lt;=$C$5),AND(A20&gt;=$B$6,A20&lt;=$C$6)),0,1))</x:f>
        <x:v>1</x:v>
      </x:c>
      <x:c r="D20" s="2" t="n">
        <x:f>IF(C20=1,SUM($C$16:C20),"")</x:f>
        <x:v>5</x:v>
      </x:c>
      <x:c r="E20" s="2" t="n">
        <x:f>INT((A20-'Delivery Timeline'!$B$4)/7)+1</x:f>
        <x:v>1</x:v>
      </x:c>
      <x:c r="F20" s="2" t="str">
        <x:f>IF(AND(COUNT($B$5:$C$5)=2,A20&gt;=$B$5,A20&lt;=$C$5),"Additional leave",IF(AND(A20&gt;=$B$6,A20&lt;=$C$6),"Lunar New Year leave",IF(C20=1,"Working day","Weekend")))</x:f>
        <x:v>Working day</x:v>
      </x:c>
    </x:row>
    <x:row r="21" ht="23" customHeight="1">
      <x:c r="A21" s="5" t="n">
        <x:f>'Delivery Timeline'!$B$4+5</x:f>
        <x:v>46333</x:v>
      </x:c>
      <x:c r="B21" s="2" t="str">
        <x:f>CHOOSE(WEEKDAY(A21,2),"Mon","Tue","Wed","Thu","Fri","Sat","Sun")</x:f>
        <x:v>Sat</x:v>
      </x:c>
      <x:c r="C21" s="2" t="n">
        <x:f>IF(WEEKDAY(A21,2)&gt;5,0,IF(OR(AND(COUNT($B$5:$C$5)=2,A21&gt;=$B$5,A21&lt;=$C$5),AND(A21&gt;=$B$6,A21&lt;=$C$6)),0,1))</x:f>
        <x:v>0</x:v>
      </x:c>
      <x:c r="D21" s="2" t="str">
        <x:f>IF(C21=1,SUM($C$16:C21),"")</x:f>
      </x:c>
      <x:c r="E21" s="2" t="n">
        <x:f>INT((A21-'Delivery Timeline'!$B$4)/7)+1</x:f>
        <x:v>1</x:v>
      </x:c>
      <x:c r="F21" s="2" t="str">
        <x:f>IF(AND(COUNT($B$5:$C$5)=2,A21&gt;=$B$5,A21&lt;=$C$5),"Additional leave",IF(AND(A21&gt;=$B$6,A21&lt;=$C$6),"Lunar New Year leave",IF(C21=1,"Working day","Weekend")))</x:f>
        <x:v>Weekend</x:v>
      </x:c>
    </x:row>
    <x:row r="22" ht="23" customHeight="1">
      <x:c r="A22" s="5" t="n">
        <x:f>'Delivery Timeline'!$B$4+6</x:f>
        <x:v>46334</x:v>
      </x:c>
      <x:c r="B22" s="2" t="str">
        <x:f>CHOOSE(WEEKDAY(A22,2),"Mon","Tue","Wed","Thu","Fri","Sat","Sun")</x:f>
        <x:v>Sun</x:v>
      </x:c>
      <x:c r="C22" s="2" t="n">
        <x:f>IF(WEEKDAY(A22,2)&gt;5,0,IF(OR(AND(COUNT($B$5:$C$5)=2,A22&gt;=$B$5,A22&lt;=$C$5),AND(A22&gt;=$B$6,A22&lt;=$C$6)),0,1))</x:f>
        <x:v>0</x:v>
      </x:c>
      <x:c r="D22" s="2" t="str">
        <x:f>IF(C22=1,SUM($C$16:C22),"")</x:f>
      </x:c>
      <x:c r="E22" s="2" t="n">
        <x:f>INT((A22-'Delivery Timeline'!$B$4)/7)+1</x:f>
        <x:v>1</x:v>
      </x:c>
      <x:c r="F22" s="2" t="str">
        <x:f>IF(AND(COUNT($B$5:$C$5)=2,A22&gt;=$B$5,A22&lt;=$C$5),"Additional leave",IF(AND(A22&gt;=$B$6,A22&lt;=$C$6),"Lunar New Year leave",IF(C22=1,"Working day","Weekend")))</x:f>
        <x:v>Weekend</x:v>
      </x:c>
    </x:row>
    <x:row r="23" ht="23" customHeight="1">
      <x:c r="A23" s="5" t="n">
        <x:f>'Delivery Timeline'!$B$4+7</x:f>
        <x:v>46335</x:v>
      </x:c>
      <x:c r="B23" s="2" t="str">
        <x:f>CHOOSE(WEEKDAY(A23,2),"Mon","Tue","Wed","Thu","Fri","Sat","Sun")</x:f>
        <x:v>Mon</x:v>
      </x:c>
      <x:c r="C23" s="2" t="n">
        <x:f>IF(WEEKDAY(A23,2)&gt;5,0,IF(OR(AND(COUNT($B$5:$C$5)=2,A23&gt;=$B$5,A23&lt;=$C$5),AND(A23&gt;=$B$6,A23&lt;=$C$6)),0,1))</x:f>
        <x:v>1</x:v>
      </x:c>
      <x:c r="D23" s="2" t="n">
        <x:f>IF(C23=1,SUM($C$16:C23),"")</x:f>
        <x:v>6</x:v>
      </x:c>
      <x:c r="E23" s="2" t="n">
        <x:f>INT((A23-'Delivery Timeline'!$B$4)/7)+1</x:f>
        <x:v>2</x:v>
      </x:c>
      <x:c r="F23" s="2" t="str">
        <x:f>IF(AND(COUNT($B$5:$C$5)=2,A23&gt;=$B$5,A23&lt;=$C$5),"Additional leave",IF(AND(A23&gt;=$B$6,A23&lt;=$C$6),"Lunar New Year leave",IF(C23=1,"Working day","Weekend")))</x:f>
        <x:v>Working day</x:v>
      </x:c>
    </x:row>
    <x:row r="24" ht="23" customHeight="1">
      <x:c r="A24" s="5" t="n">
        <x:f>'Delivery Timeline'!$B$4+8</x:f>
        <x:v>46336</x:v>
      </x:c>
      <x:c r="B24" s="2" t="str">
        <x:f>CHOOSE(WEEKDAY(A24,2),"Mon","Tue","Wed","Thu","Fri","Sat","Sun")</x:f>
        <x:v>Tue</x:v>
      </x:c>
      <x:c r="C24" s="2" t="n">
        <x:f>IF(WEEKDAY(A24,2)&gt;5,0,IF(OR(AND(COUNT($B$5:$C$5)=2,A24&gt;=$B$5,A24&lt;=$C$5),AND(A24&gt;=$B$6,A24&lt;=$C$6)),0,1))</x:f>
        <x:v>1</x:v>
      </x:c>
      <x:c r="D24" s="2" t="n">
        <x:f>IF(C24=1,SUM($C$16:C24),"")</x:f>
        <x:v>7</x:v>
      </x:c>
      <x:c r="E24" s="2" t="n">
        <x:f>INT((A24-'Delivery Timeline'!$B$4)/7)+1</x:f>
        <x:v>2</x:v>
      </x:c>
      <x:c r="F24" s="2" t="str">
        <x:f>IF(AND(COUNT($B$5:$C$5)=2,A24&gt;=$B$5,A24&lt;=$C$5),"Additional leave",IF(AND(A24&gt;=$B$6,A24&lt;=$C$6),"Lunar New Year leave",IF(C24=1,"Working day","Weekend")))</x:f>
        <x:v>Working day</x:v>
      </x:c>
    </x:row>
    <x:row r="25" ht="23" customHeight="1">
      <x:c r="A25" s="5" t="n">
        <x:f>'Delivery Timeline'!$B$4+9</x:f>
        <x:v>46337</x:v>
      </x:c>
      <x:c r="B25" s="2" t="str">
        <x:f>CHOOSE(WEEKDAY(A25,2),"Mon","Tue","Wed","Thu","Fri","Sat","Sun")</x:f>
        <x:v>Wed</x:v>
      </x:c>
      <x:c r="C25" s="2" t="n">
        <x:f>IF(WEEKDAY(A25,2)&gt;5,0,IF(OR(AND(COUNT($B$5:$C$5)=2,A25&gt;=$B$5,A25&lt;=$C$5),AND(A25&gt;=$B$6,A25&lt;=$C$6)),0,1))</x:f>
        <x:v>1</x:v>
      </x:c>
      <x:c r="D25" s="2" t="n">
        <x:f>IF(C25=1,SUM($C$16:C25),"")</x:f>
        <x:v>8</x:v>
      </x:c>
      <x:c r="E25" s="2" t="n">
        <x:f>INT((A25-'Delivery Timeline'!$B$4)/7)+1</x:f>
        <x:v>2</x:v>
      </x:c>
      <x:c r="F25" s="2" t="str">
        <x:f>IF(AND(COUNT($B$5:$C$5)=2,A25&gt;=$B$5,A25&lt;=$C$5),"Additional leave",IF(AND(A25&gt;=$B$6,A25&lt;=$C$6),"Lunar New Year leave",IF(C25=1,"Working day","Weekend")))</x:f>
        <x:v>Working day</x:v>
      </x:c>
    </x:row>
    <x:row r="26" ht="23" customHeight="1">
      <x:c r="A26" s="5" t="n">
        <x:f>'Delivery Timeline'!$B$4+10</x:f>
        <x:v>46338</x:v>
      </x:c>
      <x:c r="B26" s="2" t="str">
        <x:f>CHOOSE(WEEKDAY(A26,2),"Mon","Tue","Wed","Thu","Fri","Sat","Sun")</x:f>
        <x:v>Thu</x:v>
      </x:c>
      <x:c r="C26" s="2" t="n">
        <x:f>IF(WEEKDAY(A26,2)&gt;5,0,IF(OR(AND(COUNT($B$5:$C$5)=2,A26&gt;=$B$5,A26&lt;=$C$5),AND(A26&gt;=$B$6,A26&lt;=$C$6)),0,1))</x:f>
        <x:v>1</x:v>
      </x:c>
      <x:c r="D26" s="2" t="n">
        <x:f>IF(C26=1,SUM($C$16:C26),"")</x:f>
        <x:v>9</x:v>
      </x:c>
      <x:c r="E26" s="2" t="n">
        <x:f>INT((A26-'Delivery Timeline'!$B$4)/7)+1</x:f>
        <x:v>2</x:v>
      </x:c>
      <x:c r="F26" s="2" t="str">
        <x:f>IF(AND(COUNT($B$5:$C$5)=2,A26&gt;=$B$5,A26&lt;=$C$5),"Additional leave",IF(AND(A26&gt;=$B$6,A26&lt;=$C$6),"Lunar New Year leave",IF(C26=1,"Working day","Weekend")))</x:f>
        <x:v>Working day</x:v>
      </x:c>
    </x:row>
    <x:row r="27" ht="23" customHeight="1">
      <x:c r="A27" s="5" t="n">
        <x:f>'Delivery Timeline'!$B$4+11</x:f>
        <x:v>46339</x:v>
      </x:c>
      <x:c r="B27" s="2" t="str">
        <x:f>CHOOSE(WEEKDAY(A27,2),"Mon","Tue","Wed","Thu","Fri","Sat","Sun")</x:f>
        <x:v>Fri</x:v>
      </x:c>
      <x:c r="C27" s="2" t="n">
        <x:f>IF(WEEKDAY(A27,2)&gt;5,0,IF(OR(AND(COUNT($B$5:$C$5)=2,A27&gt;=$B$5,A27&lt;=$C$5),AND(A27&gt;=$B$6,A27&lt;=$C$6)),0,1))</x:f>
        <x:v>1</x:v>
      </x:c>
      <x:c r="D27" s="2" t="n">
        <x:f>IF(C27=1,SUM($C$16:C27),"")</x:f>
        <x:v>10</x:v>
      </x:c>
      <x:c r="E27" s="2" t="n">
        <x:f>INT((A27-'Delivery Timeline'!$B$4)/7)+1</x:f>
        <x:v>2</x:v>
      </x:c>
      <x:c r="F27" s="2" t="str">
        <x:f>IF(AND(COUNT($B$5:$C$5)=2,A27&gt;=$B$5,A27&lt;=$C$5),"Additional leave",IF(AND(A27&gt;=$B$6,A27&lt;=$C$6),"Lunar New Year leave",IF(C27=1,"Working day","Weekend")))</x:f>
        <x:v>Working day</x:v>
      </x:c>
    </x:row>
    <x:row r="28" ht="23" customHeight="1">
      <x:c r="A28" s="5" t="n">
        <x:f>'Delivery Timeline'!$B$4+12</x:f>
        <x:v>46340</x:v>
      </x:c>
      <x:c r="B28" s="2" t="str">
        <x:f>CHOOSE(WEEKDAY(A28,2),"Mon","Tue","Wed","Thu","Fri","Sat","Sun")</x:f>
        <x:v>Sat</x:v>
      </x:c>
      <x:c r="C28" s="2" t="n">
        <x:f>IF(WEEKDAY(A28,2)&gt;5,0,IF(OR(AND(COUNT($B$5:$C$5)=2,A28&gt;=$B$5,A28&lt;=$C$5),AND(A28&gt;=$B$6,A28&lt;=$C$6)),0,1))</x:f>
        <x:v>0</x:v>
      </x:c>
      <x:c r="D28" s="2" t="str">
        <x:f>IF(C28=1,SUM($C$16:C28),"")</x:f>
      </x:c>
      <x:c r="E28" s="2" t="n">
        <x:f>INT((A28-'Delivery Timeline'!$B$4)/7)+1</x:f>
        <x:v>2</x:v>
      </x:c>
      <x:c r="F28" s="2" t="str">
        <x:f>IF(AND(COUNT($B$5:$C$5)=2,A28&gt;=$B$5,A28&lt;=$C$5),"Additional leave",IF(AND(A28&gt;=$B$6,A28&lt;=$C$6),"Lunar New Year leave",IF(C28=1,"Working day","Weekend")))</x:f>
        <x:v>Weekend</x:v>
      </x:c>
    </x:row>
    <x:row r="29" ht="23" customHeight="1">
      <x:c r="A29" s="5" t="n">
        <x:f>'Delivery Timeline'!$B$4+13</x:f>
        <x:v>46341</x:v>
      </x:c>
      <x:c r="B29" s="2" t="str">
        <x:f>CHOOSE(WEEKDAY(A29,2),"Mon","Tue","Wed","Thu","Fri","Sat","Sun")</x:f>
        <x:v>Sun</x:v>
      </x:c>
      <x:c r="C29" s="2" t="n">
        <x:f>IF(WEEKDAY(A29,2)&gt;5,0,IF(OR(AND(COUNT($B$5:$C$5)=2,A29&gt;=$B$5,A29&lt;=$C$5),AND(A29&gt;=$B$6,A29&lt;=$C$6)),0,1))</x:f>
        <x:v>0</x:v>
      </x:c>
      <x:c r="D29" s="2" t="str">
        <x:f>IF(C29=1,SUM($C$16:C29),"")</x:f>
      </x:c>
      <x:c r="E29" s="2" t="n">
        <x:f>INT((A29-'Delivery Timeline'!$B$4)/7)+1</x:f>
        <x:v>2</x:v>
      </x:c>
      <x:c r="F29" s="2" t="str">
        <x:f>IF(AND(COUNT($B$5:$C$5)=2,A29&gt;=$B$5,A29&lt;=$C$5),"Additional leave",IF(AND(A29&gt;=$B$6,A29&lt;=$C$6),"Lunar New Year leave",IF(C29=1,"Working day","Weekend")))</x:f>
        <x:v>Weekend</x:v>
      </x:c>
    </x:row>
    <x:row r="30" ht="23" customHeight="1">
      <x:c r="A30" s="5" t="n">
        <x:f>'Delivery Timeline'!$B$4+14</x:f>
        <x:v>46342</x:v>
      </x:c>
      <x:c r="B30" s="2" t="str">
        <x:f>CHOOSE(WEEKDAY(A30,2),"Mon","Tue","Wed","Thu","Fri","Sat","Sun")</x:f>
        <x:v>Mon</x:v>
      </x:c>
      <x:c r="C30" s="2" t="n">
        <x:f>IF(WEEKDAY(A30,2)&gt;5,0,IF(OR(AND(COUNT($B$5:$C$5)=2,A30&gt;=$B$5,A30&lt;=$C$5),AND(A30&gt;=$B$6,A30&lt;=$C$6)),0,1))</x:f>
        <x:v>1</x:v>
      </x:c>
      <x:c r="D30" s="2" t="n">
        <x:f>IF(C30=1,SUM($C$16:C30),"")</x:f>
        <x:v>11</x:v>
      </x:c>
      <x:c r="E30" s="2" t="n">
        <x:f>INT((A30-'Delivery Timeline'!$B$4)/7)+1</x:f>
        <x:v>3</x:v>
      </x:c>
      <x:c r="F30" s="2" t="str">
        <x:f>IF(AND(COUNT($B$5:$C$5)=2,A30&gt;=$B$5,A30&lt;=$C$5),"Additional leave",IF(AND(A30&gt;=$B$6,A30&lt;=$C$6),"Lunar New Year leave",IF(C30=1,"Working day","Weekend")))</x:f>
        <x:v>Working day</x:v>
      </x:c>
    </x:row>
    <x:row r="31" ht="23" customHeight="1">
      <x:c r="A31" s="5" t="n">
        <x:f>'Delivery Timeline'!$B$4+15</x:f>
        <x:v>46343</x:v>
      </x:c>
      <x:c r="B31" s="2" t="str">
        <x:f>CHOOSE(WEEKDAY(A31,2),"Mon","Tue","Wed","Thu","Fri","Sat","Sun")</x:f>
        <x:v>Tue</x:v>
      </x:c>
      <x:c r="C31" s="2" t="n">
        <x:f>IF(WEEKDAY(A31,2)&gt;5,0,IF(OR(AND(COUNT($B$5:$C$5)=2,A31&gt;=$B$5,A31&lt;=$C$5),AND(A31&gt;=$B$6,A31&lt;=$C$6)),0,1))</x:f>
        <x:v>1</x:v>
      </x:c>
      <x:c r="D31" s="2" t="n">
        <x:f>IF(C31=1,SUM($C$16:C31),"")</x:f>
        <x:v>12</x:v>
      </x:c>
      <x:c r="E31" s="2" t="n">
        <x:f>INT((A31-'Delivery Timeline'!$B$4)/7)+1</x:f>
        <x:v>3</x:v>
      </x:c>
      <x:c r="F31" s="2" t="str">
        <x:f>IF(AND(COUNT($B$5:$C$5)=2,A31&gt;=$B$5,A31&lt;=$C$5),"Additional leave",IF(AND(A31&gt;=$B$6,A31&lt;=$C$6),"Lunar New Year leave",IF(C31=1,"Working day","Weekend")))</x:f>
        <x:v>Working day</x:v>
      </x:c>
    </x:row>
    <x:row r="32" ht="23" customHeight="1">
      <x:c r="A32" s="5" t="n">
        <x:f>'Delivery Timeline'!$B$4+16</x:f>
        <x:v>46344</x:v>
      </x:c>
      <x:c r="B32" s="2" t="str">
        <x:f>CHOOSE(WEEKDAY(A32,2),"Mon","Tue","Wed","Thu","Fri","Sat","Sun")</x:f>
        <x:v>Wed</x:v>
      </x:c>
      <x:c r="C32" s="2" t="n">
        <x:f>IF(WEEKDAY(A32,2)&gt;5,0,IF(OR(AND(COUNT($B$5:$C$5)=2,A32&gt;=$B$5,A32&lt;=$C$5),AND(A32&gt;=$B$6,A32&lt;=$C$6)),0,1))</x:f>
        <x:v>1</x:v>
      </x:c>
      <x:c r="D32" s="2" t="n">
        <x:f>IF(C32=1,SUM($C$16:C32),"")</x:f>
        <x:v>13</x:v>
      </x:c>
      <x:c r="E32" s="2" t="n">
        <x:f>INT((A32-'Delivery Timeline'!$B$4)/7)+1</x:f>
        <x:v>3</x:v>
      </x:c>
      <x:c r="F32" s="2" t="str">
        <x:f>IF(AND(COUNT($B$5:$C$5)=2,A32&gt;=$B$5,A32&lt;=$C$5),"Additional leave",IF(AND(A32&gt;=$B$6,A32&lt;=$C$6),"Lunar New Year leave",IF(C32=1,"Working day","Weekend")))</x:f>
        <x:v>Working day</x:v>
      </x:c>
    </x:row>
    <x:row r="33" ht="23" customHeight="1">
      <x:c r="A33" s="5" t="n">
        <x:f>'Delivery Timeline'!$B$4+17</x:f>
        <x:v>46345</x:v>
      </x:c>
      <x:c r="B33" s="2" t="str">
        <x:f>CHOOSE(WEEKDAY(A33,2),"Mon","Tue","Wed","Thu","Fri","Sat","Sun")</x:f>
        <x:v>Thu</x:v>
      </x:c>
      <x:c r="C33" s="2" t="n">
        <x:f>IF(WEEKDAY(A33,2)&gt;5,0,IF(OR(AND(COUNT($B$5:$C$5)=2,A33&gt;=$B$5,A33&lt;=$C$5),AND(A33&gt;=$B$6,A33&lt;=$C$6)),0,1))</x:f>
        <x:v>1</x:v>
      </x:c>
      <x:c r="D33" s="2" t="n">
        <x:f>IF(C33=1,SUM($C$16:C33),"")</x:f>
        <x:v>14</x:v>
      </x:c>
      <x:c r="E33" s="2" t="n">
        <x:f>INT((A33-'Delivery Timeline'!$B$4)/7)+1</x:f>
        <x:v>3</x:v>
      </x:c>
      <x:c r="F33" s="2" t="str">
        <x:f>IF(AND(COUNT($B$5:$C$5)=2,A33&gt;=$B$5,A33&lt;=$C$5),"Additional leave",IF(AND(A33&gt;=$B$6,A33&lt;=$C$6),"Lunar New Year leave",IF(C33=1,"Working day","Weekend")))</x:f>
        <x:v>Working day</x:v>
      </x:c>
    </x:row>
    <x:row r="34" ht="23" customHeight="1">
      <x:c r="A34" s="5" t="n">
        <x:f>'Delivery Timeline'!$B$4+18</x:f>
        <x:v>46346</x:v>
      </x:c>
      <x:c r="B34" s="2" t="str">
        <x:f>CHOOSE(WEEKDAY(A34,2),"Mon","Tue","Wed","Thu","Fri","Sat","Sun")</x:f>
        <x:v>Fri</x:v>
      </x:c>
      <x:c r="C34" s="2" t="n">
        <x:f>IF(WEEKDAY(A34,2)&gt;5,0,IF(OR(AND(COUNT($B$5:$C$5)=2,A34&gt;=$B$5,A34&lt;=$C$5),AND(A34&gt;=$B$6,A34&lt;=$C$6)),0,1))</x:f>
        <x:v>1</x:v>
      </x:c>
      <x:c r="D34" s="2" t="n">
        <x:f>IF(C34=1,SUM($C$16:C34),"")</x:f>
        <x:v>15</x:v>
      </x:c>
      <x:c r="E34" s="2" t="n">
        <x:f>INT((A34-'Delivery Timeline'!$B$4)/7)+1</x:f>
        <x:v>3</x:v>
      </x:c>
      <x:c r="F34" s="2" t="str">
        <x:f>IF(AND(COUNT($B$5:$C$5)=2,A34&gt;=$B$5,A34&lt;=$C$5),"Additional leave",IF(AND(A34&gt;=$B$6,A34&lt;=$C$6),"Lunar New Year leave",IF(C34=1,"Working day","Weekend")))</x:f>
        <x:v>Working day</x:v>
      </x:c>
    </x:row>
    <x:row r="35" ht="23" customHeight="1">
      <x:c r="A35" s="5" t="n">
        <x:f>'Delivery Timeline'!$B$4+19</x:f>
        <x:v>46347</x:v>
      </x:c>
      <x:c r="B35" s="2" t="str">
        <x:f>CHOOSE(WEEKDAY(A35,2),"Mon","Tue","Wed","Thu","Fri","Sat","Sun")</x:f>
        <x:v>Sat</x:v>
      </x:c>
      <x:c r="C35" s="2" t="n">
        <x:f>IF(WEEKDAY(A35,2)&gt;5,0,IF(OR(AND(COUNT($B$5:$C$5)=2,A35&gt;=$B$5,A35&lt;=$C$5),AND(A35&gt;=$B$6,A35&lt;=$C$6)),0,1))</x:f>
        <x:v>0</x:v>
      </x:c>
      <x:c r="D35" s="2" t="str">
        <x:f>IF(C35=1,SUM($C$16:C35),"")</x:f>
      </x:c>
      <x:c r="E35" s="2" t="n">
        <x:f>INT((A35-'Delivery Timeline'!$B$4)/7)+1</x:f>
        <x:v>3</x:v>
      </x:c>
      <x:c r="F35" s="2" t="str">
        <x:f>IF(AND(COUNT($B$5:$C$5)=2,A35&gt;=$B$5,A35&lt;=$C$5),"Additional leave",IF(AND(A35&gt;=$B$6,A35&lt;=$C$6),"Lunar New Year leave",IF(C35=1,"Working day","Weekend")))</x:f>
        <x:v>Weekend</x:v>
      </x:c>
    </x:row>
    <x:row r="36" ht="23" customHeight="1">
      <x:c r="A36" s="5" t="n">
        <x:f>'Delivery Timeline'!$B$4+20</x:f>
        <x:v>46348</x:v>
      </x:c>
      <x:c r="B36" s="2" t="str">
        <x:f>CHOOSE(WEEKDAY(A36,2),"Mon","Tue","Wed","Thu","Fri","Sat","Sun")</x:f>
        <x:v>Sun</x:v>
      </x:c>
      <x:c r="C36" s="2" t="n">
        <x:f>IF(WEEKDAY(A36,2)&gt;5,0,IF(OR(AND(COUNT($B$5:$C$5)=2,A36&gt;=$B$5,A36&lt;=$C$5),AND(A36&gt;=$B$6,A36&lt;=$C$6)),0,1))</x:f>
        <x:v>0</x:v>
      </x:c>
      <x:c r="D36" s="2" t="str">
        <x:f>IF(C36=1,SUM($C$16:C36),"")</x:f>
      </x:c>
      <x:c r="E36" s="2" t="n">
        <x:f>INT((A36-'Delivery Timeline'!$B$4)/7)+1</x:f>
        <x:v>3</x:v>
      </x:c>
      <x:c r="F36" s="2" t="str">
        <x:f>IF(AND(COUNT($B$5:$C$5)=2,A36&gt;=$B$5,A36&lt;=$C$5),"Additional leave",IF(AND(A36&gt;=$B$6,A36&lt;=$C$6),"Lunar New Year leave",IF(C36=1,"Working day","Weekend")))</x:f>
        <x:v>Weekend</x:v>
      </x:c>
    </x:row>
    <x:row r="37" ht="23" customHeight="1">
      <x:c r="A37" s="5" t="n">
        <x:f>'Delivery Timeline'!$B$4+21</x:f>
        <x:v>46349</x:v>
      </x:c>
      <x:c r="B37" s="2" t="str">
        <x:f>CHOOSE(WEEKDAY(A37,2),"Mon","Tue","Wed","Thu","Fri","Sat","Sun")</x:f>
        <x:v>Mon</x:v>
      </x:c>
      <x:c r="C37" s="2" t="n">
        <x:f>IF(WEEKDAY(A37,2)&gt;5,0,IF(OR(AND(COUNT($B$5:$C$5)=2,A37&gt;=$B$5,A37&lt;=$C$5),AND(A37&gt;=$B$6,A37&lt;=$C$6)),0,1))</x:f>
        <x:v>1</x:v>
      </x:c>
      <x:c r="D37" s="2" t="n">
        <x:f>IF(C37=1,SUM($C$16:C37),"")</x:f>
        <x:v>16</x:v>
      </x:c>
      <x:c r="E37" s="2" t="n">
        <x:f>INT((A37-'Delivery Timeline'!$B$4)/7)+1</x:f>
        <x:v>4</x:v>
      </x:c>
      <x:c r="F37" s="2" t="str">
        <x:f>IF(AND(COUNT($B$5:$C$5)=2,A37&gt;=$B$5,A37&lt;=$C$5),"Additional leave",IF(AND(A37&gt;=$B$6,A37&lt;=$C$6),"Lunar New Year leave",IF(C37=1,"Working day","Weekend")))</x:f>
        <x:v>Working day</x:v>
      </x:c>
    </x:row>
    <x:row r="38" ht="23" customHeight="1">
      <x:c r="A38" s="5" t="n">
        <x:f>'Delivery Timeline'!$B$4+22</x:f>
        <x:v>46350</x:v>
      </x:c>
      <x:c r="B38" s="2" t="str">
        <x:f>CHOOSE(WEEKDAY(A38,2),"Mon","Tue","Wed","Thu","Fri","Sat","Sun")</x:f>
        <x:v>Tue</x:v>
      </x:c>
      <x:c r="C38" s="2" t="n">
        <x:f>IF(WEEKDAY(A38,2)&gt;5,0,IF(OR(AND(COUNT($B$5:$C$5)=2,A38&gt;=$B$5,A38&lt;=$C$5),AND(A38&gt;=$B$6,A38&lt;=$C$6)),0,1))</x:f>
        <x:v>1</x:v>
      </x:c>
      <x:c r="D38" s="2" t="n">
        <x:f>IF(C38=1,SUM($C$16:C38),"")</x:f>
        <x:v>17</x:v>
      </x:c>
      <x:c r="E38" s="2" t="n">
        <x:f>INT((A38-'Delivery Timeline'!$B$4)/7)+1</x:f>
        <x:v>4</x:v>
      </x:c>
      <x:c r="F38" s="2" t="str">
        <x:f>IF(AND(COUNT($B$5:$C$5)=2,A38&gt;=$B$5,A38&lt;=$C$5),"Additional leave",IF(AND(A38&gt;=$B$6,A38&lt;=$C$6),"Lunar New Year leave",IF(C38=1,"Working day","Weekend")))</x:f>
        <x:v>Working day</x:v>
      </x:c>
    </x:row>
    <x:row r="39" ht="23" customHeight="1">
      <x:c r="A39" s="5" t="n">
        <x:f>'Delivery Timeline'!$B$4+23</x:f>
        <x:v>46351</x:v>
      </x:c>
      <x:c r="B39" s="2" t="str">
        <x:f>CHOOSE(WEEKDAY(A39,2),"Mon","Tue","Wed","Thu","Fri","Sat","Sun")</x:f>
        <x:v>Wed</x:v>
      </x:c>
      <x:c r="C39" s="2" t="n">
        <x:f>IF(WEEKDAY(A39,2)&gt;5,0,IF(OR(AND(COUNT($B$5:$C$5)=2,A39&gt;=$B$5,A39&lt;=$C$5),AND(A39&gt;=$B$6,A39&lt;=$C$6)),0,1))</x:f>
        <x:v>1</x:v>
      </x:c>
      <x:c r="D39" s="2" t="n">
        <x:f>IF(C39=1,SUM($C$16:C39),"")</x:f>
        <x:v>18</x:v>
      </x:c>
      <x:c r="E39" s="2" t="n">
        <x:f>INT((A39-'Delivery Timeline'!$B$4)/7)+1</x:f>
        <x:v>4</x:v>
      </x:c>
      <x:c r="F39" s="2" t="str">
        <x:f>IF(AND(COUNT($B$5:$C$5)=2,A39&gt;=$B$5,A39&lt;=$C$5),"Additional leave",IF(AND(A39&gt;=$B$6,A39&lt;=$C$6),"Lunar New Year leave",IF(C39=1,"Working day","Weekend")))</x:f>
        <x:v>Working day</x:v>
      </x:c>
    </x:row>
    <x:row r="40" ht="23" customHeight="1">
      <x:c r="A40" s="5" t="n">
        <x:f>'Delivery Timeline'!$B$4+24</x:f>
        <x:v>46352</x:v>
      </x:c>
      <x:c r="B40" s="2" t="str">
        <x:f>CHOOSE(WEEKDAY(A40,2),"Mon","Tue","Wed","Thu","Fri","Sat","Sun")</x:f>
        <x:v>Thu</x:v>
      </x:c>
      <x:c r="C40" s="2" t="n">
        <x:f>IF(WEEKDAY(A40,2)&gt;5,0,IF(OR(AND(COUNT($B$5:$C$5)=2,A40&gt;=$B$5,A40&lt;=$C$5),AND(A40&gt;=$B$6,A40&lt;=$C$6)),0,1))</x:f>
        <x:v>1</x:v>
      </x:c>
      <x:c r="D40" s="2" t="n">
        <x:f>IF(C40=1,SUM($C$16:C40),"")</x:f>
        <x:v>19</x:v>
      </x:c>
      <x:c r="E40" s="2" t="n">
        <x:f>INT((A40-'Delivery Timeline'!$B$4)/7)+1</x:f>
        <x:v>4</x:v>
      </x:c>
      <x:c r="F40" s="2" t="str">
        <x:f>IF(AND(COUNT($B$5:$C$5)=2,A40&gt;=$B$5,A40&lt;=$C$5),"Additional leave",IF(AND(A40&gt;=$B$6,A40&lt;=$C$6),"Lunar New Year leave",IF(C40=1,"Working day","Weekend")))</x:f>
        <x:v>Working day</x:v>
      </x:c>
    </x:row>
    <x:row r="41" ht="23" customHeight="1">
      <x:c r="A41" s="5" t="n">
        <x:f>'Delivery Timeline'!$B$4+25</x:f>
        <x:v>46353</x:v>
      </x:c>
      <x:c r="B41" s="2" t="str">
        <x:f>CHOOSE(WEEKDAY(A41,2),"Mon","Tue","Wed","Thu","Fri","Sat","Sun")</x:f>
        <x:v>Fri</x:v>
      </x:c>
      <x:c r="C41" s="2" t="n">
        <x:f>IF(WEEKDAY(A41,2)&gt;5,0,IF(OR(AND(COUNT($B$5:$C$5)=2,A41&gt;=$B$5,A41&lt;=$C$5),AND(A41&gt;=$B$6,A41&lt;=$C$6)),0,1))</x:f>
        <x:v>1</x:v>
      </x:c>
      <x:c r="D41" s="2" t="n">
        <x:f>IF(C41=1,SUM($C$16:C41),"")</x:f>
        <x:v>20</x:v>
      </x:c>
      <x:c r="E41" s="2" t="n">
        <x:f>INT((A41-'Delivery Timeline'!$B$4)/7)+1</x:f>
        <x:v>4</x:v>
      </x:c>
      <x:c r="F41" s="2" t="str">
        <x:f>IF(AND(COUNT($B$5:$C$5)=2,A41&gt;=$B$5,A41&lt;=$C$5),"Additional leave",IF(AND(A41&gt;=$B$6,A41&lt;=$C$6),"Lunar New Year leave",IF(C41=1,"Working day","Weekend")))</x:f>
        <x:v>Working day</x:v>
      </x:c>
    </x:row>
    <x:row r="42" ht="23" customHeight="1">
      <x:c r="A42" s="5" t="n">
        <x:f>'Delivery Timeline'!$B$4+26</x:f>
        <x:v>46354</x:v>
      </x:c>
      <x:c r="B42" s="2" t="str">
        <x:f>CHOOSE(WEEKDAY(A42,2),"Mon","Tue","Wed","Thu","Fri","Sat","Sun")</x:f>
        <x:v>Sat</x:v>
      </x:c>
      <x:c r="C42" s="2" t="n">
        <x:f>IF(WEEKDAY(A42,2)&gt;5,0,IF(OR(AND(COUNT($B$5:$C$5)=2,A42&gt;=$B$5,A42&lt;=$C$5),AND(A42&gt;=$B$6,A42&lt;=$C$6)),0,1))</x:f>
        <x:v>0</x:v>
      </x:c>
      <x:c r="D42" s="2" t="str">
        <x:f>IF(C42=1,SUM($C$16:C42),"")</x:f>
      </x:c>
      <x:c r="E42" s="2" t="n">
        <x:f>INT((A42-'Delivery Timeline'!$B$4)/7)+1</x:f>
        <x:v>4</x:v>
      </x:c>
      <x:c r="F42" s="2" t="str">
        <x:f>IF(AND(COUNT($B$5:$C$5)=2,A42&gt;=$B$5,A42&lt;=$C$5),"Additional leave",IF(AND(A42&gt;=$B$6,A42&lt;=$C$6),"Lunar New Year leave",IF(C42=1,"Working day","Weekend")))</x:f>
        <x:v>Weekend</x:v>
      </x:c>
    </x:row>
    <x:row r="43" ht="23" customHeight="1">
      <x:c r="A43" s="5" t="n">
        <x:f>'Delivery Timeline'!$B$4+27</x:f>
        <x:v>46355</x:v>
      </x:c>
      <x:c r="B43" s="2" t="str">
        <x:f>CHOOSE(WEEKDAY(A43,2),"Mon","Tue","Wed","Thu","Fri","Sat","Sun")</x:f>
        <x:v>Sun</x:v>
      </x:c>
      <x:c r="C43" s="2" t="n">
        <x:f>IF(WEEKDAY(A43,2)&gt;5,0,IF(OR(AND(COUNT($B$5:$C$5)=2,A43&gt;=$B$5,A43&lt;=$C$5),AND(A43&gt;=$B$6,A43&lt;=$C$6)),0,1))</x:f>
        <x:v>0</x:v>
      </x:c>
      <x:c r="D43" s="2" t="str">
        <x:f>IF(C43=1,SUM($C$16:C43),"")</x:f>
      </x:c>
      <x:c r="E43" s="2" t="n">
        <x:f>INT((A43-'Delivery Timeline'!$B$4)/7)+1</x:f>
        <x:v>4</x:v>
      </x:c>
      <x:c r="F43" s="2" t="str">
        <x:f>IF(AND(COUNT($B$5:$C$5)=2,A43&gt;=$B$5,A43&lt;=$C$5),"Additional leave",IF(AND(A43&gt;=$B$6,A43&lt;=$C$6),"Lunar New Year leave",IF(C43=1,"Working day","Weekend")))</x:f>
        <x:v>Weekend</x:v>
      </x:c>
    </x:row>
    <x:row r="44" ht="23" customHeight="1">
      <x:c r="A44" s="5" t="n">
        <x:f>'Delivery Timeline'!$B$4+28</x:f>
        <x:v>46356</x:v>
      </x:c>
      <x:c r="B44" s="2" t="str">
        <x:f>CHOOSE(WEEKDAY(A44,2),"Mon","Tue","Wed","Thu","Fri","Sat","Sun")</x:f>
        <x:v>Mon</x:v>
      </x:c>
      <x:c r="C44" s="2" t="n">
        <x:f>IF(WEEKDAY(A44,2)&gt;5,0,IF(OR(AND(COUNT($B$5:$C$5)=2,A44&gt;=$B$5,A44&lt;=$C$5),AND(A44&gt;=$B$6,A44&lt;=$C$6)),0,1))</x:f>
        <x:v>1</x:v>
      </x:c>
      <x:c r="D44" s="2" t="n">
        <x:f>IF(C44=1,SUM($C$16:C44),"")</x:f>
        <x:v>21</x:v>
      </x:c>
      <x:c r="E44" s="2" t="n">
        <x:f>INT((A44-'Delivery Timeline'!$B$4)/7)+1</x:f>
        <x:v>5</x:v>
      </x:c>
      <x:c r="F44" s="2" t="str">
        <x:f>IF(AND(COUNT($B$5:$C$5)=2,A44&gt;=$B$5,A44&lt;=$C$5),"Additional leave",IF(AND(A44&gt;=$B$6,A44&lt;=$C$6),"Lunar New Year leave",IF(C44=1,"Working day","Weekend")))</x:f>
        <x:v>Working day</x:v>
      </x:c>
    </x:row>
    <x:row r="45" ht="23" customHeight="1">
      <x:c r="A45" s="5" t="n">
        <x:f>'Delivery Timeline'!$B$4+29</x:f>
        <x:v>46357</x:v>
      </x:c>
      <x:c r="B45" s="2" t="str">
        <x:f>CHOOSE(WEEKDAY(A45,2),"Mon","Tue","Wed","Thu","Fri","Sat","Sun")</x:f>
        <x:v>Tue</x:v>
      </x:c>
      <x:c r="C45" s="2" t="n">
        <x:f>IF(WEEKDAY(A45,2)&gt;5,0,IF(OR(AND(COUNT($B$5:$C$5)=2,A45&gt;=$B$5,A45&lt;=$C$5),AND(A45&gt;=$B$6,A45&lt;=$C$6)),0,1))</x:f>
        <x:v>1</x:v>
      </x:c>
      <x:c r="D45" s="2" t="n">
        <x:f>IF(C45=1,SUM($C$16:C45),"")</x:f>
        <x:v>22</x:v>
      </x:c>
      <x:c r="E45" s="2" t="n">
        <x:f>INT((A45-'Delivery Timeline'!$B$4)/7)+1</x:f>
        <x:v>5</x:v>
      </x:c>
      <x:c r="F45" s="2" t="str">
        <x:f>IF(AND(COUNT($B$5:$C$5)=2,A45&gt;=$B$5,A45&lt;=$C$5),"Additional leave",IF(AND(A45&gt;=$B$6,A45&lt;=$C$6),"Lunar New Year leave",IF(C45=1,"Working day","Weekend")))</x:f>
        <x:v>Working day</x:v>
      </x:c>
    </x:row>
    <x:row r="46" ht="23" customHeight="1">
      <x:c r="A46" s="5" t="n">
        <x:f>'Delivery Timeline'!$B$4+30</x:f>
        <x:v>46358</x:v>
      </x:c>
      <x:c r="B46" s="2" t="str">
        <x:f>CHOOSE(WEEKDAY(A46,2),"Mon","Tue","Wed","Thu","Fri","Sat","Sun")</x:f>
        <x:v>Wed</x:v>
      </x:c>
      <x:c r="C46" s="2" t="n">
        <x:f>IF(WEEKDAY(A46,2)&gt;5,0,IF(OR(AND(COUNT($B$5:$C$5)=2,A46&gt;=$B$5,A46&lt;=$C$5),AND(A46&gt;=$B$6,A46&lt;=$C$6)),0,1))</x:f>
        <x:v>1</x:v>
      </x:c>
      <x:c r="D46" s="2" t="n">
        <x:f>IF(C46=1,SUM($C$16:C46),"")</x:f>
        <x:v>23</x:v>
      </x:c>
      <x:c r="E46" s="2" t="n">
        <x:f>INT((A46-'Delivery Timeline'!$B$4)/7)+1</x:f>
        <x:v>5</x:v>
      </x:c>
      <x:c r="F46" s="2" t="str">
        <x:f>IF(AND(COUNT($B$5:$C$5)=2,A46&gt;=$B$5,A46&lt;=$C$5),"Additional leave",IF(AND(A46&gt;=$B$6,A46&lt;=$C$6),"Lunar New Year leave",IF(C46=1,"Working day","Weekend")))</x:f>
        <x:v>Working day</x:v>
      </x:c>
    </x:row>
    <x:row r="47" ht="23" customHeight="1">
      <x:c r="A47" s="5" t="n">
        <x:f>'Delivery Timeline'!$B$4+31</x:f>
        <x:v>46359</x:v>
      </x:c>
      <x:c r="B47" s="2" t="str">
        <x:f>CHOOSE(WEEKDAY(A47,2),"Mon","Tue","Wed","Thu","Fri","Sat","Sun")</x:f>
        <x:v>Thu</x:v>
      </x:c>
      <x:c r="C47" s="2" t="n">
        <x:f>IF(WEEKDAY(A47,2)&gt;5,0,IF(OR(AND(COUNT($B$5:$C$5)=2,A47&gt;=$B$5,A47&lt;=$C$5),AND(A47&gt;=$B$6,A47&lt;=$C$6)),0,1))</x:f>
        <x:v>1</x:v>
      </x:c>
      <x:c r="D47" s="2" t="n">
        <x:f>IF(C47=1,SUM($C$16:C47),"")</x:f>
        <x:v>24</x:v>
      </x:c>
      <x:c r="E47" s="2" t="n">
        <x:f>INT((A47-'Delivery Timeline'!$B$4)/7)+1</x:f>
        <x:v>5</x:v>
      </x:c>
      <x:c r="F47" s="2" t="str">
        <x:f>IF(AND(COUNT($B$5:$C$5)=2,A47&gt;=$B$5,A47&lt;=$C$5),"Additional leave",IF(AND(A47&gt;=$B$6,A47&lt;=$C$6),"Lunar New Year leave",IF(C47=1,"Working day","Weekend")))</x:f>
        <x:v>Working day</x:v>
      </x:c>
    </x:row>
    <x:row r="48" ht="23" customHeight="1">
      <x:c r="A48" s="5" t="n">
        <x:f>'Delivery Timeline'!$B$4+32</x:f>
        <x:v>46360</x:v>
      </x:c>
      <x:c r="B48" s="2" t="str">
        <x:f>CHOOSE(WEEKDAY(A48,2),"Mon","Tue","Wed","Thu","Fri","Sat","Sun")</x:f>
        <x:v>Fri</x:v>
      </x:c>
      <x:c r="C48" s="2" t="n">
        <x:f>IF(WEEKDAY(A48,2)&gt;5,0,IF(OR(AND(COUNT($B$5:$C$5)=2,A48&gt;=$B$5,A48&lt;=$C$5),AND(A48&gt;=$B$6,A48&lt;=$C$6)),0,1))</x:f>
        <x:v>1</x:v>
      </x:c>
      <x:c r="D48" s="2" t="n">
        <x:f>IF(C48=1,SUM($C$16:C48),"")</x:f>
        <x:v>25</x:v>
      </x:c>
      <x:c r="E48" s="2" t="n">
        <x:f>INT((A48-'Delivery Timeline'!$B$4)/7)+1</x:f>
        <x:v>5</x:v>
      </x:c>
      <x:c r="F48" s="2" t="str">
        <x:f>IF(AND(COUNT($B$5:$C$5)=2,A48&gt;=$B$5,A48&lt;=$C$5),"Additional leave",IF(AND(A48&gt;=$B$6,A48&lt;=$C$6),"Lunar New Year leave",IF(C48=1,"Working day","Weekend")))</x:f>
        <x:v>Working day</x:v>
      </x:c>
    </x:row>
    <x:row r="49" ht="23" customHeight="1">
      <x:c r="A49" s="5" t="n">
        <x:f>'Delivery Timeline'!$B$4+33</x:f>
        <x:v>46361</x:v>
      </x:c>
      <x:c r="B49" s="2" t="str">
        <x:f>CHOOSE(WEEKDAY(A49,2),"Mon","Tue","Wed","Thu","Fri","Sat","Sun")</x:f>
        <x:v>Sat</x:v>
      </x:c>
      <x:c r="C49" s="2" t="n">
        <x:f>IF(WEEKDAY(A49,2)&gt;5,0,IF(OR(AND(COUNT($B$5:$C$5)=2,A49&gt;=$B$5,A49&lt;=$C$5),AND(A49&gt;=$B$6,A49&lt;=$C$6)),0,1))</x:f>
        <x:v>0</x:v>
      </x:c>
      <x:c r="D49" s="2" t="str">
        <x:f>IF(C49=1,SUM($C$16:C49),"")</x:f>
      </x:c>
      <x:c r="E49" s="2" t="n">
        <x:f>INT((A49-'Delivery Timeline'!$B$4)/7)+1</x:f>
        <x:v>5</x:v>
      </x:c>
      <x:c r="F49" s="2" t="str">
        <x:f>IF(AND(COUNT($B$5:$C$5)=2,A49&gt;=$B$5,A49&lt;=$C$5),"Additional leave",IF(AND(A49&gt;=$B$6,A49&lt;=$C$6),"Lunar New Year leave",IF(C49=1,"Working day","Weekend")))</x:f>
        <x:v>Weekend</x:v>
      </x:c>
    </x:row>
    <x:row r="50" ht="23" customHeight="1">
      <x:c r="A50" s="5" t="n">
        <x:f>'Delivery Timeline'!$B$4+34</x:f>
        <x:v>46362</x:v>
      </x:c>
      <x:c r="B50" s="2" t="str">
        <x:f>CHOOSE(WEEKDAY(A50,2),"Mon","Tue","Wed","Thu","Fri","Sat","Sun")</x:f>
        <x:v>Sun</x:v>
      </x:c>
      <x:c r="C50" s="2" t="n">
        <x:f>IF(WEEKDAY(A50,2)&gt;5,0,IF(OR(AND(COUNT($B$5:$C$5)=2,A50&gt;=$B$5,A50&lt;=$C$5),AND(A50&gt;=$B$6,A50&lt;=$C$6)),0,1))</x:f>
        <x:v>0</x:v>
      </x:c>
      <x:c r="D50" s="2" t="str">
        <x:f>IF(C50=1,SUM($C$16:C50),"")</x:f>
      </x:c>
      <x:c r="E50" s="2" t="n">
        <x:f>INT((A50-'Delivery Timeline'!$B$4)/7)+1</x:f>
        <x:v>5</x:v>
      </x:c>
      <x:c r="F50" s="2" t="str">
        <x:f>IF(AND(COUNT($B$5:$C$5)=2,A50&gt;=$B$5,A50&lt;=$C$5),"Additional leave",IF(AND(A50&gt;=$B$6,A50&lt;=$C$6),"Lunar New Year leave",IF(C50=1,"Working day","Weekend")))</x:f>
        <x:v>Weekend</x:v>
      </x:c>
    </x:row>
    <x:row r="51" ht="23" customHeight="1">
      <x:c r="A51" s="5" t="n">
        <x:f>'Delivery Timeline'!$B$4+35</x:f>
        <x:v>46363</x:v>
      </x:c>
      <x:c r="B51" s="2" t="str">
        <x:f>CHOOSE(WEEKDAY(A51,2),"Mon","Tue","Wed","Thu","Fri","Sat","Sun")</x:f>
        <x:v>Mon</x:v>
      </x:c>
      <x:c r="C51" s="2" t="n">
        <x:f>IF(WEEKDAY(A51,2)&gt;5,0,IF(OR(AND(COUNT($B$5:$C$5)=2,A51&gt;=$B$5,A51&lt;=$C$5),AND(A51&gt;=$B$6,A51&lt;=$C$6)),0,1))</x:f>
        <x:v>1</x:v>
      </x:c>
      <x:c r="D51" s="2" t="n">
        <x:f>IF(C51=1,SUM($C$16:C51),"")</x:f>
        <x:v>26</x:v>
      </x:c>
      <x:c r="E51" s="2" t="n">
        <x:f>INT((A51-'Delivery Timeline'!$B$4)/7)+1</x:f>
        <x:v>6</x:v>
      </x:c>
      <x:c r="F51" s="2" t="str">
        <x:f>IF(AND(COUNT($B$5:$C$5)=2,A51&gt;=$B$5,A51&lt;=$C$5),"Additional leave",IF(AND(A51&gt;=$B$6,A51&lt;=$C$6),"Lunar New Year leave",IF(C51=1,"Working day","Weekend")))</x:f>
        <x:v>Working day</x:v>
      </x:c>
    </x:row>
    <x:row r="52" ht="23" customHeight="1">
      <x:c r="A52" s="5" t="n">
        <x:f>'Delivery Timeline'!$B$4+36</x:f>
        <x:v>46364</x:v>
      </x:c>
      <x:c r="B52" s="2" t="str">
        <x:f>CHOOSE(WEEKDAY(A52,2),"Mon","Tue","Wed","Thu","Fri","Sat","Sun")</x:f>
        <x:v>Tue</x:v>
      </x:c>
      <x:c r="C52" s="2" t="n">
        <x:f>IF(WEEKDAY(A52,2)&gt;5,0,IF(OR(AND(COUNT($B$5:$C$5)=2,A52&gt;=$B$5,A52&lt;=$C$5),AND(A52&gt;=$B$6,A52&lt;=$C$6)),0,1))</x:f>
        <x:v>1</x:v>
      </x:c>
      <x:c r="D52" s="2" t="n">
        <x:f>IF(C52=1,SUM($C$16:C52),"")</x:f>
        <x:v>27</x:v>
      </x:c>
      <x:c r="E52" s="2" t="n">
        <x:f>INT((A52-'Delivery Timeline'!$B$4)/7)+1</x:f>
        <x:v>6</x:v>
      </x:c>
      <x:c r="F52" s="2" t="str">
        <x:f>IF(AND(COUNT($B$5:$C$5)=2,A52&gt;=$B$5,A52&lt;=$C$5),"Additional leave",IF(AND(A52&gt;=$B$6,A52&lt;=$C$6),"Lunar New Year leave",IF(C52=1,"Working day","Weekend")))</x:f>
        <x:v>Working day</x:v>
      </x:c>
    </x:row>
    <x:row r="53" ht="23" customHeight="1">
      <x:c r="A53" s="5" t="n">
        <x:f>'Delivery Timeline'!$B$4+37</x:f>
        <x:v>46365</x:v>
      </x:c>
      <x:c r="B53" s="2" t="str">
        <x:f>CHOOSE(WEEKDAY(A53,2),"Mon","Tue","Wed","Thu","Fri","Sat","Sun")</x:f>
        <x:v>Wed</x:v>
      </x:c>
      <x:c r="C53" s="2" t="n">
        <x:f>IF(WEEKDAY(A53,2)&gt;5,0,IF(OR(AND(COUNT($B$5:$C$5)=2,A53&gt;=$B$5,A53&lt;=$C$5),AND(A53&gt;=$B$6,A53&lt;=$C$6)),0,1))</x:f>
        <x:v>1</x:v>
      </x:c>
      <x:c r="D53" s="2" t="n">
        <x:f>IF(C53=1,SUM($C$16:C53),"")</x:f>
        <x:v>28</x:v>
      </x:c>
      <x:c r="E53" s="2" t="n">
        <x:f>INT((A53-'Delivery Timeline'!$B$4)/7)+1</x:f>
        <x:v>6</x:v>
      </x:c>
      <x:c r="F53" s="2" t="str">
        <x:f>IF(AND(COUNT($B$5:$C$5)=2,A53&gt;=$B$5,A53&lt;=$C$5),"Additional leave",IF(AND(A53&gt;=$B$6,A53&lt;=$C$6),"Lunar New Year leave",IF(C53=1,"Working day","Weekend")))</x:f>
        <x:v>Working day</x:v>
      </x:c>
    </x:row>
    <x:row r="54" ht="23" customHeight="1">
      <x:c r="A54" s="5" t="n">
        <x:f>'Delivery Timeline'!$B$4+38</x:f>
        <x:v>46366</x:v>
      </x:c>
      <x:c r="B54" s="2" t="str">
        <x:f>CHOOSE(WEEKDAY(A54,2),"Mon","Tue","Wed","Thu","Fri","Sat","Sun")</x:f>
        <x:v>Thu</x:v>
      </x:c>
      <x:c r="C54" s="2" t="n">
        <x:f>IF(WEEKDAY(A54,2)&gt;5,0,IF(OR(AND(COUNT($B$5:$C$5)=2,A54&gt;=$B$5,A54&lt;=$C$5),AND(A54&gt;=$B$6,A54&lt;=$C$6)),0,1))</x:f>
        <x:v>1</x:v>
      </x:c>
      <x:c r="D54" s="2" t="n">
        <x:f>IF(C54=1,SUM($C$16:C54),"")</x:f>
        <x:v>29</x:v>
      </x:c>
      <x:c r="E54" s="2" t="n">
        <x:f>INT((A54-'Delivery Timeline'!$B$4)/7)+1</x:f>
        <x:v>6</x:v>
      </x:c>
      <x:c r="F54" s="2" t="str">
        <x:f>IF(AND(COUNT($B$5:$C$5)=2,A54&gt;=$B$5,A54&lt;=$C$5),"Additional leave",IF(AND(A54&gt;=$B$6,A54&lt;=$C$6),"Lunar New Year leave",IF(C54=1,"Working day","Weekend")))</x:f>
        <x:v>Working day</x:v>
      </x:c>
    </x:row>
    <x:row r="55" ht="23" customHeight="1">
      <x:c r="A55" s="5" t="n">
        <x:f>'Delivery Timeline'!$B$4+39</x:f>
        <x:v>46367</x:v>
      </x:c>
      <x:c r="B55" s="2" t="str">
        <x:f>CHOOSE(WEEKDAY(A55,2),"Mon","Tue","Wed","Thu","Fri","Sat","Sun")</x:f>
        <x:v>Fri</x:v>
      </x:c>
      <x:c r="C55" s="2" t="n">
        <x:f>IF(WEEKDAY(A55,2)&gt;5,0,IF(OR(AND(COUNT($B$5:$C$5)=2,A55&gt;=$B$5,A55&lt;=$C$5),AND(A55&gt;=$B$6,A55&lt;=$C$6)),0,1))</x:f>
        <x:v>1</x:v>
      </x:c>
      <x:c r="D55" s="2" t="n">
        <x:f>IF(C55=1,SUM($C$16:C55),"")</x:f>
        <x:v>30</x:v>
      </x:c>
      <x:c r="E55" s="2" t="n">
        <x:f>INT((A55-'Delivery Timeline'!$B$4)/7)+1</x:f>
        <x:v>6</x:v>
      </x:c>
      <x:c r="F55" s="2" t="str">
        <x:f>IF(AND(COUNT($B$5:$C$5)=2,A55&gt;=$B$5,A55&lt;=$C$5),"Additional leave",IF(AND(A55&gt;=$B$6,A55&lt;=$C$6),"Lunar New Year leave",IF(C55=1,"Working day","Weekend")))</x:f>
        <x:v>Working day</x:v>
      </x:c>
    </x:row>
    <x:row r="56" ht="23" customHeight="1">
      <x:c r="A56" s="5" t="n">
        <x:f>'Delivery Timeline'!$B$4+40</x:f>
        <x:v>46368</x:v>
      </x:c>
      <x:c r="B56" s="2" t="str">
        <x:f>CHOOSE(WEEKDAY(A56,2),"Mon","Tue","Wed","Thu","Fri","Sat","Sun")</x:f>
        <x:v>Sat</x:v>
      </x:c>
      <x:c r="C56" s="2" t="n">
        <x:f>IF(WEEKDAY(A56,2)&gt;5,0,IF(OR(AND(COUNT($B$5:$C$5)=2,A56&gt;=$B$5,A56&lt;=$C$5),AND(A56&gt;=$B$6,A56&lt;=$C$6)),0,1))</x:f>
        <x:v>0</x:v>
      </x:c>
      <x:c r="D56" s="2" t="str">
        <x:f>IF(C56=1,SUM($C$16:C56),"")</x:f>
      </x:c>
      <x:c r="E56" s="2" t="n">
        <x:f>INT((A56-'Delivery Timeline'!$B$4)/7)+1</x:f>
        <x:v>6</x:v>
      </x:c>
      <x:c r="F56" s="2" t="str">
        <x:f>IF(AND(COUNT($B$5:$C$5)=2,A56&gt;=$B$5,A56&lt;=$C$5),"Additional leave",IF(AND(A56&gt;=$B$6,A56&lt;=$C$6),"Lunar New Year leave",IF(C56=1,"Working day","Weekend")))</x:f>
        <x:v>Weekend</x:v>
      </x:c>
    </x:row>
    <x:row r="57" ht="23" customHeight="1">
      <x:c r="A57" s="5" t="n">
        <x:f>'Delivery Timeline'!$B$4+41</x:f>
        <x:v>46369</x:v>
      </x:c>
      <x:c r="B57" s="2" t="str">
        <x:f>CHOOSE(WEEKDAY(A57,2),"Mon","Tue","Wed","Thu","Fri","Sat","Sun")</x:f>
        <x:v>Sun</x:v>
      </x:c>
      <x:c r="C57" s="2" t="n">
        <x:f>IF(WEEKDAY(A57,2)&gt;5,0,IF(OR(AND(COUNT($B$5:$C$5)=2,A57&gt;=$B$5,A57&lt;=$C$5),AND(A57&gt;=$B$6,A57&lt;=$C$6)),0,1))</x:f>
        <x:v>0</x:v>
      </x:c>
      <x:c r="D57" s="2" t="str">
        <x:f>IF(C57=1,SUM($C$16:C57),"")</x:f>
      </x:c>
      <x:c r="E57" s="2" t="n">
        <x:f>INT((A57-'Delivery Timeline'!$B$4)/7)+1</x:f>
        <x:v>6</x:v>
      </x:c>
      <x:c r="F57" s="2" t="str">
        <x:f>IF(AND(COUNT($B$5:$C$5)=2,A57&gt;=$B$5,A57&lt;=$C$5),"Additional leave",IF(AND(A57&gt;=$B$6,A57&lt;=$C$6),"Lunar New Year leave",IF(C57=1,"Working day","Weekend")))</x:f>
        <x:v>Weekend</x:v>
      </x:c>
    </x:row>
    <x:row r="58" ht="23" customHeight="1">
      <x:c r="A58" s="5" t="n">
        <x:f>'Delivery Timeline'!$B$4+42</x:f>
        <x:v>46370</x:v>
      </x:c>
      <x:c r="B58" s="2" t="str">
        <x:f>CHOOSE(WEEKDAY(A58,2),"Mon","Tue","Wed","Thu","Fri","Sat","Sun")</x:f>
        <x:v>Mon</x:v>
      </x:c>
      <x:c r="C58" s="2" t="n">
        <x:f>IF(WEEKDAY(A58,2)&gt;5,0,IF(OR(AND(COUNT($B$5:$C$5)=2,A58&gt;=$B$5,A58&lt;=$C$5),AND(A58&gt;=$B$6,A58&lt;=$C$6)),0,1))</x:f>
        <x:v>1</x:v>
      </x:c>
      <x:c r="D58" s="2" t="n">
        <x:f>IF(C58=1,SUM($C$16:C58),"")</x:f>
        <x:v>31</x:v>
      </x:c>
      <x:c r="E58" s="2" t="n">
        <x:f>INT((A58-'Delivery Timeline'!$B$4)/7)+1</x:f>
        <x:v>7</x:v>
      </x:c>
      <x:c r="F58" s="2" t="str">
        <x:f>IF(AND(COUNT($B$5:$C$5)=2,A58&gt;=$B$5,A58&lt;=$C$5),"Additional leave",IF(AND(A58&gt;=$B$6,A58&lt;=$C$6),"Lunar New Year leave",IF(C58=1,"Working day","Weekend")))</x:f>
        <x:v>Working day</x:v>
      </x:c>
    </x:row>
    <x:row r="59" ht="23" customHeight="1">
      <x:c r="A59" s="5" t="n">
        <x:f>'Delivery Timeline'!$B$4+43</x:f>
        <x:v>46371</x:v>
      </x:c>
      <x:c r="B59" s="2" t="str">
        <x:f>CHOOSE(WEEKDAY(A59,2),"Mon","Tue","Wed","Thu","Fri","Sat","Sun")</x:f>
        <x:v>Tue</x:v>
      </x:c>
      <x:c r="C59" s="2" t="n">
        <x:f>IF(WEEKDAY(A59,2)&gt;5,0,IF(OR(AND(COUNT($B$5:$C$5)=2,A59&gt;=$B$5,A59&lt;=$C$5),AND(A59&gt;=$B$6,A59&lt;=$C$6)),0,1))</x:f>
        <x:v>1</x:v>
      </x:c>
      <x:c r="D59" s="2" t="n">
        <x:f>IF(C59=1,SUM($C$16:C59),"")</x:f>
        <x:v>32</x:v>
      </x:c>
      <x:c r="E59" s="2" t="n">
        <x:f>INT((A59-'Delivery Timeline'!$B$4)/7)+1</x:f>
        <x:v>7</x:v>
      </x:c>
      <x:c r="F59" s="2" t="str">
        <x:f>IF(AND(COUNT($B$5:$C$5)=2,A59&gt;=$B$5,A59&lt;=$C$5),"Additional leave",IF(AND(A59&gt;=$B$6,A59&lt;=$C$6),"Lunar New Year leave",IF(C59=1,"Working day","Weekend")))</x:f>
        <x:v>Working day</x:v>
      </x:c>
    </x:row>
    <x:row r="60" ht="23" customHeight="1">
      <x:c r="A60" s="5" t="n">
        <x:f>'Delivery Timeline'!$B$4+44</x:f>
        <x:v>46372</x:v>
      </x:c>
      <x:c r="B60" s="2" t="str">
        <x:f>CHOOSE(WEEKDAY(A60,2),"Mon","Tue","Wed","Thu","Fri","Sat","Sun")</x:f>
        <x:v>Wed</x:v>
      </x:c>
      <x:c r="C60" s="2" t="n">
        <x:f>IF(WEEKDAY(A60,2)&gt;5,0,IF(OR(AND(COUNT($B$5:$C$5)=2,A60&gt;=$B$5,A60&lt;=$C$5),AND(A60&gt;=$B$6,A60&lt;=$C$6)),0,1))</x:f>
        <x:v>1</x:v>
      </x:c>
      <x:c r="D60" s="2" t="n">
        <x:f>IF(C60=1,SUM($C$16:C60),"")</x:f>
        <x:v>33</x:v>
      </x:c>
      <x:c r="E60" s="2" t="n">
        <x:f>INT((A60-'Delivery Timeline'!$B$4)/7)+1</x:f>
        <x:v>7</x:v>
      </x:c>
      <x:c r="F60" s="2" t="str">
        <x:f>IF(AND(COUNT($B$5:$C$5)=2,A60&gt;=$B$5,A60&lt;=$C$5),"Additional leave",IF(AND(A60&gt;=$B$6,A60&lt;=$C$6),"Lunar New Year leave",IF(C60=1,"Working day","Weekend")))</x:f>
        <x:v>Working day</x:v>
      </x:c>
    </x:row>
    <x:row r="61" ht="23" customHeight="1">
      <x:c r="A61" s="5" t="n">
        <x:f>'Delivery Timeline'!$B$4+45</x:f>
        <x:v>46373</x:v>
      </x:c>
      <x:c r="B61" s="2" t="str">
        <x:f>CHOOSE(WEEKDAY(A61,2),"Mon","Tue","Wed","Thu","Fri","Sat","Sun")</x:f>
        <x:v>Thu</x:v>
      </x:c>
      <x:c r="C61" s="2" t="n">
        <x:f>IF(WEEKDAY(A61,2)&gt;5,0,IF(OR(AND(COUNT($B$5:$C$5)=2,A61&gt;=$B$5,A61&lt;=$C$5),AND(A61&gt;=$B$6,A61&lt;=$C$6)),0,1))</x:f>
        <x:v>1</x:v>
      </x:c>
      <x:c r="D61" s="2" t="n">
        <x:f>IF(C61=1,SUM($C$16:C61),"")</x:f>
        <x:v>34</x:v>
      </x:c>
      <x:c r="E61" s="2" t="n">
        <x:f>INT((A61-'Delivery Timeline'!$B$4)/7)+1</x:f>
        <x:v>7</x:v>
      </x:c>
      <x:c r="F61" s="2" t="str">
        <x:f>IF(AND(COUNT($B$5:$C$5)=2,A61&gt;=$B$5,A61&lt;=$C$5),"Additional leave",IF(AND(A61&gt;=$B$6,A61&lt;=$C$6),"Lunar New Year leave",IF(C61=1,"Working day","Weekend")))</x:f>
        <x:v>Working day</x:v>
      </x:c>
    </x:row>
    <x:row r="62" ht="23" customHeight="1">
      <x:c r="A62" s="5" t="n">
        <x:f>'Delivery Timeline'!$B$4+46</x:f>
        <x:v>46374</x:v>
      </x:c>
      <x:c r="B62" s="2" t="str">
        <x:f>CHOOSE(WEEKDAY(A62,2),"Mon","Tue","Wed","Thu","Fri","Sat","Sun")</x:f>
        <x:v>Fri</x:v>
      </x:c>
      <x:c r="C62" s="2" t="n">
        <x:f>IF(WEEKDAY(A62,2)&gt;5,0,IF(OR(AND(COUNT($B$5:$C$5)=2,A62&gt;=$B$5,A62&lt;=$C$5),AND(A62&gt;=$B$6,A62&lt;=$C$6)),0,1))</x:f>
        <x:v>1</x:v>
      </x:c>
      <x:c r="D62" s="2" t="n">
        <x:f>IF(C62=1,SUM($C$16:C62),"")</x:f>
        <x:v>35</x:v>
      </x:c>
      <x:c r="E62" s="2" t="n">
        <x:f>INT((A62-'Delivery Timeline'!$B$4)/7)+1</x:f>
        <x:v>7</x:v>
      </x:c>
      <x:c r="F62" s="2" t="str">
        <x:f>IF(AND(COUNT($B$5:$C$5)=2,A62&gt;=$B$5,A62&lt;=$C$5),"Additional leave",IF(AND(A62&gt;=$B$6,A62&lt;=$C$6),"Lunar New Year leave",IF(C62=1,"Working day","Weekend")))</x:f>
        <x:v>Working day</x:v>
      </x:c>
    </x:row>
    <x:row r="63" ht="23" customHeight="1">
      <x:c r="A63" s="5" t="n">
        <x:f>'Delivery Timeline'!$B$4+47</x:f>
        <x:v>46375</x:v>
      </x:c>
      <x:c r="B63" s="2" t="str">
        <x:f>CHOOSE(WEEKDAY(A63,2),"Mon","Tue","Wed","Thu","Fri","Sat","Sun")</x:f>
        <x:v>Sat</x:v>
      </x:c>
      <x:c r="C63" s="2" t="n">
        <x:f>IF(WEEKDAY(A63,2)&gt;5,0,IF(OR(AND(COUNT($B$5:$C$5)=2,A63&gt;=$B$5,A63&lt;=$C$5),AND(A63&gt;=$B$6,A63&lt;=$C$6)),0,1))</x:f>
        <x:v>0</x:v>
      </x:c>
      <x:c r="D63" s="2" t="str">
        <x:f>IF(C63=1,SUM($C$16:C63),"")</x:f>
      </x:c>
      <x:c r="E63" s="2" t="n">
        <x:f>INT((A63-'Delivery Timeline'!$B$4)/7)+1</x:f>
        <x:v>7</x:v>
      </x:c>
      <x:c r="F63" s="2" t="str">
        <x:f>IF(AND(COUNT($B$5:$C$5)=2,A63&gt;=$B$5,A63&lt;=$C$5),"Additional leave",IF(AND(A63&gt;=$B$6,A63&lt;=$C$6),"Lunar New Year leave",IF(C63=1,"Working day","Weekend")))</x:f>
        <x:v>Weekend</x:v>
      </x:c>
    </x:row>
    <x:row r="64" ht="23" customHeight="1">
      <x:c r="A64" s="5" t="n">
        <x:f>'Delivery Timeline'!$B$4+48</x:f>
        <x:v>46376</x:v>
      </x:c>
      <x:c r="B64" s="2" t="str">
        <x:f>CHOOSE(WEEKDAY(A64,2),"Mon","Tue","Wed","Thu","Fri","Sat","Sun")</x:f>
        <x:v>Sun</x:v>
      </x:c>
      <x:c r="C64" s="2" t="n">
        <x:f>IF(WEEKDAY(A64,2)&gt;5,0,IF(OR(AND(COUNT($B$5:$C$5)=2,A64&gt;=$B$5,A64&lt;=$C$5),AND(A64&gt;=$B$6,A64&lt;=$C$6)),0,1))</x:f>
        <x:v>0</x:v>
      </x:c>
      <x:c r="D64" s="2" t="str">
        <x:f>IF(C64=1,SUM($C$16:C64),"")</x:f>
      </x:c>
      <x:c r="E64" s="2" t="n">
        <x:f>INT((A64-'Delivery Timeline'!$B$4)/7)+1</x:f>
        <x:v>7</x:v>
      </x:c>
      <x:c r="F64" s="2" t="str">
        <x:f>IF(AND(COUNT($B$5:$C$5)=2,A64&gt;=$B$5,A64&lt;=$C$5),"Additional leave",IF(AND(A64&gt;=$B$6,A64&lt;=$C$6),"Lunar New Year leave",IF(C64=1,"Working day","Weekend")))</x:f>
        <x:v>Weekend</x:v>
      </x:c>
    </x:row>
    <x:row r="65" ht="23" customHeight="1">
      <x:c r="A65" s="5" t="n">
        <x:f>'Delivery Timeline'!$B$4+49</x:f>
        <x:v>46377</x:v>
      </x:c>
      <x:c r="B65" s="2" t="str">
        <x:f>CHOOSE(WEEKDAY(A65,2),"Mon","Tue","Wed","Thu","Fri","Sat","Sun")</x:f>
        <x:v>Mon</x:v>
      </x:c>
      <x:c r="C65" s="2" t="n">
        <x:f>IF(WEEKDAY(A65,2)&gt;5,0,IF(OR(AND(COUNT($B$5:$C$5)=2,A65&gt;=$B$5,A65&lt;=$C$5),AND(A65&gt;=$B$6,A65&lt;=$C$6)),0,1))</x:f>
        <x:v>1</x:v>
      </x:c>
      <x:c r="D65" s="2" t="n">
        <x:f>IF(C65=1,SUM($C$16:C65),"")</x:f>
        <x:v>36</x:v>
      </x:c>
      <x:c r="E65" s="2" t="n">
        <x:f>INT((A65-'Delivery Timeline'!$B$4)/7)+1</x:f>
        <x:v>8</x:v>
      </x:c>
      <x:c r="F65" s="2" t="str">
        <x:f>IF(AND(COUNT($B$5:$C$5)=2,A65&gt;=$B$5,A65&lt;=$C$5),"Additional leave",IF(AND(A65&gt;=$B$6,A65&lt;=$C$6),"Lunar New Year leave",IF(C65=1,"Working day","Weekend")))</x:f>
        <x:v>Working day</x:v>
      </x:c>
    </x:row>
    <x:row r="66" ht="23" customHeight="1">
      <x:c r="A66" s="5" t="n">
        <x:f>'Delivery Timeline'!$B$4+50</x:f>
        <x:v>46378</x:v>
      </x:c>
      <x:c r="B66" s="2" t="str">
        <x:f>CHOOSE(WEEKDAY(A66,2),"Mon","Tue","Wed","Thu","Fri","Sat","Sun")</x:f>
        <x:v>Tue</x:v>
      </x:c>
      <x:c r="C66" s="2" t="n">
        <x:f>IF(WEEKDAY(A66,2)&gt;5,0,IF(OR(AND(COUNT($B$5:$C$5)=2,A66&gt;=$B$5,A66&lt;=$C$5),AND(A66&gt;=$B$6,A66&lt;=$C$6)),0,1))</x:f>
        <x:v>1</x:v>
      </x:c>
      <x:c r="D66" s="2" t="n">
        <x:f>IF(C66=1,SUM($C$16:C66),"")</x:f>
        <x:v>37</x:v>
      </x:c>
      <x:c r="E66" s="2" t="n">
        <x:f>INT((A66-'Delivery Timeline'!$B$4)/7)+1</x:f>
        <x:v>8</x:v>
      </x:c>
      <x:c r="F66" s="2" t="str">
        <x:f>IF(AND(COUNT($B$5:$C$5)=2,A66&gt;=$B$5,A66&lt;=$C$5),"Additional leave",IF(AND(A66&gt;=$B$6,A66&lt;=$C$6),"Lunar New Year leave",IF(C66=1,"Working day","Weekend")))</x:f>
        <x:v>Working day</x:v>
      </x:c>
    </x:row>
    <x:row r="67" ht="23" customHeight="1">
      <x:c r="A67" s="5" t="n">
        <x:f>'Delivery Timeline'!$B$4+51</x:f>
        <x:v>46379</x:v>
      </x:c>
      <x:c r="B67" s="2" t="str">
        <x:f>CHOOSE(WEEKDAY(A67,2),"Mon","Tue","Wed","Thu","Fri","Sat","Sun")</x:f>
        <x:v>Wed</x:v>
      </x:c>
      <x:c r="C67" s="2" t="n">
        <x:f>IF(WEEKDAY(A67,2)&gt;5,0,IF(OR(AND(COUNT($B$5:$C$5)=2,A67&gt;=$B$5,A67&lt;=$C$5),AND(A67&gt;=$B$6,A67&lt;=$C$6)),0,1))</x:f>
        <x:v>1</x:v>
      </x:c>
      <x:c r="D67" s="2" t="n">
        <x:f>IF(C67=1,SUM($C$16:C67),"")</x:f>
        <x:v>38</x:v>
      </x:c>
      <x:c r="E67" s="2" t="n">
        <x:f>INT((A67-'Delivery Timeline'!$B$4)/7)+1</x:f>
        <x:v>8</x:v>
      </x:c>
      <x:c r="F67" s="2" t="str">
        <x:f>IF(AND(COUNT($B$5:$C$5)=2,A67&gt;=$B$5,A67&lt;=$C$5),"Additional leave",IF(AND(A67&gt;=$B$6,A67&lt;=$C$6),"Lunar New Year leave",IF(C67=1,"Working day","Weekend")))</x:f>
        <x:v>Working day</x:v>
      </x:c>
    </x:row>
    <x:row r="68" ht="23" customHeight="1">
      <x:c r="A68" s="5" t="n">
        <x:f>'Delivery Timeline'!$B$4+52</x:f>
        <x:v>46380</x:v>
      </x:c>
      <x:c r="B68" s="2" t="str">
        <x:f>CHOOSE(WEEKDAY(A68,2),"Mon","Tue","Wed","Thu","Fri","Sat","Sun")</x:f>
        <x:v>Thu</x:v>
      </x:c>
      <x:c r="C68" s="2" t="n">
        <x:f>IF(WEEKDAY(A68,2)&gt;5,0,IF(OR(AND(COUNT($B$5:$C$5)=2,A68&gt;=$B$5,A68&lt;=$C$5),AND(A68&gt;=$B$6,A68&lt;=$C$6)),0,1))</x:f>
        <x:v>1</x:v>
      </x:c>
      <x:c r="D68" s="2" t="n">
        <x:f>IF(C68=1,SUM($C$16:C68),"")</x:f>
        <x:v>39</x:v>
      </x:c>
      <x:c r="E68" s="2" t="n">
        <x:f>INT((A68-'Delivery Timeline'!$B$4)/7)+1</x:f>
        <x:v>8</x:v>
      </x:c>
      <x:c r="F68" s="2" t="str">
        <x:f>IF(AND(COUNT($B$5:$C$5)=2,A68&gt;=$B$5,A68&lt;=$C$5),"Additional leave",IF(AND(A68&gt;=$B$6,A68&lt;=$C$6),"Lunar New Year leave",IF(C68=1,"Working day","Weekend")))</x:f>
        <x:v>Working day</x:v>
      </x:c>
    </x:row>
    <x:row r="69" ht="23" customHeight="1">
      <x:c r="A69" s="5" t="n">
        <x:f>'Delivery Timeline'!$B$4+53</x:f>
        <x:v>46381</x:v>
      </x:c>
      <x:c r="B69" s="2" t="str">
        <x:f>CHOOSE(WEEKDAY(A69,2),"Mon","Tue","Wed","Thu","Fri","Sat","Sun")</x:f>
        <x:v>Fri</x:v>
      </x:c>
      <x:c r="C69" s="2" t="n">
        <x:f>IF(WEEKDAY(A69,2)&gt;5,0,IF(OR(AND(COUNT($B$5:$C$5)=2,A69&gt;=$B$5,A69&lt;=$C$5),AND(A69&gt;=$B$6,A69&lt;=$C$6)),0,1))</x:f>
        <x:v>1</x:v>
      </x:c>
      <x:c r="D69" s="2" t="n">
        <x:f>IF(C69=1,SUM($C$16:C69),"")</x:f>
        <x:v>40</x:v>
      </x:c>
      <x:c r="E69" s="2" t="n">
        <x:f>INT((A69-'Delivery Timeline'!$B$4)/7)+1</x:f>
        <x:v>8</x:v>
      </x:c>
      <x:c r="F69" s="2" t="str">
        <x:f>IF(AND(COUNT($B$5:$C$5)=2,A69&gt;=$B$5,A69&lt;=$C$5),"Additional leave",IF(AND(A69&gt;=$B$6,A69&lt;=$C$6),"Lunar New Year leave",IF(C69=1,"Working day","Weekend")))</x:f>
        <x:v>Working day</x:v>
      </x:c>
    </x:row>
    <x:row r="70" ht="23" customHeight="1">
      <x:c r="A70" s="5" t="n">
        <x:f>'Delivery Timeline'!$B$4+54</x:f>
        <x:v>46382</x:v>
      </x:c>
      <x:c r="B70" s="2" t="str">
        <x:f>CHOOSE(WEEKDAY(A70,2),"Mon","Tue","Wed","Thu","Fri","Sat","Sun")</x:f>
        <x:v>Sat</x:v>
      </x:c>
      <x:c r="C70" s="2" t="n">
        <x:f>IF(WEEKDAY(A70,2)&gt;5,0,IF(OR(AND(COUNT($B$5:$C$5)=2,A70&gt;=$B$5,A70&lt;=$C$5),AND(A70&gt;=$B$6,A70&lt;=$C$6)),0,1))</x:f>
        <x:v>0</x:v>
      </x:c>
      <x:c r="D70" s="2" t="str">
        <x:f>IF(C70=1,SUM($C$16:C70),"")</x:f>
      </x:c>
      <x:c r="E70" s="2" t="n">
        <x:f>INT((A70-'Delivery Timeline'!$B$4)/7)+1</x:f>
        <x:v>8</x:v>
      </x:c>
      <x:c r="F70" s="2" t="str">
        <x:f>IF(AND(COUNT($B$5:$C$5)=2,A70&gt;=$B$5,A70&lt;=$C$5),"Additional leave",IF(AND(A70&gt;=$B$6,A70&lt;=$C$6),"Lunar New Year leave",IF(C70=1,"Working day","Weekend")))</x:f>
        <x:v>Weekend</x:v>
      </x:c>
    </x:row>
    <x:row r="71" ht="23" customHeight="1">
      <x:c r="A71" s="5" t="n">
        <x:f>'Delivery Timeline'!$B$4+55</x:f>
        <x:v>46383</x:v>
      </x:c>
      <x:c r="B71" s="2" t="str">
        <x:f>CHOOSE(WEEKDAY(A71,2),"Mon","Tue","Wed","Thu","Fri","Sat","Sun")</x:f>
        <x:v>Sun</x:v>
      </x:c>
      <x:c r="C71" s="2" t="n">
        <x:f>IF(WEEKDAY(A71,2)&gt;5,0,IF(OR(AND(COUNT($B$5:$C$5)=2,A71&gt;=$B$5,A71&lt;=$C$5),AND(A71&gt;=$B$6,A71&lt;=$C$6)),0,1))</x:f>
        <x:v>0</x:v>
      </x:c>
      <x:c r="D71" s="2" t="str">
        <x:f>IF(C71=1,SUM($C$16:C71),"")</x:f>
      </x:c>
      <x:c r="E71" s="2" t="n">
        <x:f>INT((A71-'Delivery Timeline'!$B$4)/7)+1</x:f>
        <x:v>8</x:v>
      </x:c>
      <x:c r="F71" s="2" t="str">
        <x:f>IF(AND(COUNT($B$5:$C$5)=2,A71&gt;=$B$5,A71&lt;=$C$5),"Additional leave",IF(AND(A71&gt;=$B$6,A71&lt;=$C$6),"Lunar New Year leave",IF(C71=1,"Working day","Weekend")))</x:f>
        <x:v>Weekend</x:v>
      </x:c>
    </x:row>
    <x:row r="72" ht="23" customHeight="1">
      <x:c r="A72" s="5" t="n">
        <x:f>'Delivery Timeline'!$B$4+56</x:f>
        <x:v>46384</x:v>
      </x:c>
      <x:c r="B72" s="2" t="str">
        <x:f>CHOOSE(WEEKDAY(A72,2),"Mon","Tue","Wed","Thu","Fri","Sat","Sun")</x:f>
        <x:v>Mon</x:v>
      </x:c>
      <x:c r="C72" s="2" t="n">
        <x:f>IF(WEEKDAY(A72,2)&gt;5,0,IF(OR(AND(COUNT($B$5:$C$5)=2,A72&gt;=$B$5,A72&lt;=$C$5),AND(A72&gt;=$B$6,A72&lt;=$C$6)),0,1))</x:f>
        <x:v>1</x:v>
      </x:c>
      <x:c r="D72" s="2" t="n">
        <x:f>IF(C72=1,SUM($C$16:C72),"")</x:f>
        <x:v>41</x:v>
      </x:c>
      <x:c r="E72" s="2" t="n">
        <x:f>INT((A72-'Delivery Timeline'!$B$4)/7)+1</x:f>
        <x:v>9</x:v>
      </x:c>
      <x:c r="F72" s="2" t="str">
        <x:f>IF(AND(COUNT($B$5:$C$5)=2,A72&gt;=$B$5,A72&lt;=$C$5),"Additional leave",IF(AND(A72&gt;=$B$6,A72&lt;=$C$6),"Lunar New Year leave",IF(C72=1,"Working day","Weekend")))</x:f>
        <x:v>Working day</x:v>
      </x:c>
    </x:row>
    <x:row r="73" ht="23" customHeight="1">
      <x:c r="A73" s="5" t="n">
        <x:f>'Delivery Timeline'!$B$4+57</x:f>
        <x:v>46385</x:v>
      </x:c>
      <x:c r="B73" s="2" t="str">
        <x:f>CHOOSE(WEEKDAY(A73,2),"Mon","Tue","Wed","Thu","Fri","Sat","Sun")</x:f>
        <x:v>Tue</x:v>
      </x:c>
      <x:c r="C73" s="2" t="n">
        <x:f>IF(WEEKDAY(A73,2)&gt;5,0,IF(OR(AND(COUNT($B$5:$C$5)=2,A73&gt;=$B$5,A73&lt;=$C$5),AND(A73&gt;=$B$6,A73&lt;=$C$6)),0,1))</x:f>
        <x:v>1</x:v>
      </x:c>
      <x:c r="D73" s="2" t="n">
        <x:f>IF(C73=1,SUM($C$16:C73),"")</x:f>
        <x:v>42</x:v>
      </x:c>
      <x:c r="E73" s="2" t="n">
        <x:f>INT((A73-'Delivery Timeline'!$B$4)/7)+1</x:f>
        <x:v>9</x:v>
      </x:c>
      <x:c r="F73" s="2" t="str">
        <x:f>IF(AND(COUNT($B$5:$C$5)=2,A73&gt;=$B$5,A73&lt;=$C$5),"Additional leave",IF(AND(A73&gt;=$B$6,A73&lt;=$C$6),"Lunar New Year leave",IF(C73=1,"Working day","Weekend")))</x:f>
        <x:v>Working day</x:v>
      </x:c>
    </x:row>
    <x:row r="74" ht="23" customHeight="1">
      <x:c r="A74" s="5" t="n">
        <x:f>'Delivery Timeline'!$B$4+58</x:f>
        <x:v>46386</x:v>
      </x:c>
      <x:c r="B74" s="2" t="str">
        <x:f>CHOOSE(WEEKDAY(A74,2),"Mon","Tue","Wed","Thu","Fri","Sat","Sun")</x:f>
        <x:v>Wed</x:v>
      </x:c>
      <x:c r="C74" s="2" t="n">
        <x:f>IF(WEEKDAY(A74,2)&gt;5,0,IF(OR(AND(COUNT($B$5:$C$5)=2,A74&gt;=$B$5,A74&lt;=$C$5),AND(A74&gt;=$B$6,A74&lt;=$C$6)),0,1))</x:f>
        <x:v>1</x:v>
      </x:c>
      <x:c r="D74" s="2" t="n">
        <x:f>IF(C74=1,SUM($C$16:C74),"")</x:f>
        <x:v>43</x:v>
      </x:c>
      <x:c r="E74" s="2" t="n">
        <x:f>INT((A74-'Delivery Timeline'!$B$4)/7)+1</x:f>
        <x:v>9</x:v>
      </x:c>
      <x:c r="F74" s="2" t="str">
        <x:f>IF(AND(COUNT($B$5:$C$5)=2,A74&gt;=$B$5,A74&lt;=$C$5),"Additional leave",IF(AND(A74&gt;=$B$6,A74&lt;=$C$6),"Lunar New Year leave",IF(C74=1,"Working day","Weekend")))</x:f>
        <x:v>Working day</x:v>
      </x:c>
    </x:row>
    <x:row r="75" ht="23" customHeight="1">
      <x:c r="A75" s="5" t="n">
        <x:f>'Delivery Timeline'!$B$4+59</x:f>
        <x:v>46387</x:v>
      </x:c>
      <x:c r="B75" s="2" t="str">
        <x:f>CHOOSE(WEEKDAY(A75,2),"Mon","Tue","Wed","Thu","Fri","Sat","Sun")</x:f>
        <x:v>Thu</x:v>
      </x:c>
      <x:c r="C75" s="2" t="n">
        <x:f>IF(WEEKDAY(A75,2)&gt;5,0,IF(OR(AND(COUNT($B$5:$C$5)=2,A75&gt;=$B$5,A75&lt;=$C$5),AND(A75&gt;=$B$6,A75&lt;=$C$6)),0,1))</x:f>
        <x:v>1</x:v>
      </x:c>
      <x:c r="D75" s="2" t="n">
        <x:f>IF(C75=1,SUM($C$16:C75),"")</x:f>
        <x:v>44</x:v>
      </x:c>
      <x:c r="E75" s="2" t="n">
        <x:f>INT((A75-'Delivery Timeline'!$B$4)/7)+1</x:f>
        <x:v>9</x:v>
      </x:c>
      <x:c r="F75" s="2" t="str">
        <x:f>IF(AND(COUNT($B$5:$C$5)=2,A75&gt;=$B$5,A75&lt;=$C$5),"Additional leave",IF(AND(A75&gt;=$B$6,A75&lt;=$C$6),"Lunar New Year leave",IF(C75=1,"Working day","Weekend")))</x:f>
        <x:v>Working day</x:v>
      </x:c>
    </x:row>
    <x:row r="76" ht="23" customHeight="1">
      <x:c r="A76" s="5" t="n">
        <x:f>'Delivery Timeline'!$B$4+60</x:f>
        <x:v>46388</x:v>
      </x:c>
      <x:c r="B76" s="2" t="str">
        <x:f>CHOOSE(WEEKDAY(A76,2),"Mon","Tue","Wed","Thu","Fri","Sat","Sun")</x:f>
        <x:v>Fri</x:v>
      </x:c>
      <x:c r="C76" s="2" t="n">
        <x:f>IF(WEEKDAY(A76,2)&gt;5,0,IF(OR(AND(COUNT($B$5:$C$5)=2,A76&gt;=$B$5,A76&lt;=$C$5),AND(A76&gt;=$B$6,A76&lt;=$C$6)),0,1))</x:f>
        <x:v>1</x:v>
      </x:c>
      <x:c r="D76" s="2" t="n">
        <x:f>IF(C76=1,SUM($C$16:C76),"")</x:f>
        <x:v>45</x:v>
      </x:c>
      <x:c r="E76" s="2" t="n">
        <x:f>INT((A76-'Delivery Timeline'!$B$4)/7)+1</x:f>
        <x:v>9</x:v>
      </x:c>
      <x:c r="F76" s="2" t="str">
        <x:f>IF(AND(COUNT($B$5:$C$5)=2,A76&gt;=$B$5,A76&lt;=$C$5),"Additional leave",IF(AND(A76&gt;=$B$6,A76&lt;=$C$6),"Lunar New Year leave",IF(C76=1,"Working day","Weekend")))</x:f>
        <x:v>Working day</x:v>
      </x:c>
    </x:row>
    <x:row r="77" ht="23" customHeight="1">
      <x:c r="A77" s="5" t="n">
        <x:f>'Delivery Timeline'!$B$4+61</x:f>
        <x:v>46389</x:v>
      </x:c>
      <x:c r="B77" s="2" t="str">
        <x:f>CHOOSE(WEEKDAY(A77,2),"Mon","Tue","Wed","Thu","Fri","Sat","Sun")</x:f>
        <x:v>Sat</x:v>
      </x:c>
      <x:c r="C77" s="2" t="n">
        <x:f>IF(WEEKDAY(A77,2)&gt;5,0,IF(OR(AND(COUNT($B$5:$C$5)=2,A77&gt;=$B$5,A77&lt;=$C$5),AND(A77&gt;=$B$6,A77&lt;=$C$6)),0,1))</x:f>
        <x:v>0</x:v>
      </x:c>
      <x:c r="D77" s="2" t="str">
        <x:f>IF(C77=1,SUM($C$16:C77),"")</x:f>
      </x:c>
      <x:c r="E77" s="2" t="n">
        <x:f>INT((A77-'Delivery Timeline'!$B$4)/7)+1</x:f>
        <x:v>9</x:v>
      </x:c>
      <x:c r="F77" s="2" t="str">
        <x:f>IF(AND(COUNT($B$5:$C$5)=2,A77&gt;=$B$5,A77&lt;=$C$5),"Additional leave",IF(AND(A77&gt;=$B$6,A77&lt;=$C$6),"Lunar New Year leave",IF(C77=1,"Working day","Weekend")))</x:f>
        <x:v>Weekend</x:v>
      </x:c>
    </x:row>
    <x:row r="78" ht="23" customHeight="1">
      <x:c r="A78" s="5" t="n">
        <x:f>'Delivery Timeline'!$B$4+62</x:f>
        <x:v>46390</x:v>
      </x:c>
      <x:c r="B78" s="2" t="str">
        <x:f>CHOOSE(WEEKDAY(A78,2),"Mon","Tue","Wed","Thu","Fri","Sat","Sun")</x:f>
        <x:v>Sun</x:v>
      </x:c>
      <x:c r="C78" s="2" t="n">
        <x:f>IF(WEEKDAY(A78,2)&gt;5,0,IF(OR(AND(COUNT($B$5:$C$5)=2,A78&gt;=$B$5,A78&lt;=$C$5),AND(A78&gt;=$B$6,A78&lt;=$C$6)),0,1))</x:f>
        <x:v>0</x:v>
      </x:c>
      <x:c r="D78" s="2" t="str">
        <x:f>IF(C78=1,SUM($C$16:C78),"")</x:f>
      </x:c>
      <x:c r="E78" s="2" t="n">
        <x:f>INT((A78-'Delivery Timeline'!$B$4)/7)+1</x:f>
        <x:v>9</x:v>
      </x:c>
      <x:c r="F78" s="2" t="str">
        <x:f>IF(AND(COUNT($B$5:$C$5)=2,A78&gt;=$B$5,A78&lt;=$C$5),"Additional leave",IF(AND(A78&gt;=$B$6,A78&lt;=$C$6),"Lunar New Year leave",IF(C78=1,"Working day","Weekend")))</x:f>
        <x:v>Weekend</x:v>
      </x:c>
    </x:row>
    <x:row r="79" ht="23" customHeight="1">
      <x:c r="A79" s="5" t="n">
        <x:f>'Delivery Timeline'!$B$4+63</x:f>
        <x:v>46391</x:v>
      </x:c>
      <x:c r="B79" s="2" t="str">
        <x:f>CHOOSE(WEEKDAY(A79,2),"Mon","Tue","Wed","Thu","Fri","Sat","Sun")</x:f>
        <x:v>Mon</x:v>
      </x:c>
      <x:c r="C79" s="2" t="n">
        <x:f>IF(WEEKDAY(A79,2)&gt;5,0,IF(OR(AND(COUNT($B$5:$C$5)=2,A79&gt;=$B$5,A79&lt;=$C$5),AND(A79&gt;=$B$6,A79&lt;=$C$6)),0,1))</x:f>
        <x:v>1</x:v>
      </x:c>
      <x:c r="D79" s="2" t="n">
        <x:f>IF(C79=1,SUM($C$16:C79),"")</x:f>
        <x:v>46</x:v>
      </x:c>
      <x:c r="E79" s="2" t="n">
        <x:f>INT((A79-'Delivery Timeline'!$B$4)/7)+1</x:f>
        <x:v>10</x:v>
      </x:c>
      <x:c r="F79" s="2" t="str">
        <x:f>IF(AND(COUNT($B$5:$C$5)=2,A79&gt;=$B$5,A79&lt;=$C$5),"Additional leave",IF(AND(A79&gt;=$B$6,A79&lt;=$C$6),"Lunar New Year leave",IF(C79=1,"Working day","Weekend")))</x:f>
        <x:v>Working day</x:v>
      </x:c>
    </x:row>
    <x:row r="80" ht="23" customHeight="1">
      <x:c r="A80" s="5" t="n">
        <x:f>'Delivery Timeline'!$B$4+64</x:f>
        <x:v>46392</x:v>
      </x:c>
      <x:c r="B80" s="2" t="str">
        <x:f>CHOOSE(WEEKDAY(A80,2),"Mon","Tue","Wed","Thu","Fri","Sat","Sun")</x:f>
        <x:v>Tue</x:v>
      </x:c>
      <x:c r="C80" s="2" t="n">
        <x:f>IF(WEEKDAY(A80,2)&gt;5,0,IF(OR(AND(COUNT($B$5:$C$5)=2,A80&gt;=$B$5,A80&lt;=$C$5),AND(A80&gt;=$B$6,A80&lt;=$C$6)),0,1))</x:f>
        <x:v>1</x:v>
      </x:c>
      <x:c r="D80" s="2" t="n">
        <x:f>IF(C80=1,SUM($C$16:C80),"")</x:f>
        <x:v>47</x:v>
      </x:c>
      <x:c r="E80" s="2" t="n">
        <x:f>INT((A80-'Delivery Timeline'!$B$4)/7)+1</x:f>
        <x:v>10</x:v>
      </x:c>
      <x:c r="F80" s="2" t="str">
        <x:f>IF(AND(COUNT($B$5:$C$5)=2,A80&gt;=$B$5,A80&lt;=$C$5),"Additional leave",IF(AND(A80&gt;=$B$6,A80&lt;=$C$6),"Lunar New Year leave",IF(C80=1,"Working day","Weekend")))</x:f>
        <x:v>Working day</x:v>
      </x:c>
    </x:row>
    <x:row r="81" ht="23" customHeight="1">
      <x:c r="A81" s="5" t="n">
        <x:f>'Delivery Timeline'!$B$4+65</x:f>
        <x:v>46393</x:v>
      </x:c>
      <x:c r="B81" s="2" t="str">
        <x:f>CHOOSE(WEEKDAY(A81,2),"Mon","Tue","Wed","Thu","Fri","Sat","Sun")</x:f>
        <x:v>Wed</x:v>
      </x:c>
      <x:c r="C81" s="2" t="n">
        <x:f>IF(WEEKDAY(A81,2)&gt;5,0,IF(OR(AND(COUNT($B$5:$C$5)=2,A81&gt;=$B$5,A81&lt;=$C$5),AND(A81&gt;=$B$6,A81&lt;=$C$6)),0,1))</x:f>
        <x:v>1</x:v>
      </x:c>
      <x:c r="D81" s="2" t="n">
        <x:f>IF(C81=1,SUM($C$16:C81),"")</x:f>
        <x:v>48</x:v>
      </x:c>
      <x:c r="E81" s="2" t="n">
        <x:f>INT((A81-'Delivery Timeline'!$B$4)/7)+1</x:f>
        <x:v>10</x:v>
      </x:c>
      <x:c r="F81" s="2" t="str">
        <x:f>IF(AND(COUNT($B$5:$C$5)=2,A81&gt;=$B$5,A81&lt;=$C$5),"Additional leave",IF(AND(A81&gt;=$B$6,A81&lt;=$C$6),"Lunar New Year leave",IF(C81=1,"Working day","Weekend")))</x:f>
        <x:v>Working day</x:v>
      </x:c>
    </x:row>
    <x:row r="82" ht="23" customHeight="1">
      <x:c r="A82" s="5" t="n">
        <x:f>'Delivery Timeline'!$B$4+66</x:f>
        <x:v>46394</x:v>
      </x:c>
      <x:c r="B82" s="2" t="str">
        <x:f>CHOOSE(WEEKDAY(A82,2),"Mon","Tue","Wed","Thu","Fri","Sat","Sun")</x:f>
        <x:v>Thu</x:v>
      </x:c>
      <x:c r="C82" s="2" t="n">
        <x:f>IF(WEEKDAY(A82,2)&gt;5,0,IF(OR(AND(COUNT($B$5:$C$5)=2,A82&gt;=$B$5,A82&lt;=$C$5),AND(A82&gt;=$B$6,A82&lt;=$C$6)),0,1))</x:f>
        <x:v>1</x:v>
      </x:c>
      <x:c r="D82" s="2" t="n">
        <x:f>IF(C82=1,SUM($C$16:C82),"")</x:f>
        <x:v>49</x:v>
      </x:c>
      <x:c r="E82" s="2" t="n">
        <x:f>INT((A82-'Delivery Timeline'!$B$4)/7)+1</x:f>
        <x:v>10</x:v>
      </x:c>
      <x:c r="F82" s="2" t="str">
        <x:f>IF(AND(COUNT($B$5:$C$5)=2,A82&gt;=$B$5,A82&lt;=$C$5),"Additional leave",IF(AND(A82&gt;=$B$6,A82&lt;=$C$6),"Lunar New Year leave",IF(C82=1,"Working day","Weekend")))</x:f>
        <x:v>Working day</x:v>
      </x:c>
    </x:row>
    <x:row r="83" ht="23" customHeight="1">
      <x:c r="A83" s="5" t="n">
        <x:f>'Delivery Timeline'!$B$4+67</x:f>
        <x:v>46395</x:v>
      </x:c>
      <x:c r="B83" s="2" t="str">
        <x:f>CHOOSE(WEEKDAY(A83,2),"Mon","Tue","Wed","Thu","Fri","Sat","Sun")</x:f>
        <x:v>Fri</x:v>
      </x:c>
      <x:c r="C83" s="2" t="n">
        <x:f>IF(WEEKDAY(A83,2)&gt;5,0,IF(OR(AND(COUNT($B$5:$C$5)=2,A83&gt;=$B$5,A83&lt;=$C$5),AND(A83&gt;=$B$6,A83&lt;=$C$6)),0,1))</x:f>
        <x:v>1</x:v>
      </x:c>
      <x:c r="D83" s="2" t="n">
        <x:f>IF(C83=1,SUM($C$16:C83),"")</x:f>
        <x:v>50</x:v>
      </x:c>
      <x:c r="E83" s="2" t="n">
        <x:f>INT((A83-'Delivery Timeline'!$B$4)/7)+1</x:f>
        <x:v>10</x:v>
      </x:c>
      <x:c r="F83" s="2" t="str">
        <x:f>IF(AND(COUNT($B$5:$C$5)=2,A83&gt;=$B$5,A83&lt;=$C$5),"Additional leave",IF(AND(A83&gt;=$B$6,A83&lt;=$C$6),"Lunar New Year leave",IF(C83=1,"Working day","Weekend")))</x:f>
        <x:v>Working day</x:v>
      </x:c>
    </x:row>
    <x:row r="84" ht="23" customHeight="1">
      <x:c r="A84" s="5" t="n">
        <x:f>'Delivery Timeline'!$B$4+68</x:f>
        <x:v>46396</x:v>
      </x:c>
      <x:c r="B84" s="2" t="str">
        <x:f>CHOOSE(WEEKDAY(A84,2),"Mon","Tue","Wed","Thu","Fri","Sat","Sun")</x:f>
        <x:v>Sat</x:v>
      </x:c>
      <x:c r="C84" s="2" t="n">
        <x:f>IF(WEEKDAY(A84,2)&gt;5,0,IF(OR(AND(COUNT($B$5:$C$5)=2,A84&gt;=$B$5,A84&lt;=$C$5),AND(A84&gt;=$B$6,A84&lt;=$C$6)),0,1))</x:f>
        <x:v>0</x:v>
      </x:c>
      <x:c r="D84" s="2" t="str">
        <x:f>IF(C84=1,SUM($C$16:C84),"")</x:f>
      </x:c>
      <x:c r="E84" s="2" t="n">
        <x:f>INT((A84-'Delivery Timeline'!$B$4)/7)+1</x:f>
        <x:v>10</x:v>
      </x:c>
      <x:c r="F84" s="2" t="str">
        <x:f>IF(AND(COUNT($B$5:$C$5)=2,A84&gt;=$B$5,A84&lt;=$C$5),"Additional leave",IF(AND(A84&gt;=$B$6,A84&lt;=$C$6),"Lunar New Year leave",IF(C84=1,"Working day","Weekend")))</x:f>
        <x:v>Weekend</x:v>
      </x:c>
    </x:row>
    <x:row r="85" ht="23" customHeight="1">
      <x:c r="A85" s="5" t="n">
        <x:f>'Delivery Timeline'!$B$4+69</x:f>
        <x:v>46397</x:v>
      </x:c>
      <x:c r="B85" s="2" t="str">
        <x:f>CHOOSE(WEEKDAY(A85,2),"Mon","Tue","Wed","Thu","Fri","Sat","Sun")</x:f>
        <x:v>Sun</x:v>
      </x:c>
      <x:c r="C85" s="2" t="n">
        <x:f>IF(WEEKDAY(A85,2)&gt;5,0,IF(OR(AND(COUNT($B$5:$C$5)=2,A85&gt;=$B$5,A85&lt;=$C$5),AND(A85&gt;=$B$6,A85&lt;=$C$6)),0,1))</x:f>
        <x:v>0</x:v>
      </x:c>
      <x:c r="D85" s="2" t="str">
        <x:f>IF(C85=1,SUM($C$16:C85),"")</x:f>
      </x:c>
      <x:c r="E85" s="2" t="n">
        <x:f>INT((A85-'Delivery Timeline'!$B$4)/7)+1</x:f>
        <x:v>10</x:v>
      </x:c>
      <x:c r="F85" s="2" t="str">
        <x:f>IF(AND(COUNT($B$5:$C$5)=2,A85&gt;=$B$5,A85&lt;=$C$5),"Additional leave",IF(AND(A85&gt;=$B$6,A85&lt;=$C$6),"Lunar New Year leave",IF(C85=1,"Working day","Weekend")))</x:f>
        <x:v>Weekend</x:v>
      </x:c>
    </x:row>
    <x:row r="86" ht="23" customHeight="1">
      <x:c r="A86" s="5" t="n">
        <x:f>'Delivery Timeline'!$B$4+70</x:f>
        <x:v>46398</x:v>
      </x:c>
      <x:c r="B86" s="2" t="str">
        <x:f>CHOOSE(WEEKDAY(A86,2),"Mon","Tue","Wed","Thu","Fri","Sat","Sun")</x:f>
        <x:v>Mon</x:v>
      </x:c>
      <x:c r="C86" s="2" t="n">
        <x:f>IF(WEEKDAY(A86,2)&gt;5,0,IF(OR(AND(COUNT($B$5:$C$5)=2,A86&gt;=$B$5,A86&lt;=$C$5),AND(A86&gt;=$B$6,A86&lt;=$C$6)),0,1))</x:f>
        <x:v>1</x:v>
      </x:c>
      <x:c r="D86" s="2" t="n">
        <x:f>IF(C86=1,SUM($C$16:C86),"")</x:f>
        <x:v>51</x:v>
      </x:c>
      <x:c r="E86" s="2" t="n">
        <x:f>INT((A86-'Delivery Timeline'!$B$4)/7)+1</x:f>
        <x:v>11</x:v>
      </x:c>
      <x:c r="F86" s="2" t="str">
        <x:f>IF(AND(COUNT($B$5:$C$5)=2,A86&gt;=$B$5,A86&lt;=$C$5),"Additional leave",IF(AND(A86&gt;=$B$6,A86&lt;=$C$6),"Lunar New Year leave",IF(C86=1,"Working day","Weekend")))</x:f>
        <x:v>Working day</x:v>
      </x:c>
    </x:row>
    <x:row r="87" ht="23" customHeight="1">
      <x:c r="A87" s="5" t="n">
        <x:f>'Delivery Timeline'!$B$4+71</x:f>
        <x:v>46399</x:v>
      </x:c>
      <x:c r="B87" s="2" t="str">
        <x:f>CHOOSE(WEEKDAY(A87,2),"Mon","Tue","Wed","Thu","Fri","Sat","Sun")</x:f>
        <x:v>Tue</x:v>
      </x:c>
      <x:c r="C87" s="2" t="n">
        <x:f>IF(WEEKDAY(A87,2)&gt;5,0,IF(OR(AND(COUNT($B$5:$C$5)=2,A87&gt;=$B$5,A87&lt;=$C$5),AND(A87&gt;=$B$6,A87&lt;=$C$6)),0,1))</x:f>
        <x:v>1</x:v>
      </x:c>
      <x:c r="D87" s="2" t="n">
        <x:f>IF(C87=1,SUM($C$16:C87),"")</x:f>
        <x:v>52</x:v>
      </x:c>
      <x:c r="E87" s="2" t="n">
        <x:f>INT((A87-'Delivery Timeline'!$B$4)/7)+1</x:f>
        <x:v>11</x:v>
      </x:c>
      <x:c r="F87" s="2" t="str">
        <x:f>IF(AND(COUNT($B$5:$C$5)=2,A87&gt;=$B$5,A87&lt;=$C$5),"Additional leave",IF(AND(A87&gt;=$B$6,A87&lt;=$C$6),"Lunar New Year leave",IF(C87=1,"Working day","Weekend")))</x:f>
        <x:v>Working day</x:v>
      </x:c>
    </x:row>
    <x:row r="88" ht="23" customHeight="1">
      <x:c r="A88" s="5" t="n">
        <x:f>'Delivery Timeline'!$B$4+72</x:f>
        <x:v>46400</x:v>
      </x:c>
      <x:c r="B88" s="2" t="str">
        <x:f>CHOOSE(WEEKDAY(A88,2),"Mon","Tue","Wed","Thu","Fri","Sat","Sun")</x:f>
        <x:v>Wed</x:v>
      </x:c>
      <x:c r="C88" s="2" t="n">
        <x:f>IF(WEEKDAY(A88,2)&gt;5,0,IF(OR(AND(COUNT($B$5:$C$5)=2,A88&gt;=$B$5,A88&lt;=$C$5),AND(A88&gt;=$B$6,A88&lt;=$C$6)),0,1))</x:f>
        <x:v>1</x:v>
      </x:c>
      <x:c r="D88" s="2" t="n">
        <x:f>IF(C88=1,SUM($C$16:C88),"")</x:f>
        <x:v>53</x:v>
      </x:c>
      <x:c r="E88" s="2" t="n">
        <x:f>INT((A88-'Delivery Timeline'!$B$4)/7)+1</x:f>
        <x:v>11</x:v>
      </x:c>
      <x:c r="F88" s="2" t="str">
        <x:f>IF(AND(COUNT($B$5:$C$5)=2,A88&gt;=$B$5,A88&lt;=$C$5),"Additional leave",IF(AND(A88&gt;=$B$6,A88&lt;=$C$6),"Lunar New Year leave",IF(C88=1,"Working day","Weekend")))</x:f>
        <x:v>Working day</x:v>
      </x:c>
    </x:row>
    <x:row r="89" ht="23" customHeight="1">
      <x:c r="A89" s="5" t="n">
        <x:f>'Delivery Timeline'!$B$4+73</x:f>
        <x:v>46401</x:v>
      </x:c>
      <x:c r="B89" s="2" t="str">
        <x:f>CHOOSE(WEEKDAY(A89,2),"Mon","Tue","Wed","Thu","Fri","Sat","Sun")</x:f>
        <x:v>Thu</x:v>
      </x:c>
      <x:c r="C89" s="2" t="n">
        <x:f>IF(WEEKDAY(A89,2)&gt;5,0,IF(OR(AND(COUNT($B$5:$C$5)=2,A89&gt;=$B$5,A89&lt;=$C$5),AND(A89&gt;=$B$6,A89&lt;=$C$6)),0,1))</x:f>
        <x:v>1</x:v>
      </x:c>
      <x:c r="D89" s="2" t="n">
        <x:f>IF(C89=1,SUM($C$16:C89),"")</x:f>
        <x:v>54</x:v>
      </x:c>
      <x:c r="E89" s="2" t="n">
        <x:f>INT((A89-'Delivery Timeline'!$B$4)/7)+1</x:f>
        <x:v>11</x:v>
      </x:c>
      <x:c r="F89" s="2" t="str">
        <x:f>IF(AND(COUNT($B$5:$C$5)=2,A89&gt;=$B$5,A89&lt;=$C$5),"Additional leave",IF(AND(A89&gt;=$B$6,A89&lt;=$C$6),"Lunar New Year leave",IF(C89=1,"Working day","Weekend")))</x:f>
        <x:v>Working day</x:v>
      </x:c>
    </x:row>
    <x:row r="90" ht="23" customHeight="1">
      <x:c r="A90" s="5" t="n">
        <x:f>'Delivery Timeline'!$B$4+74</x:f>
        <x:v>46402</x:v>
      </x:c>
      <x:c r="B90" s="2" t="str">
        <x:f>CHOOSE(WEEKDAY(A90,2),"Mon","Tue","Wed","Thu","Fri","Sat","Sun")</x:f>
        <x:v>Fri</x:v>
      </x:c>
      <x:c r="C90" s="2" t="n">
        <x:f>IF(WEEKDAY(A90,2)&gt;5,0,IF(OR(AND(COUNT($B$5:$C$5)=2,A90&gt;=$B$5,A90&lt;=$C$5),AND(A90&gt;=$B$6,A90&lt;=$C$6)),0,1))</x:f>
        <x:v>1</x:v>
      </x:c>
      <x:c r="D90" s="2" t="n">
        <x:f>IF(C90=1,SUM($C$16:C90),"")</x:f>
        <x:v>55</x:v>
      </x:c>
      <x:c r="E90" s="2" t="n">
        <x:f>INT((A90-'Delivery Timeline'!$B$4)/7)+1</x:f>
        <x:v>11</x:v>
      </x:c>
      <x:c r="F90" s="2" t="str">
        <x:f>IF(AND(COUNT($B$5:$C$5)=2,A90&gt;=$B$5,A90&lt;=$C$5),"Additional leave",IF(AND(A90&gt;=$B$6,A90&lt;=$C$6),"Lunar New Year leave",IF(C90=1,"Working day","Weekend")))</x:f>
        <x:v>Working day</x:v>
      </x:c>
    </x:row>
    <x:row r="91" ht="23" customHeight="1">
      <x:c r="A91" s="5" t="n">
        <x:f>'Delivery Timeline'!$B$4+75</x:f>
        <x:v>46403</x:v>
      </x:c>
      <x:c r="B91" s="2" t="str">
        <x:f>CHOOSE(WEEKDAY(A91,2),"Mon","Tue","Wed","Thu","Fri","Sat","Sun")</x:f>
        <x:v>Sat</x:v>
      </x:c>
      <x:c r="C91" s="2" t="n">
        <x:f>IF(WEEKDAY(A91,2)&gt;5,0,IF(OR(AND(COUNT($B$5:$C$5)=2,A91&gt;=$B$5,A91&lt;=$C$5),AND(A91&gt;=$B$6,A91&lt;=$C$6)),0,1))</x:f>
        <x:v>0</x:v>
      </x:c>
      <x:c r="D91" s="2" t="str">
        <x:f>IF(C91=1,SUM($C$16:C91),"")</x:f>
      </x:c>
      <x:c r="E91" s="2" t="n">
        <x:f>INT((A91-'Delivery Timeline'!$B$4)/7)+1</x:f>
        <x:v>11</x:v>
      </x:c>
      <x:c r="F91" s="2" t="str">
        <x:f>IF(AND(COUNT($B$5:$C$5)=2,A91&gt;=$B$5,A91&lt;=$C$5),"Additional leave",IF(AND(A91&gt;=$B$6,A91&lt;=$C$6),"Lunar New Year leave",IF(C91=1,"Working day","Weekend")))</x:f>
        <x:v>Weekend</x:v>
      </x:c>
    </x:row>
    <x:row r="92" ht="23" customHeight="1">
      <x:c r="A92" s="5" t="n">
        <x:f>'Delivery Timeline'!$B$4+76</x:f>
        <x:v>46404</x:v>
      </x:c>
      <x:c r="B92" s="2" t="str">
        <x:f>CHOOSE(WEEKDAY(A92,2),"Mon","Tue","Wed","Thu","Fri","Sat","Sun")</x:f>
        <x:v>Sun</x:v>
      </x:c>
      <x:c r="C92" s="2" t="n">
        <x:f>IF(WEEKDAY(A92,2)&gt;5,0,IF(OR(AND(COUNT($B$5:$C$5)=2,A92&gt;=$B$5,A92&lt;=$C$5),AND(A92&gt;=$B$6,A92&lt;=$C$6)),0,1))</x:f>
        <x:v>0</x:v>
      </x:c>
      <x:c r="D92" s="2" t="str">
        <x:f>IF(C92=1,SUM($C$16:C92),"")</x:f>
      </x:c>
      <x:c r="E92" s="2" t="n">
        <x:f>INT((A92-'Delivery Timeline'!$B$4)/7)+1</x:f>
        <x:v>11</x:v>
      </x:c>
      <x:c r="F92" s="2" t="str">
        <x:f>IF(AND(COUNT($B$5:$C$5)=2,A92&gt;=$B$5,A92&lt;=$C$5),"Additional leave",IF(AND(A92&gt;=$B$6,A92&lt;=$C$6),"Lunar New Year leave",IF(C92=1,"Working day","Weekend")))</x:f>
        <x:v>Weekend</x:v>
      </x:c>
    </x:row>
    <x:row r="93" ht="23" customHeight="1">
      <x:c r="A93" s="5" t="n">
        <x:f>'Delivery Timeline'!$B$4+77</x:f>
        <x:v>46405</x:v>
      </x:c>
      <x:c r="B93" s="2" t="str">
        <x:f>CHOOSE(WEEKDAY(A93,2),"Mon","Tue","Wed","Thu","Fri","Sat","Sun")</x:f>
        <x:v>Mon</x:v>
      </x:c>
      <x:c r="C93" s="2" t="n">
        <x:f>IF(WEEKDAY(A93,2)&gt;5,0,IF(OR(AND(COUNT($B$5:$C$5)=2,A93&gt;=$B$5,A93&lt;=$C$5),AND(A93&gt;=$B$6,A93&lt;=$C$6)),0,1))</x:f>
        <x:v>1</x:v>
      </x:c>
      <x:c r="D93" s="2" t="n">
        <x:f>IF(C93=1,SUM($C$16:C93),"")</x:f>
        <x:v>56</x:v>
      </x:c>
      <x:c r="E93" s="2" t="n">
        <x:f>INT((A93-'Delivery Timeline'!$B$4)/7)+1</x:f>
        <x:v>12</x:v>
      </x:c>
      <x:c r="F93" s="2" t="str">
        <x:f>IF(AND(COUNT($B$5:$C$5)=2,A93&gt;=$B$5,A93&lt;=$C$5),"Additional leave",IF(AND(A93&gt;=$B$6,A93&lt;=$C$6),"Lunar New Year leave",IF(C93=1,"Working day","Weekend")))</x:f>
        <x:v>Working day</x:v>
      </x:c>
    </x:row>
    <x:row r="94" ht="23" customHeight="1">
      <x:c r="A94" s="5" t="n">
        <x:f>'Delivery Timeline'!$B$4+78</x:f>
        <x:v>46406</x:v>
      </x:c>
      <x:c r="B94" s="2" t="str">
        <x:f>CHOOSE(WEEKDAY(A94,2),"Mon","Tue","Wed","Thu","Fri","Sat","Sun")</x:f>
        <x:v>Tue</x:v>
      </x:c>
      <x:c r="C94" s="2" t="n">
        <x:f>IF(WEEKDAY(A94,2)&gt;5,0,IF(OR(AND(COUNT($B$5:$C$5)=2,A94&gt;=$B$5,A94&lt;=$C$5),AND(A94&gt;=$B$6,A94&lt;=$C$6)),0,1))</x:f>
        <x:v>1</x:v>
      </x:c>
      <x:c r="D94" s="2" t="n">
        <x:f>IF(C94=1,SUM($C$16:C94),"")</x:f>
        <x:v>57</x:v>
      </x:c>
      <x:c r="E94" s="2" t="n">
        <x:f>INT((A94-'Delivery Timeline'!$B$4)/7)+1</x:f>
        <x:v>12</x:v>
      </x:c>
      <x:c r="F94" s="2" t="str">
        <x:f>IF(AND(COUNT($B$5:$C$5)=2,A94&gt;=$B$5,A94&lt;=$C$5),"Additional leave",IF(AND(A94&gt;=$B$6,A94&lt;=$C$6),"Lunar New Year leave",IF(C94=1,"Working day","Weekend")))</x:f>
        <x:v>Working day</x:v>
      </x:c>
    </x:row>
    <x:row r="95" ht="23" customHeight="1">
      <x:c r="A95" s="5" t="n">
        <x:f>'Delivery Timeline'!$B$4+79</x:f>
        <x:v>46407</x:v>
      </x:c>
      <x:c r="B95" s="2" t="str">
        <x:f>CHOOSE(WEEKDAY(A95,2),"Mon","Tue","Wed","Thu","Fri","Sat","Sun")</x:f>
        <x:v>Wed</x:v>
      </x:c>
      <x:c r="C95" s="2" t="n">
        <x:f>IF(WEEKDAY(A95,2)&gt;5,0,IF(OR(AND(COUNT($B$5:$C$5)=2,A95&gt;=$B$5,A95&lt;=$C$5),AND(A95&gt;=$B$6,A95&lt;=$C$6)),0,1))</x:f>
        <x:v>1</x:v>
      </x:c>
      <x:c r="D95" s="2" t="n">
        <x:f>IF(C95=1,SUM($C$16:C95),"")</x:f>
        <x:v>58</x:v>
      </x:c>
      <x:c r="E95" s="2" t="n">
        <x:f>INT((A95-'Delivery Timeline'!$B$4)/7)+1</x:f>
        <x:v>12</x:v>
      </x:c>
      <x:c r="F95" s="2" t="str">
        <x:f>IF(AND(COUNT($B$5:$C$5)=2,A95&gt;=$B$5,A95&lt;=$C$5),"Additional leave",IF(AND(A95&gt;=$B$6,A95&lt;=$C$6),"Lunar New Year leave",IF(C95=1,"Working day","Weekend")))</x:f>
        <x:v>Working day</x:v>
      </x:c>
    </x:row>
    <x:row r="96" ht="23" customHeight="1">
      <x:c r="A96" s="5" t="n">
        <x:f>'Delivery Timeline'!$B$4+80</x:f>
        <x:v>46408</x:v>
      </x:c>
      <x:c r="B96" s="2" t="str">
        <x:f>CHOOSE(WEEKDAY(A96,2),"Mon","Tue","Wed","Thu","Fri","Sat","Sun")</x:f>
        <x:v>Thu</x:v>
      </x:c>
      <x:c r="C96" s="2" t="n">
        <x:f>IF(WEEKDAY(A96,2)&gt;5,0,IF(OR(AND(COUNT($B$5:$C$5)=2,A96&gt;=$B$5,A96&lt;=$C$5),AND(A96&gt;=$B$6,A96&lt;=$C$6)),0,1))</x:f>
        <x:v>1</x:v>
      </x:c>
      <x:c r="D96" s="2" t="n">
        <x:f>IF(C96=1,SUM($C$16:C96),"")</x:f>
        <x:v>59</x:v>
      </x:c>
      <x:c r="E96" s="2" t="n">
        <x:f>INT((A96-'Delivery Timeline'!$B$4)/7)+1</x:f>
        <x:v>12</x:v>
      </x:c>
      <x:c r="F96" s="2" t="str">
        <x:f>IF(AND(COUNT($B$5:$C$5)=2,A96&gt;=$B$5,A96&lt;=$C$5),"Additional leave",IF(AND(A96&gt;=$B$6,A96&lt;=$C$6),"Lunar New Year leave",IF(C96=1,"Working day","Weekend")))</x:f>
        <x:v>Working day</x:v>
      </x:c>
    </x:row>
    <x:row r="97" ht="23" customHeight="1">
      <x:c r="A97" s="5" t="n">
        <x:f>'Delivery Timeline'!$B$4+81</x:f>
        <x:v>46409</x:v>
      </x:c>
      <x:c r="B97" s="2" t="str">
        <x:f>CHOOSE(WEEKDAY(A97,2),"Mon","Tue","Wed","Thu","Fri","Sat","Sun")</x:f>
        <x:v>Fri</x:v>
      </x:c>
      <x:c r="C97" s="2" t="n">
        <x:f>IF(WEEKDAY(A97,2)&gt;5,0,IF(OR(AND(COUNT($B$5:$C$5)=2,A97&gt;=$B$5,A97&lt;=$C$5),AND(A97&gt;=$B$6,A97&lt;=$C$6)),0,1))</x:f>
        <x:v>1</x:v>
      </x:c>
      <x:c r="D97" s="2" t="n">
        <x:f>IF(C97=1,SUM($C$16:C97),"")</x:f>
        <x:v>60</x:v>
      </x:c>
      <x:c r="E97" s="2" t="n">
        <x:f>INT((A97-'Delivery Timeline'!$B$4)/7)+1</x:f>
        <x:v>12</x:v>
      </x:c>
      <x:c r="F97" s="2" t="str">
        <x:f>IF(AND(COUNT($B$5:$C$5)=2,A97&gt;=$B$5,A97&lt;=$C$5),"Additional leave",IF(AND(A97&gt;=$B$6,A97&lt;=$C$6),"Lunar New Year leave",IF(C97=1,"Working day","Weekend")))</x:f>
        <x:v>Working day</x:v>
      </x:c>
    </x:row>
    <x:row r="98" ht="23" customHeight="1">
      <x:c r="A98" s="5" t="n">
        <x:f>'Delivery Timeline'!$B$4+82</x:f>
        <x:v>46410</x:v>
      </x:c>
      <x:c r="B98" s="2" t="str">
        <x:f>CHOOSE(WEEKDAY(A98,2),"Mon","Tue","Wed","Thu","Fri","Sat","Sun")</x:f>
        <x:v>Sat</x:v>
      </x:c>
      <x:c r="C98" s="2" t="n">
        <x:f>IF(WEEKDAY(A98,2)&gt;5,0,IF(OR(AND(COUNT($B$5:$C$5)=2,A98&gt;=$B$5,A98&lt;=$C$5),AND(A98&gt;=$B$6,A98&lt;=$C$6)),0,1))</x:f>
        <x:v>0</x:v>
      </x:c>
      <x:c r="D98" s="2" t="str">
        <x:f>IF(C98=1,SUM($C$16:C98),"")</x:f>
      </x:c>
      <x:c r="E98" s="2" t="n">
        <x:f>INT((A98-'Delivery Timeline'!$B$4)/7)+1</x:f>
        <x:v>12</x:v>
      </x:c>
      <x:c r="F98" s="2" t="str">
        <x:f>IF(AND(COUNT($B$5:$C$5)=2,A98&gt;=$B$5,A98&lt;=$C$5),"Additional leave",IF(AND(A98&gt;=$B$6,A98&lt;=$C$6),"Lunar New Year leave",IF(C98=1,"Working day","Weekend")))</x:f>
        <x:v>Weekend</x:v>
      </x:c>
    </x:row>
    <x:row r="99" ht="23" customHeight="1">
      <x:c r="A99" s="5" t="n">
        <x:f>'Delivery Timeline'!$B$4+83</x:f>
        <x:v>46411</x:v>
      </x:c>
      <x:c r="B99" s="2" t="str">
        <x:f>CHOOSE(WEEKDAY(A99,2),"Mon","Tue","Wed","Thu","Fri","Sat","Sun")</x:f>
        <x:v>Sun</x:v>
      </x:c>
      <x:c r="C99" s="2" t="n">
        <x:f>IF(WEEKDAY(A99,2)&gt;5,0,IF(OR(AND(COUNT($B$5:$C$5)=2,A99&gt;=$B$5,A99&lt;=$C$5),AND(A99&gt;=$B$6,A99&lt;=$C$6)),0,1))</x:f>
        <x:v>0</x:v>
      </x:c>
      <x:c r="D99" s="2" t="str">
        <x:f>IF(C99=1,SUM($C$16:C99),"")</x:f>
      </x:c>
      <x:c r="E99" s="2" t="n">
        <x:f>INT((A99-'Delivery Timeline'!$B$4)/7)+1</x:f>
        <x:v>12</x:v>
      </x:c>
      <x:c r="F99" s="2" t="str">
        <x:f>IF(AND(COUNT($B$5:$C$5)=2,A99&gt;=$B$5,A99&lt;=$C$5),"Additional leave",IF(AND(A99&gt;=$B$6,A99&lt;=$C$6),"Lunar New Year leave",IF(C99=1,"Working day","Weekend")))</x:f>
        <x:v>Weekend</x:v>
      </x:c>
    </x:row>
    <x:row r="100" ht="23" customHeight="1">
      <x:c r="A100" s="5" t="n">
        <x:f>'Delivery Timeline'!$B$4+84</x:f>
        <x:v>46412</x:v>
      </x:c>
      <x:c r="B100" s="2" t="str">
        <x:f>CHOOSE(WEEKDAY(A100,2),"Mon","Tue","Wed","Thu","Fri","Sat","Sun")</x:f>
        <x:v>Mon</x:v>
      </x:c>
      <x:c r="C100" s="2" t="n">
        <x:f>IF(WEEKDAY(A100,2)&gt;5,0,IF(OR(AND(COUNT($B$5:$C$5)=2,A100&gt;=$B$5,A100&lt;=$C$5),AND(A100&gt;=$B$6,A100&lt;=$C$6)),0,1))</x:f>
        <x:v>1</x:v>
      </x:c>
      <x:c r="D100" s="2" t="n">
        <x:f>IF(C100=1,SUM($C$16:C100),"")</x:f>
        <x:v>61</x:v>
      </x:c>
      <x:c r="E100" s="2" t="n">
        <x:f>INT((A100-'Delivery Timeline'!$B$4)/7)+1</x:f>
        <x:v>13</x:v>
      </x:c>
      <x:c r="F100" s="2" t="str">
        <x:f>IF(AND(COUNT($B$5:$C$5)=2,A100&gt;=$B$5,A100&lt;=$C$5),"Additional leave",IF(AND(A100&gt;=$B$6,A100&lt;=$C$6),"Lunar New Year leave",IF(C100=1,"Working day","Weekend")))</x:f>
        <x:v>Working day</x:v>
      </x:c>
    </x:row>
    <x:row r="101" ht="23" customHeight="1">
      <x:c r="A101" s="5" t="n">
        <x:f>'Delivery Timeline'!$B$4+85</x:f>
        <x:v>46413</x:v>
      </x:c>
      <x:c r="B101" s="2" t="str">
        <x:f>CHOOSE(WEEKDAY(A101,2),"Mon","Tue","Wed","Thu","Fri","Sat","Sun")</x:f>
        <x:v>Tue</x:v>
      </x:c>
      <x:c r="C101" s="2" t="n">
        <x:f>IF(WEEKDAY(A101,2)&gt;5,0,IF(OR(AND(COUNT($B$5:$C$5)=2,A101&gt;=$B$5,A101&lt;=$C$5),AND(A101&gt;=$B$6,A101&lt;=$C$6)),0,1))</x:f>
        <x:v>1</x:v>
      </x:c>
      <x:c r="D101" s="2" t="n">
        <x:f>IF(C101=1,SUM($C$16:C101),"")</x:f>
        <x:v>62</x:v>
      </x:c>
      <x:c r="E101" s="2" t="n">
        <x:f>INT((A101-'Delivery Timeline'!$B$4)/7)+1</x:f>
        <x:v>13</x:v>
      </x:c>
      <x:c r="F101" s="2" t="str">
        <x:f>IF(AND(COUNT($B$5:$C$5)=2,A101&gt;=$B$5,A101&lt;=$C$5),"Additional leave",IF(AND(A101&gt;=$B$6,A101&lt;=$C$6),"Lunar New Year leave",IF(C101=1,"Working day","Weekend")))</x:f>
        <x:v>Working day</x:v>
      </x:c>
    </x:row>
    <x:row r="102" ht="23" customHeight="1">
      <x:c r="A102" s="5" t="n">
        <x:f>'Delivery Timeline'!$B$4+86</x:f>
        <x:v>46414</x:v>
      </x:c>
      <x:c r="B102" s="2" t="str">
        <x:f>CHOOSE(WEEKDAY(A102,2),"Mon","Tue","Wed","Thu","Fri","Sat","Sun")</x:f>
        <x:v>Wed</x:v>
      </x:c>
      <x:c r="C102" s="2" t="n">
        <x:f>IF(WEEKDAY(A102,2)&gt;5,0,IF(OR(AND(COUNT($B$5:$C$5)=2,A102&gt;=$B$5,A102&lt;=$C$5),AND(A102&gt;=$B$6,A102&lt;=$C$6)),0,1))</x:f>
        <x:v>1</x:v>
      </x:c>
      <x:c r="D102" s="2" t="n">
        <x:f>IF(C102=1,SUM($C$16:C102),"")</x:f>
        <x:v>63</x:v>
      </x:c>
      <x:c r="E102" s="2" t="n">
        <x:f>INT((A102-'Delivery Timeline'!$B$4)/7)+1</x:f>
        <x:v>13</x:v>
      </x:c>
      <x:c r="F102" s="2" t="str">
        <x:f>IF(AND(COUNT($B$5:$C$5)=2,A102&gt;=$B$5,A102&lt;=$C$5),"Additional leave",IF(AND(A102&gt;=$B$6,A102&lt;=$C$6),"Lunar New Year leave",IF(C102=1,"Working day","Weekend")))</x:f>
        <x:v>Working day</x:v>
      </x:c>
    </x:row>
    <x:row r="103" ht="23" customHeight="1">
      <x:c r="A103" s="5" t="n">
        <x:f>'Delivery Timeline'!$B$4+87</x:f>
        <x:v>46415</x:v>
      </x:c>
      <x:c r="B103" s="2" t="str">
        <x:f>CHOOSE(WEEKDAY(A103,2),"Mon","Tue","Wed","Thu","Fri","Sat","Sun")</x:f>
        <x:v>Thu</x:v>
      </x:c>
      <x:c r="C103" s="2" t="n">
        <x:f>IF(WEEKDAY(A103,2)&gt;5,0,IF(OR(AND(COUNT($B$5:$C$5)=2,A103&gt;=$B$5,A103&lt;=$C$5),AND(A103&gt;=$B$6,A103&lt;=$C$6)),0,1))</x:f>
        <x:v>1</x:v>
      </x:c>
      <x:c r="D103" s="2" t="n">
        <x:f>IF(C103=1,SUM($C$16:C103),"")</x:f>
        <x:v>64</x:v>
      </x:c>
      <x:c r="E103" s="2" t="n">
        <x:f>INT((A103-'Delivery Timeline'!$B$4)/7)+1</x:f>
        <x:v>13</x:v>
      </x:c>
      <x:c r="F103" s="2" t="str">
        <x:f>IF(AND(COUNT($B$5:$C$5)=2,A103&gt;=$B$5,A103&lt;=$C$5),"Additional leave",IF(AND(A103&gt;=$B$6,A103&lt;=$C$6),"Lunar New Year leave",IF(C103=1,"Working day","Weekend")))</x:f>
        <x:v>Working day</x:v>
      </x:c>
    </x:row>
    <x:row r="104" ht="23" customHeight="1">
      <x:c r="A104" s="5" t="n">
        <x:f>'Delivery Timeline'!$B$4+88</x:f>
        <x:v>46416</x:v>
      </x:c>
      <x:c r="B104" s="2" t="str">
        <x:f>CHOOSE(WEEKDAY(A104,2),"Mon","Tue","Wed","Thu","Fri","Sat","Sun")</x:f>
        <x:v>Fri</x:v>
      </x:c>
      <x:c r="C104" s="2" t="n">
        <x:f>IF(WEEKDAY(A104,2)&gt;5,0,IF(OR(AND(COUNT($B$5:$C$5)=2,A104&gt;=$B$5,A104&lt;=$C$5),AND(A104&gt;=$B$6,A104&lt;=$C$6)),0,1))</x:f>
        <x:v>1</x:v>
      </x:c>
      <x:c r="D104" s="2" t="n">
        <x:f>IF(C104=1,SUM($C$16:C104),"")</x:f>
        <x:v>65</x:v>
      </x:c>
      <x:c r="E104" s="2" t="n">
        <x:f>INT((A104-'Delivery Timeline'!$B$4)/7)+1</x:f>
        <x:v>13</x:v>
      </x:c>
      <x:c r="F104" s="2" t="str">
        <x:f>IF(AND(COUNT($B$5:$C$5)=2,A104&gt;=$B$5,A104&lt;=$C$5),"Additional leave",IF(AND(A104&gt;=$B$6,A104&lt;=$C$6),"Lunar New Year leave",IF(C104=1,"Working day","Weekend")))</x:f>
        <x:v>Working day</x:v>
      </x:c>
    </x:row>
    <x:row r="105" ht="23" customHeight="1">
      <x:c r="A105" s="5" t="n">
        <x:f>'Delivery Timeline'!$B$4+89</x:f>
        <x:v>46417</x:v>
      </x:c>
      <x:c r="B105" s="2" t="str">
        <x:f>CHOOSE(WEEKDAY(A105,2),"Mon","Tue","Wed","Thu","Fri","Sat","Sun")</x:f>
        <x:v>Sat</x:v>
      </x:c>
      <x:c r="C105" s="2" t="n">
        <x:f>IF(WEEKDAY(A105,2)&gt;5,0,IF(OR(AND(COUNT($B$5:$C$5)=2,A105&gt;=$B$5,A105&lt;=$C$5),AND(A105&gt;=$B$6,A105&lt;=$C$6)),0,1))</x:f>
        <x:v>0</x:v>
      </x:c>
      <x:c r="D105" s="2" t="str">
        <x:f>IF(C105=1,SUM($C$16:C105),"")</x:f>
      </x:c>
      <x:c r="E105" s="2" t="n">
        <x:f>INT((A105-'Delivery Timeline'!$B$4)/7)+1</x:f>
        <x:v>13</x:v>
      </x:c>
      <x:c r="F105" s="2" t="str">
        <x:f>IF(AND(COUNT($B$5:$C$5)=2,A105&gt;=$B$5,A105&lt;=$C$5),"Additional leave",IF(AND(A105&gt;=$B$6,A105&lt;=$C$6),"Lunar New Year leave",IF(C105=1,"Working day","Weekend")))</x:f>
        <x:v>Weekend</x:v>
      </x:c>
    </x:row>
    <x:row r="106" ht="23" customHeight="1">
      <x:c r="A106" s="5" t="n">
        <x:f>'Delivery Timeline'!$B$4+90</x:f>
        <x:v>46418</x:v>
      </x:c>
      <x:c r="B106" s="2" t="str">
        <x:f>CHOOSE(WEEKDAY(A106,2),"Mon","Tue","Wed","Thu","Fri","Sat","Sun")</x:f>
        <x:v>Sun</x:v>
      </x:c>
      <x:c r="C106" s="2" t="n">
        <x:f>IF(WEEKDAY(A106,2)&gt;5,0,IF(OR(AND(COUNT($B$5:$C$5)=2,A106&gt;=$B$5,A106&lt;=$C$5),AND(A106&gt;=$B$6,A106&lt;=$C$6)),0,1))</x:f>
        <x:v>0</x:v>
      </x:c>
      <x:c r="D106" s="2" t="str">
        <x:f>IF(C106=1,SUM($C$16:C106),"")</x:f>
      </x:c>
      <x:c r="E106" s="2" t="n">
        <x:f>INT((A106-'Delivery Timeline'!$B$4)/7)+1</x:f>
        <x:v>13</x:v>
      </x:c>
      <x:c r="F106" s="2" t="str">
        <x:f>IF(AND(COUNT($B$5:$C$5)=2,A106&gt;=$B$5,A106&lt;=$C$5),"Additional leave",IF(AND(A106&gt;=$B$6,A106&lt;=$C$6),"Lunar New Year leave",IF(C106=1,"Working day","Weekend")))</x:f>
        <x:v>Weekend</x:v>
      </x:c>
    </x:row>
    <x:row r="107" ht="23" customHeight="1">
      <x:c r="A107" s="5" t="n">
        <x:f>'Delivery Timeline'!$B$4+91</x:f>
        <x:v>46419</x:v>
      </x:c>
      <x:c r="B107" s="2" t="str">
        <x:f>CHOOSE(WEEKDAY(A107,2),"Mon","Tue","Wed","Thu","Fri","Sat","Sun")</x:f>
        <x:v>Mon</x:v>
      </x:c>
      <x:c r="C107" s="2" t="n">
        <x:f>IF(WEEKDAY(A107,2)&gt;5,0,IF(OR(AND(COUNT($B$5:$C$5)=2,A107&gt;=$B$5,A107&lt;=$C$5),AND(A107&gt;=$B$6,A107&lt;=$C$6)),0,1))</x:f>
        <x:v>1</x:v>
      </x:c>
      <x:c r="D107" s="2" t="n">
        <x:f>IF(C107=1,SUM($C$16:C107),"")</x:f>
        <x:v>66</x:v>
      </x:c>
      <x:c r="E107" s="2" t="n">
        <x:f>INT((A107-'Delivery Timeline'!$B$4)/7)+1</x:f>
        <x:v>14</x:v>
      </x:c>
      <x:c r="F107" s="2" t="str">
        <x:f>IF(AND(COUNT($B$5:$C$5)=2,A107&gt;=$B$5,A107&lt;=$C$5),"Additional leave",IF(AND(A107&gt;=$B$6,A107&lt;=$C$6),"Lunar New Year leave",IF(C107=1,"Working day","Weekend")))</x:f>
        <x:v>Working day</x:v>
      </x:c>
    </x:row>
    <x:row r="108" ht="23" customHeight="1">
      <x:c r="A108" s="5" t="n">
        <x:f>'Delivery Timeline'!$B$4+92</x:f>
        <x:v>46420</x:v>
      </x:c>
      <x:c r="B108" s="2" t="str">
        <x:f>CHOOSE(WEEKDAY(A108,2),"Mon","Tue","Wed","Thu","Fri","Sat","Sun")</x:f>
        <x:v>Tue</x:v>
      </x:c>
      <x:c r="C108" s="2" t="n">
        <x:f>IF(WEEKDAY(A108,2)&gt;5,0,IF(OR(AND(COUNT($B$5:$C$5)=2,A108&gt;=$B$5,A108&lt;=$C$5),AND(A108&gt;=$B$6,A108&lt;=$C$6)),0,1))</x:f>
        <x:v>1</x:v>
      </x:c>
      <x:c r="D108" s="2" t="n">
        <x:f>IF(C108=1,SUM($C$16:C108),"")</x:f>
        <x:v>67</x:v>
      </x:c>
      <x:c r="E108" s="2" t="n">
        <x:f>INT((A108-'Delivery Timeline'!$B$4)/7)+1</x:f>
        <x:v>14</x:v>
      </x:c>
      <x:c r="F108" s="2" t="str">
        <x:f>IF(AND(COUNT($B$5:$C$5)=2,A108&gt;=$B$5,A108&lt;=$C$5),"Additional leave",IF(AND(A108&gt;=$B$6,A108&lt;=$C$6),"Lunar New Year leave",IF(C108=1,"Working day","Weekend")))</x:f>
        <x:v>Working day</x:v>
      </x:c>
    </x:row>
    <x:row r="109" ht="23" customHeight="1">
      <x:c r="A109" s="5" t="n">
        <x:f>'Delivery Timeline'!$B$4+93</x:f>
        <x:v>46421</x:v>
      </x:c>
      <x:c r="B109" s="2" t="str">
        <x:f>CHOOSE(WEEKDAY(A109,2),"Mon","Tue","Wed","Thu","Fri","Sat","Sun")</x:f>
        <x:v>Wed</x:v>
      </x:c>
      <x:c r="C109" s="2" t="n">
        <x:f>IF(WEEKDAY(A109,2)&gt;5,0,IF(OR(AND(COUNT($B$5:$C$5)=2,A109&gt;=$B$5,A109&lt;=$C$5),AND(A109&gt;=$B$6,A109&lt;=$C$6)),0,1))</x:f>
        <x:v>0</x:v>
      </x:c>
      <x:c r="D109" s="2" t="str">
        <x:f>IF(C109=1,SUM($C$16:C109),"")</x:f>
      </x:c>
      <x:c r="E109" s="2" t="n">
        <x:f>INT((A109-'Delivery Timeline'!$B$4)/7)+1</x:f>
        <x:v>14</x:v>
      </x:c>
      <x:c r="F109" s="2" t="str">
        <x:f>IF(AND(COUNT($B$5:$C$5)=2,A109&gt;=$B$5,A109&lt;=$C$5),"Additional leave",IF(AND(A109&gt;=$B$6,A109&lt;=$C$6),"Lunar New Year leave",IF(C109=1,"Working day","Weekend")))</x:f>
        <x:v>Lunar New Year leave</x:v>
      </x:c>
    </x:row>
    <x:row r="110" ht="23" customHeight="1">
      <x:c r="A110" s="5" t="n">
        <x:f>'Delivery Timeline'!$B$4+94</x:f>
        <x:v>46422</x:v>
      </x:c>
      <x:c r="B110" s="2" t="str">
        <x:f>CHOOSE(WEEKDAY(A110,2),"Mon","Tue","Wed","Thu","Fri","Sat","Sun")</x:f>
        <x:v>Thu</x:v>
      </x:c>
      <x:c r="C110" s="2" t="n">
        <x:f>IF(WEEKDAY(A110,2)&gt;5,0,IF(OR(AND(COUNT($B$5:$C$5)=2,A110&gt;=$B$5,A110&lt;=$C$5),AND(A110&gt;=$B$6,A110&lt;=$C$6)),0,1))</x:f>
        <x:v>0</x:v>
      </x:c>
      <x:c r="D110" s="2" t="str">
        <x:f>IF(C110=1,SUM($C$16:C110),"")</x:f>
      </x:c>
      <x:c r="E110" s="2" t="n">
        <x:f>INT((A110-'Delivery Timeline'!$B$4)/7)+1</x:f>
        <x:v>14</x:v>
      </x:c>
      <x:c r="F110" s="2" t="str">
        <x:f>IF(AND(COUNT($B$5:$C$5)=2,A110&gt;=$B$5,A110&lt;=$C$5),"Additional leave",IF(AND(A110&gt;=$B$6,A110&lt;=$C$6),"Lunar New Year leave",IF(C110=1,"Working day","Weekend")))</x:f>
        <x:v>Lunar New Year leave</x:v>
      </x:c>
    </x:row>
    <x:row r="111" ht="23" customHeight="1">
      <x:c r="A111" s="5" t="n">
        <x:f>'Delivery Timeline'!$B$4+95</x:f>
        <x:v>46423</x:v>
      </x:c>
      <x:c r="B111" s="2" t="str">
        <x:f>CHOOSE(WEEKDAY(A111,2),"Mon","Tue","Wed","Thu","Fri","Sat","Sun")</x:f>
        <x:v>Fri</x:v>
      </x:c>
      <x:c r="C111" s="2" t="n">
        <x:f>IF(WEEKDAY(A111,2)&gt;5,0,IF(OR(AND(COUNT($B$5:$C$5)=2,A111&gt;=$B$5,A111&lt;=$C$5),AND(A111&gt;=$B$6,A111&lt;=$C$6)),0,1))</x:f>
        <x:v>0</x:v>
      </x:c>
      <x:c r="D111" s="2" t="str">
        <x:f>IF(C111=1,SUM($C$16:C111),"")</x:f>
      </x:c>
      <x:c r="E111" s="2" t="n">
        <x:f>INT((A111-'Delivery Timeline'!$B$4)/7)+1</x:f>
        <x:v>14</x:v>
      </x:c>
      <x:c r="F111" s="2" t="str">
        <x:f>IF(AND(COUNT($B$5:$C$5)=2,A111&gt;=$B$5,A111&lt;=$C$5),"Additional leave",IF(AND(A111&gt;=$B$6,A111&lt;=$C$6),"Lunar New Year leave",IF(C111=1,"Working day","Weekend")))</x:f>
        <x:v>Lunar New Year leave</x:v>
      </x:c>
    </x:row>
    <x:row r="112" ht="23" customHeight="1">
      <x:c r="A112" s="5" t="n">
        <x:f>'Delivery Timeline'!$B$4+96</x:f>
        <x:v>46424</x:v>
      </x:c>
      <x:c r="B112" s="2" t="str">
        <x:f>CHOOSE(WEEKDAY(A112,2),"Mon","Tue","Wed","Thu","Fri","Sat","Sun")</x:f>
        <x:v>Sat</x:v>
      </x:c>
      <x:c r="C112" s="2" t="n">
        <x:f>IF(WEEKDAY(A112,2)&gt;5,0,IF(OR(AND(COUNT($B$5:$C$5)=2,A112&gt;=$B$5,A112&lt;=$C$5),AND(A112&gt;=$B$6,A112&lt;=$C$6)),0,1))</x:f>
        <x:v>0</x:v>
      </x:c>
      <x:c r="D112" s="2" t="str">
        <x:f>IF(C112=1,SUM($C$16:C112),"")</x:f>
      </x:c>
      <x:c r="E112" s="2" t="n">
        <x:f>INT((A112-'Delivery Timeline'!$B$4)/7)+1</x:f>
        <x:v>14</x:v>
      </x:c>
      <x:c r="F112" s="2" t="str">
        <x:f>IF(AND(COUNT($B$5:$C$5)=2,A112&gt;=$B$5,A112&lt;=$C$5),"Additional leave",IF(AND(A112&gt;=$B$6,A112&lt;=$C$6),"Lunar New Year leave",IF(C112=1,"Working day","Weekend")))</x:f>
        <x:v>Lunar New Year leave</x:v>
      </x:c>
    </x:row>
    <x:row r="113" ht="23" customHeight="1">
      <x:c r="A113" s="5" t="n">
        <x:f>'Delivery Timeline'!$B$4+97</x:f>
        <x:v>46425</x:v>
      </x:c>
      <x:c r="B113" s="2" t="str">
        <x:f>CHOOSE(WEEKDAY(A113,2),"Mon","Tue","Wed","Thu","Fri","Sat","Sun")</x:f>
        <x:v>Sun</x:v>
      </x:c>
      <x:c r="C113" s="2" t="n">
        <x:f>IF(WEEKDAY(A113,2)&gt;5,0,IF(OR(AND(COUNT($B$5:$C$5)=2,A113&gt;=$B$5,A113&lt;=$C$5),AND(A113&gt;=$B$6,A113&lt;=$C$6)),0,1))</x:f>
        <x:v>0</x:v>
      </x:c>
      <x:c r="D113" s="2" t="str">
        <x:f>IF(C113=1,SUM($C$16:C113),"")</x:f>
      </x:c>
      <x:c r="E113" s="2" t="n">
        <x:f>INT((A113-'Delivery Timeline'!$B$4)/7)+1</x:f>
        <x:v>14</x:v>
      </x:c>
      <x:c r="F113" s="2" t="str">
        <x:f>IF(AND(COUNT($B$5:$C$5)=2,A113&gt;=$B$5,A113&lt;=$C$5),"Additional leave",IF(AND(A113&gt;=$B$6,A113&lt;=$C$6),"Lunar New Year leave",IF(C113=1,"Working day","Weekend")))</x:f>
        <x:v>Lunar New Year leave</x:v>
      </x:c>
    </x:row>
    <x:row r="114" ht="23" customHeight="1">
      <x:c r="A114" s="5" t="n">
        <x:f>'Delivery Timeline'!$B$4+98</x:f>
        <x:v>46426</x:v>
      </x:c>
      <x:c r="B114" s="2" t="str">
        <x:f>CHOOSE(WEEKDAY(A114,2),"Mon","Tue","Wed","Thu","Fri","Sat","Sun")</x:f>
        <x:v>Mon</x:v>
      </x:c>
      <x:c r="C114" s="2" t="n">
        <x:f>IF(WEEKDAY(A114,2)&gt;5,0,IF(OR(AND(COUNT($B$5:$C$5)=2,A114&gt;=$B$5,A114&lt;=$C$5),AND(A114&gt;=$B$6,A114&lt;=$C$6)),0,1))</x:f>
        <x:v>0</x:v>
      </x:c>
      <x:c r="D114" s="2" t="str">
        <x:f>IF(C114=1,SUM($C$16:C114),"")</x:f>
      </x:c>
      <x:c r="E114" s="2" t="n">
        <x:f>INT((A114-'Delivery Timeline'!$B$4)/7)+1</x:f>
        <x:v>15</x:v>
      </x:c>
      <x:c r="F114" s="2" t="str">
        <x:f>IF(AND(COUNT($B$5:$C$5)=2,A114&gt;=$B$5,A114&lt;=$C$5),"Additional leave",IF(AND(A114&gt;=$B$6,A114&lt;=$C$6),"Lunar New Year leave",IF(C114=1,"Working day","Weekend")))</x:f>
        <x:v>Lunar New Year leave</x:v>
      </x:c>
    </x:row>
    <x:row r="115" ht="23" customHeight="1">
      <x:c r="A115" s="5" t="n">
        <x:f>'Delivery Timeline'!$B$4+99</x:f>
        <x:v>46427</x:v>
      </x:c>
      <x:c r="B115" s="2" t="str">
        <x:f>CHOOSE(WEEKDAY(A115,2),"Mon","Tue","Wed","Thu","Fri","Sat","Sun")</x:f>
        <x:v>Tue</x:v>
      </x:c>
      <x:c r="C115" s="2" t="n">
        <x:f>IF(WEEKDAY(A115,2)&gt;5,0,IF(OR(AND(COUNT($B$5:$C$5)=2,A115&gt;=$B$5,A115&lt;=$C$5),AND(A115&gt;=$B$6,A115&lt;=$C$6)),0,1))</x:f>
        <x:v>0</x:v>
      </x:c>
      <x:c r="D115" s="2" t="str">
        <x:f>IF(C115=1,SUM($C$16:C115),"")</x:f>
      </x:c>
      <x:c r="E115" s="2" t="n">
        <x:f>INT((A115-'Delivery Timeline'!$B$4)/7)+1</x:f>
        <x:v>15</x:v>
      </x:c>
      <x:c r="F115" s="2" t="str">
        <x:f>IF(AND(COUNT($B$5:$C$5)=2,A115&gt;=$B$5,A115&lt;=$C$5),"Additional leave",IF(AND(A115&gt;=$B$6,A115&lt;=$C$6),"Lunar New Year leave",IF(C115=1,"Working day","Weekend")))</x:f>
        <x:v>Lunar New Year leave</x:v>
      </x:c>
    </x:row>
    <x:row r="116" ht="23" customHeight="1">
      <x:c r="A116" s="5" t="n">
        <x:f>'Delivery Timeline'!$B$4+100</x:f>
        <x:v>46428</x:v>
      </x:c>
      <x:c r="B116" s="2" t="str">
        <x:f>CHOOSE(WEEKDAY(A116,2),"Mon","Tue","Wed","Thu","Fri","Sat","Sun")</x:f>
        <x:v>Wed</x:v>
      </x:c>
      <x:c r="C116" s="2" t="n">
        <x:f>IF(WEEKDAY(A116,2)&gt;5,0,IF(OR(AND(COUNT($B$5:$C$5)=2,A116&gt;=$B$5,A116&lt;=$C$5),AND(A116&gt;=$B$6,A116&lt;=$C$6)),0,1))</x:f>
        <x:v>0</x:v>
      </x:c>
      <x:c r="D116" s="2" t="str">
        <x:f>IF(C116=1,SUM($C$16:C116),"")</x:f>
      </x:c>
      <x:c r="E116" s="2" t="n">
        <x:f>INT((A116-'Delivery Timeline'!$B$4)/7)+1</x:f>
        <x:v>15</x:v>
      </x:c>
      <x:c r="F116" s="2" t="str">
        <x:f>IF(AND(COUNT($B$5:$C$5)=2,A116&gt;=$B$5,A116&lt;=$C$5),"Additional leave",IF(AND(A116&gt;=$B$6,A116&lt;=$C$6),"Lunar New Year leave",IF(C116=1,"Working day","Weekend")))</x:f>
        <x:v>Lunar New Year leave</x:v>
      </x:c>
    </x:row>
    <x:row r="117" ht="23" customHeight="1">
      <x:c r="A117" s="5" t="n">
        <x:f>'Delivery Timeline'!$B$4+101</x:f>
        <x:v>46429</x:v>
      </x:c>
      <x:c r="B117" s="2" t="str">
        <x:f>CHOOSE(WEEKDAY(A117,2),"Mon","Tue","Wed","Thu","Fri","Sat","Sun")</x:f>
        <x:v>Thu</x:v>
      </x:c>
      <x:c r="C117" s="2" t="n">
        <x:f>IF(WEEKDAY(A117,2)&gt;5,0,IF(OR(AND(COUNT($B$5:$C$5)=2,A117&gt;=$B$5,A117&lt;=$C$5),AND(A117&gt;=$B$6,A117&lt;=$C$6)),0,1))</x:f>
        <x:v>0</x:v>
      </x:c>
      <x:c r="D117" s="2" t="str">
        <x:f>IF(C117=1,SUM($C$16:C117),"")</x:f>
      </x:c>
      <x:c r="E117" s="2" t="n">
        <x:f>INT((A117-'Delivery Timeline'!$B$4)/7)+1</x:f>
        <x:v>15</x:v>
      </x:c>
      <x:c r="F117" s="2" t="str">
        <x:f>IF(AND(COUNT($B$5:$C$5)=2,A117&gt;=$B$5,A117&lt;=$C$5),"Additional leave",IF(AND(A117&gt;=$B$6,A117&lt;=$C$6),"Lunar New Year leave",IF(C117=1,"Working day","Weekend")))</x:f>
        <x:v>Lunar New Year leave</x:v>
      </x:c>
    </x:row>
    <x:row r="118" ht="23" customHeight="1">
      <x:c r="A118" s="5" t="n">
        <x:f>'Delivery Timeline'!$B$4+102</x:f>
        <x:v>46430</x:v>
      </x:c>
      <x:c r="B118" s="2" t="str">
        <x:f>CHOOSE(WEEKDAY(A118,2),"Mon","Tue","Wed","Thu","Fri","Sat","Sun")</x:f>
        <x:v>Fri</x:v>
      </x:c>
      <x:c r="C118" s="2" t="n">
        <x:f>IF(WEEKDAY(A118,2)&gt;5,0,IF(OR(AND(COUNT($B$5:$C$5)=2,A118&gt;=$B$5,A118&lt;=$C$5),AND(A118&gt;=$B$6,A118&lt;=$C$6)),0,1))</x:f>
        <x:v>0</x:v>
      </x:c>
      <x:c r="D118" s="2" t="str">
        <x:f>IF(C118=1,SUM($C$16:C118),"")</x:f>
      </x:c>
      <x:c r="E118" s="2" t="n">
        <x:f>INT((A118-'Delivery Timeline'!$B$4)/7)+1</x:f>
        <x:v>15</x:v>
      </x:c>
      <x:c r="F118" s="2" t="str">
        <x:f>IF(AND(COUNT($B$5:$C$5)=2,A118&gt;=$B$5,A118&lt;=$C$5),"Additional leave",IF(AND(A118&gt;=$B$6,A118&lt;=$C$6),"Lunar New Year leave",IF(C118=1,"Working day","Weekend")))</x:f>
        <x:v>Lunar New Year leave</x:v>
      </x:c>
    </x:row>
    <x:row r="119" ht="23" customHeight="1">
      <x:c r="A119" s="5" t="n">
        <x:f>'Delivery Timeline'!$B$4+103</x:f>
        <x:v>46431</x:v>
      </x:c>
      <x:c r="B119" s="2" t="str">
        <x:f>CHOOSE(WEEKDAY(A119,2),"Mon","Tue","Wed","Thu","Fri","Sat","Sun")</x:f>
        <x:v>Sat</x:v>
      </x:c>
      <x:c r="C119" s="2" t="n">
        <x:f>IF(WEEKDAY(A119,2)&gt;5,0,IF(OR(AND(COUNT($B$5:$C$5)=2,A119&gt;=$B$5,A119&lt;=$C$5),AND(A119&gt;=$B$6,A119&lt;=$C$6)),0,1))</x:f>
        <x:v>0</x:v>
      </x:c>
      <x:c r="D119" s="2" t="str">
        <x:f>IF(C119=1,SUM($C$16:C119),"")</x:f>
      </x:c>
      <x:c r="E119" s="2" t="n">
        <x:f>INT((A119-'Delivery Timeline'!$B$4)/7)+1</x:f>
        <x:v>15</x:v>
      </x:c>
      <x:c r="F119" s="2" t="str">
        <x:f>IF(AND(COUNT($B$5:$C$5)=2,A119&gt;=$B$5,A119&lt;=$C$5),"Additional leave",IF(AND(A119&gt;=$B$6,A119&lt;=$C$6),"Lunar New Year leave",IF(C119=1,"Working day","Weekend")))</x:f>
        <x:v>Weekend</x:v>
      </x:c>
    </x:row>
    <x:row r="120" ht="23" customHeight="1">
      <x:c r="A120" s="5" t="n">
        <x:f>'Delivery Timeline'!$B$4+104</x:f>
        <x:v>46432</x:v>
      </x:c>
      <x:c r="B120" s="2" t="str">
        <x:f>CHOOSE(WEEKDAY(A120,2),"Mon","Tue","Wed","Thu","Fri","Sat","Sun")</x:f>
        <x:v>Sun</x:v>
      </x:c>
      <x:c r="C120" s="2" t="n">
        <x:f>IF(WEEKDAY(A120,2)&gt;5,0,IF(OR(AND(COUNT($B$5:$C$5)=2,A120&gt;=$B$5,A120&lt;=$C$5),AND(A120&gt;=$B$6,A120&lt;=$C$6)),0,1))</x:f>
        <x:v>0</x:v>
      </x:c>
      <x:c r="D120" s="2" t="str">
        <x:f>IF(C120=1,SUM($C$16:C120),"")</x:f>
      </x:c>
      <x:c r="E120" s="2" t="n">
        <x:f>INT((A120-'Delivery Timeline'!$B$4)/7)+1</x:f>
        <x:v>15</x:v>
      </x:c>
      <x:c r="F120" s="2" t="str">
        <x:f>IF(AND(COUNT($B$5:$C$5)=2,A120&gt;=$B$5,A120&lt;=$C$5),"Additional leave",IF(AND(A120&gt;=$B$6,A120&lt;=$C$6),"Lunar New Year leave",IF(C120=1,"Working day","Weekend")))</x:f>
        <x:v>Weekend</x:v>
      </x:c>
    </x:row>
    <x:row r="121" ht="23" customHeight="1">
      <x:c r="A121" s="5" t="n">
        <x:f>'Delivery Timeline'!$B$4+105</x:f>
        <x:v>46433</x:v>
      </x:c>
      <x:c r="B121" s="2" t="str">
        <x:f>CHOOSE(WEEKDAY(A121,2),"Mon","Tue","Wed","Thu","Fri","Sat","Sun")</x:f>
        <x:v>Mon</x:v>
      </x:c>
      <x:c r="C121" s="2" t="n">
        <x:f>IF(WEEKDAY(A121,2)&gt;5,0,IF(OR(AND(COUNT($B$5:$C$5)=2,A121&gt;=$B$5,A121&lt;=$C$5),AND(A121&gt;=$B$6,A121&lt;=$C$6)),0,1))</x:f>
        <x:v>1</x:v>
      </x:c>
      <x:c r="D121" s="2" t="n">
        <x:f>IF(C121=1,SUM($C$16:C121),"")</x:f>
        <x:v>68</x:v>
      </x:c>
      <x:c r="E121" s="2" t="n">
        <x:f>INT((A121-'Delivery Timeline'!$B$4)/7)+1</x:f>
        <x:v>16</x:v>
      </x:c>
      <x:c r="F121" s="2" t="str">
        <x:f>IF(AND(COUNT($B$5:$C$5)=2,A121&gt;=$B$5,A121&lt;=$C$5),"Additional leave",IF(AND(A121&gt;=$B$6,A121&lt;=$C$6),"Lunar New Year leave",IF(C121=1,"Working day","Weekend")))</x:f>
        <x:v>Working day</x:v>
      </x:c>
    </x:row>
    <x:row r="122" ht="23" customHeight="1">
      <x:c r="A122" s="5" t="n">
        <x:f>'Delivery Timeline'!$B$4+106</x:f>
        <x:v>46434</x:v>
      </x:c>
      <x:c r="B122" s="2" t="str">
        <x:f>CHOOSE(WEEKDAY(A122,2),"Mon","Tue","Wed","Thu","Fri","Sat","Sun")</x:f>
        <x:v>Tue</x:v>
      </x:c>
      <x:c r="C122" s="2" t="n">
        <x:f>IF(WEEKDAY(A122,2)&gt;5,0,IF(OR(AND(COUNT($B$5:$C$5)=2,A122&gt;=$B$5,A122&lt;=$C$5),AND(A122&gt;=$B$6,A122&lt;=$C$6)),0,1))</x:f>
        <x:v>1</x:v>
      </x:c>
      <x:c r="D122" s="2" t="n">
        <x:f>IF(C122=1,SUM($C$16:C122),"")</x:f>
        <x:v>69</x:v>
      </x:c>
      <x:c r="E122" s="2" t="n">
        <x:f>INT((A122-'Delivery Timeline'!$B$4)/7)+1</x:f>
        <x:v>16</x:v>
      </x:c>
      <x:c r="F122" s="2" t="str">
        <x:f>IF(AND(COUNT($B$5:$C$5)=2,A122&gt;=$B$5,A122&lt;=$C$5),"Additional leave",IF(AND(A122&gt;=$B$6,A122&lt;=$C$6),"Lunar New Year leave",IF(C122=1,"Working day","Weekend")))</x:f>
        <x:v>Working day</x:v>
      </x:c>
    </x:row>
    <x:row r="123" ht="23" customHeight="1">
      <x:c r="A123" s="5" t="n">
        <x:f>'Delivery Timeline'!$B$4+107</x:f>
        <x:v>46435</x:v>
      </x:c>
      <x:c r="B123" s="2" t="str">
        <x:f>CHOOSE(WEEKDAY(A123,2),"Mon","Tue","Wed","Thu","Fri","Sat","Sun")</x:f>
        <x:v>Wed</x:v>
      </x:c>
      <x:c r="C123" s="2" t="n">
        <x:f>IF(WEEKDAY(A123,2)&gt;5,0,IF(OR(AND(COUNT($B$5:$C$5)=2,A123&gt;=$B$5,A123&lt;=$C$5),AND(A123&gt;=$B$6,A123&lt;=$C$6)),0,1))</x:f>
        <x:v>1</x:v>
      </x:c>
      <x:c r="D123" s="2" t="n">
        <x:f>IF(C123=1,SUM($C$16:C123),"")</x:f>
        <x:v>70</x:v>
      </x:c>
      <x:c r="E123" s="2" t="n">
        <x:f>INT((A123-'Delivery Timeline'!$B$4)/7)+1</x:f>
        <x:v>16</x:v>
      </x:c>
      <x:c r="F123" s="2" t="str">
        <x:f>IF(AND(COUNT($B$5:$C$5)=2,A123&gt;=$B$5,A123&lt;=$C$5),"Additional leave",IF(AND(A123&gt;=$B$6,A123&lt;=$C$6),"Lunar New Year leave",IF(C123=1,"Working day","Weekend")))</x:f>
        <x:v>Working day</x:v>
      </x:c>
    </x:row>
    <x:row r="124" ht="23" customHeight="1">
      <x:c r="A124" s="5" t="n">
        <x:f>'Delivery Timeline'!$B$4+108</x:f>
        <x:v>46436</x:v>
      </x:c>
      <x:c r="B124" s="2" t="str">
        <x:f>CHOOSE(WEEKDAY(A124,2),"Mon","Tue","Wed","Thu","Fri","Sat","Sun")</x:f>
        <x:v>Thu</x:v>
      </x:c>
      <x:c r="C124" s="2" t="n">
        <x:f>IF(WEEKDAY(A124,2)&gt;5,0,IF(OR(AND(COUNT($B$5:$C$5)=2,A124&gt;=$B$5,A124&lt;=$C$5),AND(A124&gt;=$B$6,A124&lt;=$C$6)),0,1))</x:f>
        <x:v>1</x:v>
      </x:c>
      <x:c r="D124" s="2" t="n">
        <x:f>IF(C124=1,SUM($C$16:C124),"")</x:f>
        <x:v>71</x:v>
      </x:c>
      <x:c r="E124" s="2" t="n">
        <x:f>INT((A124-'Delivery Timeline'!$B$4)/7)+1</x:f>
        <x:v>16</x:v>
      </x:c>
      <x:c r="F124" s="2" t="str">
        <x:f>IF(AND(COUNT($B$5:$C$5)=2,A124&gt;=$B$5,A124&lt;=$C$5),"Additional leave",IF(AND(A124&gt;=$B$6,A124&lt;=$C$6),"Lunar New Year leave",IF(C124=1,"Working day","Weekend")))</x:f>
        <x:v>Working day</x:v>
      </x:c>
    </x:row>
    <x:row r="125" ht="23" customHeight="1">
      <x:c r="A125" s="5" t="n">
        <x:f>'Delivery Timeline'!$B$4+109</x:f>
        <x:v>46437</x:v>
      </x:c>
      <x:c r="B125" s="2" t="str">
        <x:f>CHOOSE(WEEKDAY(A125,2),"Mon","Tue","Wed","Thu","Fri","Sat","Sun")</x:f>
        <x:v>Fri</x:v>
      </x:c>
      <x:c r="C125" s="2" t="n">
        <x:f>IF(WEEKDAY(A125,2)&gt;5,0,IF(OR(AND(COUNT($B$5:$C$5)=2,A125&gt;=$B$5,A125&lt;=$C$5),AND(A125&gt;=$B$6,A125&lt;=$C$6)),0,1))</x:f>
        <x:v>1</x:v>
      </x:c>
      <x:c r="D125" s="2" t="n">
        <x:f>IF(C125=1,SUM($C$16:C125),"")</x:f>
        <x:v>72</x:v>
      </x:c>
      <x:c r="E125" s="2" t="n">
        <x:f>INT((A125-'Delivery Timeline'!$B$4)/7)+1</x:f>
        <x:v>16</x:v>
      </x:c>
      <x:c r="F125" s="2" t="str">
        <x:f>IF(AND(COUNT($B$5:$C$5)=2,A125&gt;=$B$5,A125&lt;=$C$5),"Additional leave",IF(AND(A125&gt;=$B$6,A125&lt;=$C$6),"Lunar New Year leave",IF(C125=1,"Working day","Weekend")))</x:f>
        <x:v>Working day</x:v>
      </x:c>
    </x:row>
    <x:row r="126" ht="23" customHeight="1">
      <x:c r="A126" s="5" t="n">
        <x:f>'Delivery Timeline'!$B$4+110</x:f>
        <x:v>46438</x:v>
      </x:c>
      <x:c r="B126" s="2" t="str">
        <x:f>CHOOSE(WEEKDAY(A126,2),"Mon","Tue","Wed","Thu","Fri","Sat","Sun")</x:f>
        <x:v>Sat</x:v>
      </x:c>
      <x:c r="C126" s="2" t="n">
        <x:f>IF(WEEKDAY(A126,2)&gt;5,0,IF(OR(AND(COUNT($B$5:$C$5)=2,A126&gt;=$B$5,A126&lt;=$C$5),AND(A126&gt;=$B$6,A126&lt;=$C$6)),0,1))</x:f>
        <x:v>0</x:v>
      </x:c>
      <x:c r="D126" s="2" t="str">
        <x:f>IF(C126=1,SUM($C$16:C126),"")</x:f>
      </x:c>
      <x:c r="E126" s="2" t="n">
        <x:f>INT((A126-'Delivery Timeline'!$B$4)/7)+1</x:f>
        <x:v>16</x:v>
      </x:c>
      <x:c r="F126" s="2" t="str">
        <x:f>IF(AND(COUNT($B$5:$C$5)=2,A126&gt;=$B$5,A126&lt;=$C$5),"Additional leave",IF(AND(A126&gt;=$B$6,A126&lt;=$C$6),"Lunar New Year leave",IF(C126=1,"Working day","Weekend")))</x:f>
        <x:v>Weekend</x:v>
      </x:c>
    </x:row>
    <x:row r="127" ht="23" customHeight="1">
      <x:c r="A127" s="5" t="n">
        <x:f>'Delivery Timeline'!$B$4+111</x:f>
        <x:v>46439</x:v>
      </x:c>
      <x:c r="B127" s="2" t="str">
        <x:f>CHOOSE(WEEKDAY(A127,2),"Mon","Tue","Wed","Thu","Fri","Sat","Sun")</x:f>
        <x:v>Sun</x:v>
      </x:c>
      <x:c r="C127" s="2" t="n">
        <x:f>IF(WEEKDAY(A127,2)&gt;5,0,IF(OR(AND(COUNT($B$5:$C$5)=2,A127&gt;=$B$5,A127&lt;=$C$5),AND(A127&gt;=$B$6,A127&lt;=$C$6)),0,1))</x:f>
        <x:v>0</x:v>
      </x:c>
      <x:c r="D127" s="2" t="str">
        <x:f>IF(C127=1,SUM($C$16:C127),"")</x:f>
      </x:c>
      <x:c r="E127" s="2" t="n">
        <x:f>INT((A127-'Delivery Timeline'!$B$4)/7)+1</x:f>
        <x:v>16</x:v>
      </x:c>
      <x:c r="F127" s="2" t="str">
        <x:f>IF(AND(COUNT($B$5:$C$5)=2,A127&gt;=$B$5,A127&lt;=$C$5),"Additional leave",IF(AND(A127&gt;=$B$6,A127&lt;=$C$6),"Lunar New Year leave",IF(C127=1,"Working day","Weekend")))</x:f>
        <x:v>Weekend</x:v>
      </x:c>
    </x:row>
    <x:row r="128" ht="23" customHeight="1">
      <x:c r="A128" s="5" t="n">
        <x:f>'Delivery Timeline'!$B$4+112</x:f>
        <x:v>46440</x:v>
      </x:c>
      <x:c r="B128" s="2" t="str">
        <x:f>CHOOSE(WEEKDAY(A128,2),"Mon","Tue","Wed","Thu","Fri","Sat","Sun")</x:f>
        <x:v>Mon</x:v>
      </x:c>
      <x:c r="C128" s="2" t="n">
        <x:f>IF(WEEKDAY(A128,2)&gt;5,0,IF(OR(AND(COUNT($B$5:$C$5)=2,A128&gt;=$B$5,A128&lt;=$C$5),AND(A128&gt;=$B$6,A128&lt;=$C$6)),0,1))</x:f>
        <x:v>1</x:v>
      </x:c>
      <x:c r="D128" s="2" t="n">
        <x:f>IF(C128=1,SUM($C$16:C128),"")</x:f>
        <x:v>73</x:v>
      </x:c>
      <x:c r="E128" s="2" t="n">
        <x:f>INT((A128-'Delivery Timeline'!$B$4)/7)+1</x:f>
        <x:v>17</x:v>
      </x:c>
      <x:c r="F128" s="2" t="str">
        <x:f>IF(AND(COUNT($B$5:$C$5)=2,A128&gt;=$B$5,A128&lt;=$C$5),"Additional leave",IF(AND(A128&gt;=$B$6,A128&lt;=$C$6),"Lunar New Year leave",IF(C128=1,"Working day","Weekend")))</x:f>
        <x:v>Working day</x:v>
      </x:c>
    </x:row>
    <x:row r="129" ht="23" customHeight="1">
      <x:c r="A129" s="5" t="n">
        <x:f>'Delivery Timeline'!$B$4+113</x:f>
        <x:v>46441</x:v>
      </x:c>
      <x:c r="B129" s="2" t="str">
        <x:f>CHOOSE(WEEKDAY(A129,2),"Mon","Tue","Wed","Thu","Fri","Sat","Sun")</x:f>
        <x:v>Tue</x:v>
      </x:c>
      <x:c r="C129" s="2" t="n">
        <x:f>IF(WEEKDAY(A129,2)&gt;5,0,IF(OR(AND(COUNT($B$5:$C$5)=2,A129&gt;=$B$5,A129&lt;=$C$5),AND(A129&gt;=$B$6,A129&lt;=$C$6)),0,1))</x:f>
        <x:v>1</x:v>
      </x:c>
      <x:c r="D129" s="2" t="n">
        <x:f>IF(C129=1,SUM($C$16:C129),"")</x:f>
        <x:v>74</x:v>
      </x:c>
      <x:c r="E129" s="2" t="n">
        <x:f>INT((A129-'Delivery Timeline'!$B$4)/7)+1</x:f>
        <x:v>17</x:v>
      </x:c>
      <x:c r="F129" s="2" t="str">
        <x:f>IF(AND(COUNT($B$5:$C$5)=2,A129&gt;=$B$5,A129&lt;=$C$5),"Additional leave",IF(AND(A129&gt;=$B$6,A129&lt;=$C$6),"Lunar New Year leave",IF(C129=1,"Working day","Weekend")))</x:f>
        <x:v>Working day</x:v>
      </x:c>
    </x:row>
    <x:row r="130" ht="23" customHeight="1">
      <x:c r="A130" s="5" t="n">
        <x:f>'Delivery Timeline'!$B$4+114</x:f>
        <x:v>46442</x:v>
      </x:c>
      <x:c r="B130" s="2" t="str">
        <x:f>CHOOSE(WEEKDAY(A130,2),"Mon","Tue","Wed","Thu","Fri","Sat","Sun")</x:f>
        <x:v>Wed</x:v>
      </x:c>
      <x:c r="C130" s="2" t="n">
        <x:f>IF(WEEKDAY(A130,2)&gt;5,0,IF(OR(AND(COUNT($B$5:$C$5)=2,A130&gt;=$B$5,A130&lt;=$C$5),AND(A130&gt;=$B$6,A130&lt;=$C$6)),0,1))</x:f>
        <x:v>1</x:v>
      </x:c>
      <x:c r="D130" s="2" t="n">
        <x:f>IF(C130=1,SUM($C$16:C130),"")</x:f>
        <x:v>75</x:v>
      </x:c>
      <x:c r="E130" s="2" t="n">
        <x:f>INT((A130-'Delivery Timeline'!$B$4)/7)+1</x:f>
        <x:v>17</x:v>
      </x:c>
      <x:c r="F130" s="2" t="str">
        <x:f>IF(AND(COUNT($B$5:$C$5)=2,A130&gt;=$B$5,A130&lt;=$C$5),"Additional leave",IF(AND(A130&gt;=$B$6,A130&lt;=$C$6),"Lunar New Year leave",IF(C130=1,"Working day","Weekend")))</x:f>
        <x:v>Working day</x:v>
      </x:c>
    </x:row>
    <x:row r="131" ht="23" customHeight="1">
      <x:c r="A131" s="5" t="n">
        <x:f>'Delivery Timeline'!$B$4+115</x:f>
        <x:v>46443</x:v>
      </x:c>
      <x:c r="B131" s="2" t="str">
        <x:f>CHOOSE(WEEKDAY(A131,2),"Mon","Tue","Wed","Thu","Fri","Sat","Sun")</x:f>
        <x:v>Thu</x:v>
      </x:c>
      <x:c r="C131" s="2" t="n">
        <x:f>IF(WEEKDAY(A131,2)&gt;5,0,IF(OR(AND(COUNT($B$5:$C$5)=2,A131&gt;=$B$5,A131&lt;=$C$5),AND(A131&gt;=$B$6,A131&lt;=$C$6)),0,1))</x:f>
        <x:v>1</x:v>
      </x:c>
      <x:c r="D131" s="2" t="n">
        <x:f>IF(C131=1,SUM($C$16:C131),"")</x:f>
        <x:v>76</x:v>
      </x:c>
      <x:c r="E131" s="2" t="n">
        <x:f>INT((A131-'Delivery Timeline'!$B$4)/7)+1</x:f>
        <x:v>17</x:v>
      </x:c>
      <x:c r="F131" s="2" t="str">
        <x:f>IF(AND(COUNT($B$5:$C$5)=2,A131&gt;=$B$5,A131&lt;=$C$5),"Additional leave",IF(AND(A131&gt;=$B$6,A131&lt;=$C$6),"Lunar New Year leave",IF(C131=1,"Working day","Weekend")))</x:f>
        <x:v>Working day</x:v>
      </x:c>
    </x:row>
    <x:row r="132" ht="23" customHeight="1">
      <x:c r="A132" s="5" t="n">
        <x:f>'Delivery Timeline'!$B$4+116</x:f>
        <x:v>46444</x:v>
      </x:c>
      <x:c r="B132" s="2" t="str">
        <x:f>CHOOSE(WEEKDAY(A132,2),"Mon","Tue","Wed","Thu","Fri","Sat","Sun")</x:f>
        <x:v>Fri</x:v>
      </x:c>
      <x:c r="C132" s="2" t="n">
        <x:f>IF(WEEKDAY(A132,2)&gt;5,0,IF(OR(AND(COUNT($B$5:$C$5)=2,A132&gt;=$B$5,A132&lt;=$C$5),AND(A132&gt;=$B$6,A132&lt;=$C$6)),0,1))</x:f>
        <x:v>1</x:v>
      </x:c>
      <x:c r="D132" s="2" t="n">
        <x:f>IF(C132=1,SUM($C$16:C132),"")</x:f>
        <x:v>77</x:v>
      </x:c>
      <x:c r="E132" s="2" t="n">
        <x:f>INT((A132-'Delivery Timeline'!$B$4)/7)+1</x:f>
        <x:v>17</x:v>
      </x:c>
      <x:c r="F132" s="2" t="str">
        <x:f>IF(AND(COUNT($B$5:$C$5)=2,A132&gt;=$B$5,A132&lt;=$C$5),"Additional leave",IF(AND(A132&gt;=$B$6,A132&lt;=$C$6),"Lunar New Year leave",IF(C132=1,"Working day","Weekend")))</x:f>
        <x:v>Working day</x:v>
      </x:c>
    </x:row>
    <x:row r="133" ht="23" customHeight="1">
      <x:c r="A133" s="5" t="n">
        <x:f>'Delivery Timeline'!$B$4+117</x:f>
        <x:v>46445</x:v>
      </x:c>
      <x:c r="B133" s="2" t="str">
        <x:f>CHOOSE(WEEKDAY(A133,2),"Mon","Tue","Wed","Thu","Fri","Sat","Sun")</x:f>
        <x:v>Sat</x:v>
      </x:c>
      <x:c r="C133" s="2" t="n">
        <x:f>IF(WEEKDAY(A133,2)&gt;5,0,IF(OR(AND(COUNT($B$5:$C$5)=2,A133&gt;=$B$5,A133&lt;=$C$5),AND(A133&gt;=$B$6,A133&lt;=$C$6)),0,1))</x:f>
        <x:v>0</x:v>
      </x:c>
      <x:c r="D133" s="2" t="str">
        <x:f>IF(C133=1,SUM($C$16:C133),"")</x:f>
      </x:c>
      <x:c r="E133" s="2" t="n">
        <x:f>INT((A133-'Delivery Timeline'!$B$4)/7)+1</x:f>
        <x:v>17</x:v>
      </x:c>
      <x:c r="F133" s="2" t="str">
        <x:f>IF(AND(COUNT($B$5:$C$5)=2,A133&gt;=$B$5,A133&lt;=$C$5),"Additional leave",IF(AND(A133&gt;=$B$6,A133&lt;=$C$6),"Lunar New Year leave",IF(C133=1,"Working day","Weekend")))</x:f>
        <x:v>Weekend</x:v>
      </x:c>
    </x:row>
    <x:row r="134" ht="23" customHeight="1">
      <x:c r="A134" s="5" t="n">
        <x:f>'Delivery Timeline'!$B$4+118</x:f>
        <x:v>46446</x:v>
      </x:c>
      <x:c r="B134" s="2" t="str">
        <x:f>CHOOSE(WEEKDAY(A134,2),"Mon","Tue","Wed","Thu","Fri","Sat","Sun")</x:f>
        <x:v>Sun</x:v>
      </x:c>
      <x:c r="C134" s="2" t="n">
        <x:f>IF(WEEKDAY(A134,2)&gt;5,0,IF(OR(AND(COUNT($B$5:$C$5)=2,A134&gt;=$B$5,A134&lt;=$C$5),AND(A134&gt;=$B$6,A134&lt;=$C$6)),0,1))</x:f>
        <x:v>0</x:v>
      </x:c>
      <x:c r="D134" s="2" t="str">
        <x:f>IF(C134=1,SUM($C$16:C134),"")</x:f>
      </x:c>
      <x:c r="E134" s="2" t="n">
        <x:f>INT((A134-'Delivery Timeline'!$B$4)/7)+1</x:f>
        <x:v>17</x:v>
      </x:c>
      <x:c r="F134" s="2" t="str">
        <x:f>IF(AND(COUNT($B$5:$C$5)=2,A134&gt;=$B$5,A134&lt;=$C$5),"Additional leave",IF(AND(A134&gt;=$B$6,A134&lt;=$C$6),"Lunar New Year leave",IF(C134=1,"Working day","Weekend")))</x:f>
        <x:v>Weekend</x:v>
      </x:c>
    </x:row>
    <x:row r="135" ht="23" customHeight="1">
      <x:c r="A135" s="5" t="n">
        <x:f>'Delivery Timeline'!$B$4+119</x:f>
        <x:v>46447</x:v>
      </x:c>
      <x:c r="B135" s="2" t="str">
        <x:f>CHOOSE(WEEKDAY(A135,2),"Mon","Tue","Wed","Thu","Fri","Sat","Sun")</x:f>
        <x:v>Mon</x:v>
      </x:c>
      <x:c r="C135" s="2" t="n">
        <x:f>IF(WEEKDAY(A135,2)&gt;5,0,IF(OR(AND(COUNT($B$5:$C$5)=2,A135&gt;=$B$5,A135&lt;=$C$5),AND(A135&gt;=$B$6,A135&lt;=$C$6)),0,1))</x:f>
        <x:v>1</x:v>
      </x:c>
      <x:c r="D135" s="2" t="n">
        <x:f>IF(C135=1,SUM($C$16:C135),"")</x:f>
        <x:v>78</x:v>
      </x:c>
      <x:c r="E135" s="2" t="n">
        <x:f>INT((A135-'Delivery Timeline'!$B$4)/7)+1</x:f>
        <x:v>18</x:v>
      </x:c>
      <x:c r="F135" s="2" t="str">
        <x:f>IF(AND(COUNT($B$5:$C$5)=2,A135&gt;=$B$5,A135&lt;=$C$5),"Additional leave",IF(AND(A135&gt;=$B$6,A135&lt;=$C$6),"Lunar New Year leave",IF(C135=1,"Working day","Weekend")))</x:f>
        <x:v>Working day</x:v>
      </x:c>
    </x:row>
    <x:row r="136" ht="23" customHeight="1">
      <x:c r="A136" s="5" t="n">
        <x:f>'Delivery Timeline'!$B$4+120</x:f>
        <x:v>46448</x:v>
      </x:c>
      <x:c r="B136" s="2" t="str">
        <x:f>CHOOSE(WEEKDAY(A136,2),"Mon","Tue","Wed","Thu","Fri","Sat","Sun")</x:f>
        <x:v>Tue</x:v>
      </x:c>
      <x:c r="C136" s="2" t="n">
        <x:f>IF(WEEKDAY(A136,2)&gt;5,0,IF(OR(AND(COUNT($B$5:$C$5)=2,A136&gt;=$B$5,A136&lt;=$C$5),AND(A136&gt;=$B$6,A136&lt;=$C$6)),0,1))</x:f>
        <x:v>1</x:v>
      </x:c>
      <x:c r="D136" s="2" t="n">
        <x:f>IF(C136=1,SUM($C$16:C136),"")</x:f>
        <x:v>79</x:v>
      </x:c>
      <x:c r="E136" s="2" t="n">
        <x:f>INT((A136-'Delivery Timeline'!$B$4)/7)+1</x:f>
        <x:v>18</x:v>
      </x:c>
      <x:c r="F136" s="2" t="str">
        <x:f>IF(AND(COUNT($B$5:$C$5)=2,A136&gt;=$B$5,A136&lt;=$C$5),"Additional leave",IF(AND(A136&gt;=$B$6,A136&lt;=$C$6),"Lunar New Year leave",IF(C136=1,"Working day","Weekend")))</x:f>
        <x:v>Working day</x:v>
      </x:c>
    </x:row>
    <x:row r="137" ht="23" customHeight="1">
      <x:c r="A137" s="5" t="n">
        <x:f>'Delivery Timeline'!$B$4+121</x:f>
        <x:v>46449</x:v>
      </x:c>
      <x:c r="B137" s="2" t="str">
        <x:f>CHOOSE(WEEKDAY(A137,2),"Mon","Tue","Wed","Thu","Fri","Sat","Sun")</x:f>
        <x:v>Wed</x:v>
      </x:c>
      <x:c r="C137" s="2" t="n">
        <x:f>IF(WEEKDAY(A137,2)&gt;5,0,IF(OR(AND(COUNT($B$5:$C$5)=2,A137&gt;=$B$5,A137&lt;=$C$5),AND(A137&gt;=$B$6,A137&lt;=$C$6)),0,1))</x:f>
        <x:v>1</x:v>
      </x:c>
      <x:c r="D137" s="2" t="n">
        <x:f>IF(C137=1,SUM($C$16:C137),"")</x:f>
        <x:v>80</x:v>
      </x:c>
      <x:c r="E137" s="2" t="n">
        <x:f>INT((A137-'Delivery Timeline'!$B$4)/7)+1</x:f>
        <x:v>18</x:v>
      </x:c>
      <x:c r="F137" s="2" t="str">
        <x:f>IF(AND(COUNT($B$5:$C$5)=2,A137&gt;=$B$5,A137&lt;=$C$5),"Additional leave",IF(AND(A137&gt;=$B$6,A137&lt;=$C$6),"Lunar New Year leave",IF(C137=1,"Working day","Weekend")))</x:f>
        <x:v>Working day</x:v>
      </x:c>
    </x:row>
    <x:row r="138" ht="23" customHeight="1">
      <x:c r="A138" s="5" t="n">
        <x:f>'Delivery Timeline'!$B$4+122</x:f>
        <x:v>46450</x:v>
      </x:c>
      <x:c r="B138" s="2" t="str">
        <x:f>CHOOSE(WEEKDAY(A138,2),"Mon","Tue","Wed","Thu","Fri","Sat","Sun")</x:f>
        <x:v>Thu</x:v>
      </x:c>
      <x:c r="C138" s="2" t="n">
        <x:f>IF(WEEKDAY(A138,2)&gt;5,0,IF(OR(AND(COUNT($B$5:$C$5)=2,A138&gt;=$B$5,A138&lt;=$C$5),AND(A138&gt;=$B$6,A138&lt;=$C$6)),0,1))</x:f>
        <x:v>1</x:v>
      </x:c>
      <x:c r="D138" s="2" t="n">
        <x:f>IF(C138=1,SUM($C$16:C138),"")</x:f>
        <x:v>81</x:v>
      </x:c>
      <x:c r="E138" s="2" t="n">
        <x:f>INT((A138-'Delivery Timeline'!$B$4)/7)+1</x:f>
        <x:v>18</x:v>
      </x:c>
      <x:c r="F138" s="2" t="str">
        <x:f>IF(AND(COUNT($B$5:$C$5)=2,A138&gt;=$B$5,A138&lt;=$C$5),"Additional leave",IF(AND(A138&gt;=$B$6,A138&lt;=$C$6),"Lunar New Year leave",IF(C138=1,"Working day","Weekend")))</x:f>
        <x:v>Working day</x:v>
      </x:c>
    </x:row>
    <x:row r="139" ht="23" customHeight="1">
      <x:c r="A139" s="5" t="n">
        <x:f>'Delivery Timeline'!$B$4+123</x:f>
        <x:v>46451</x:v>
      </x:c>
      <x:c r="B139" s="2" t="str">
        <x:f>CHOOSE(WEEKDAY(A139,2),"Mon","Tue","Wed","Thu","Fri","Sat","Sun")</x:f>
        <x:v>Fri</x:v>
      </x:c>
      <x:c r="C139" s="2" t="n">
        <x:f>IF(WEEKDAY(A139,2)&gt;5,0,IF(OR(AND(COUNT($B$5:$C$5)=2,A139&gt;=$B$5,A139&lt;=$C$5),AND(A139&gt;=$B$6,A139&lt;=$C$6)),0,1))</x:f>
        <x:v>1</x:v>
      </x:c>
      <x:c r="D139" s="2" t="n">
        <x:f>IF(C139=1,SUM($C$16:C139),"")</x:f>
        <x:v>82</x:v>
      </x:c>
      <x:c r="E139" s="2" t="n">
        <x:f>INT((A139-'Delivery Timeline'!$B$4)/7)+1</x:f>
        <x:v>18</x:v>
      </x:c>
      <x:c r="F139" s="2" t="str">
        <x:f>IF(AND(COUNT($B$5:$C$5)=2,A139&gt;=$B$5,A139&lt;=$C$5),"Additional leave",IF(AND(A139&gt;=$B$6,A139&lt;=$C$6),"Lunar New Year leave",IF(C139=1,"Working day","Weekend")))</x:f>
        <x:v>Working day</x:v>
      </x:c>
    </x:row>
    <x:row r="140" ht="23" customHeight="1">
      <x:c r="A140" s="5" t="n">
        <x:f>'Delivery Timeline'!$B$4+124</x:f>
        <x:v>46452</x:v>
      </x:c>
      <x:c r="B140" s="2" t="str">
        <x:f>CHOOSE(WEEKDAY(A140,2),"Mon","Tue","Wed","Thu","Fri","Sat","Sun")</x:f>
        <x:v>Sat</x:v>
      </x:c>
      <x:c r="C140" s="2" t="n">
        <x:f>IF(WEEKDAY(A140,2)&gt;5,0,IF(OR(AND(COUNT($B$5:$C$5)=2,A140&gt;=$B$5,A140&lt;=$C$5),AND(A140&gt;=$B$6,A140&lt;=$C$6)),0,1))</x:f>
        <x:v>0</x:v>
      </x:c>
      <x:c r="D140" s="2" t="str">
        <x:f>IF(C140=1,SUM($C$16:C140),"")</x:f>
      </x:c>
      <x:c r="E140" s="2" t="n">
        <x:f>INT((A140-'Delivery Timeline'!$B$4)/7)+1</x:f>
        <x:v>18</x:v>
      </x:c>
      <x:c r="F140" s="2" t="str">
        <x:f>IF(AND(COUNT($B$5:$C$5)=2,A140&gt;=$B$5,A140&lt;=$C$5),"Additional leave",IF(AND(A140&gt;=$B$6,A140&lt;=$C$6),"Lunar New Year leave",IF(C140=1,"Working day","Weekend")))</x:f>
        <x:v>Weekend</x:v>
      </x:c>
    </x:row>
    <x:row r="141" ht="23" customHeight="1">
      <x:c r="A141" s="5" t="n">
        <x:f>'Delivery Timeline'!$B$4+125</x:f>
        <x:v>46453</x:v>
      </x:c>
      <x:c r="B141" s="2" t="str">
        <x:f>CHOOSE(WEEKDAY(A141,2),"Mon","Tue","Wed","Thu","Fri","Sat","Sun")</x:f>
        <x:v>Sun</x:v>
      </x:c>
      <x:c r="C141" s="2" t="n">
        <x:f>IF(WEEKDAY(A141,2)&gt;5,0,IF(OR(AND(COUNT($B$5:$C$5)=2,A141&gt;=$B$5,A141&lt;=$C$5),AND(A141&gt;=$B$6,A141&lt;=$C$6)),0,1))</x:f>
        <x:v>0</x:v>
      </x:c>
      <x:c r="D141" s="2" t="str">
        <x:f>IF(C141=1,SUM($C$16:C141),"")</x:f>
      </x:c>
      <x:c r="E141" s="2" t="n">
        <x:f>INT((A141-'Delivery Timeline'!$B$4)/7)+1</x:f>
        <x:v>18</x:v>
      </x:c>
      <x:c r="F141" s="2" t="str">
        <x:f>IF(AND(COUNT($B$5:$C$5)=2,A141&gt;=$B$5,A141&lt;=$C$5),"Additional leave",IF(AND(A141&gt;=$B$6,A141&lt;=$C$6),"Lunar New Year leave",IF(C141=1,"Working day","Weekend")))</x:f>
        <x:v>Weekend</x:v>
      </x:c>
    </x:row>
  </x:sheetData>
  <x:conditionalFormatting sqref="A16:F141">
    <x:cfRule type="expression" dxfId="24" priority="1">
      <x:formula>$C16=0</x:formula>
    </x:cfRule>
  </x:conditionalFormatting>
  <x:pageMargins left="0.7" right="0.7" top="0.75" bottom="0.75" header="0.3" footer="0.3"/>
</x:worksheet>
</file>