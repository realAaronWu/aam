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34545998549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ivery Timeline" sheetId="1" r:id="R85c5e644e33a4719"/>
    <x:sheet xmlns:r="http://schemas.openxmlformats.org/officeDocument/2006/relationships" name="Task Plan" sheetId="2" r:id="R2f2a90a62b094f5b"/>
    <x:sheet xmlns:r="http://schemas.openxmlformats.org/officeDocument/2006/relationships" name="Team and Gates" sheetId="3" r:id="R663d8e0bed8a4f43"/>
    <x:sheet xmlns:r="http://schemas.openxmlformats.org/officeDocument/2006/relationships" name="Calendar" sheetId="4" r:id="R54df3373defb4a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$#,##0;($#,##0);&quot;–&quot;"/>
    <x:numFmt numFmtId="202" formatCode="0.0"/>
    <x:numFmt numFmtId="203" formatCode="mm/dd"/>
    <x:numFmt numFmtId="204" formatCode=";;;"/>
    <x:numFmt numFmtId="205" formatCode="0%"/>
    <x:numFmt numFmtId="206" formatCode="0.0;-0.0;;"/>
  </x:numFmts>
  <x:fonts count="16">
    <x:font>
      <x:sz val="11"/>
      <x:name val="Carlito"/>
    </x:font>
    <x:font>
      <x:sz val="11"/>
      <x:color rgb="FF1E293B"/>
      <x:name val="Arial"/>
    </x:font>
    <x:font>
      <x:b/>
      <x:sz val="16"/>
      <x:color rgb="FF0F172A"/>
      <x:name val="Arial"/>
    </x:font>
    <x:font>
      <x:sz val="11"/>
      <x:color rgb="FF1D4ED8"/>
      <x:name val="Arial"/>
    </x:font>
    <x:font>
      <x:b/>
      <x:sz val="11"/>
      <x:color rgb="FFFFFFFF"/>
      <x:name val="Arial"/>
    </x:font>
    <x:font>
      <x:b/>
      <x:sz val="11"/>
      <x:color rgb="FF2563EB"/>
      <x:name val="Arial"/>
    </x:font>
    <x:font>
      <x:b/>
      <x:sz val="11"/>
      <x:color rgb="FF0F766E"/>
      <x:name val="Arial"/>
    </x:font>
    <x:font>
      <x:b/>
      <x:sz val="11"/>
      <x:color rgb="FF9333EA"/>
      <x:name val="Arial"/>
    </x:font>
    <x:font>
      <x:b/>
      <x:sz val="11"/>
      <x:color rgb="FF475569"/>
      <x:name val="Arial"/>
    </x:font>
    <x:font>
      <x:b/>
      <x:sz val="11"/>
      <x:color rgb="FFD97706"/>
      <x:name val="Arial"/>
    </x:font>
    <x:font>
      <x:b/>
      <x:sz val="11"/>
      <x:color rgb="FFDB2777"/>
      <x:name val="Arial"/>
    </x:font>
    <x:font>
      <x:b/>
      <x:sz val="11"/>
      <x:color rgb="FF334155"/>
      <x:name val="Arial"/>
    </x:font>
    <x:font>
      <x:b/>
      <x:sz val="11"/>
      <x:color rgb="FF64748B"/>
      <x:name val="Arial"/>
    </x:font>
    <x:font>
      <x:sz val="11"/>
      <x:color rgb="FF166534"/>
      <x:name val="Arial"/>
    </x:font>
    <x:font>
      <x:b/>
      <x:sz val="11"/>
      <x:color rgb="FF1E293B"/>
      <x:name val="Arial"/>
    </x:font>
    <x:font>
      <x:sz val="11"/>
      <x:color rgb="FF475569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FFF4CC"/>
      </x:patternFill>
    </x:fill>
    <x:fill>
      <x:patternFill patternType="solid">
        <x:fgColor rgb="FF1E3A5F"/>
      </x:patternFill>
    </x:fill>
    <x:fill>
      <x:patternFill patternType="solid">
        <x:fgColor rgb="FFF1F5F9"/>
      </x:patternFill>
    </x:fill>
    <x:fill>
      <x:patternFill patternType="solid">
        <x:fgColor rgb="FFDBEAFE"/>
      </x:patternFill>
    </x:fill>
    <x:fill>
      <x:patternFill patternType="solid">
        <x:fgColor rgb="FFCCFBF1"/>
      </x:patternFill>
    </x:fill>
    <x:fill>
      <x:patternFill patternType="solid">
        <x:fgColor rgb="FFF3E8FF"/>
      </x:patternFill>
    </x:fill>
    <x:fill>
      <x:patternFill patternType="solid">
        <x:fgColor rgb="FFE2E8F0"/>
      </x:patternFill>
    </x:fill>
    <x:fill>
      <x:patternFill patternType="solid">
        <x:fgColor rgb="FFFEF3C7"/>
      </x:patternFill>
    </x:fill>
    <x:fill>
      <x:patternFill patternType="solid">
        <x:fgColor rgb="FFFCE7F3"/>
      </x:patternFill>
    </x:fill>
    <x:fill>
      <x:patternFill patternType="solid">
        <x:fgColor rgb="FFF8FAF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horizontal="center" vertical="center"/>
    </x:xf>
    <x:xf numFmtId="0" fontId="1" fillId="11" borderId="0" xfId="0" applyNumberFormat="1" applyFont="1" applyFill="1" applyBorder="1" applyAlignment="1">
      <x:alignment vertical="center"/>
    </x:xf>
    <x:xf numFmtId="0" fontId="12" fillId="8" borderId="0" xfId="0" applyNumberFormat="1" applyFont="1" applyFill="1" applyBorder="1" applyAlignment="1">
      <x:alignment vertical="center"/>
    </x:xf>
    <x:xf numFmtId="200" fontId="1" fillId="11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11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2" fontId="1" fillId="11" borderId="0" xfId="0" applyNumberFormat="1" applyFont="1" applyFill="1" applyBorder="1" applyAlignment="1">
      <x:alignment vertical="center"/>
    </x:xf>
    <x:xf numFmtId="201" fontId="1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205" fontId="1" fillId="2" borderId="0" xfId="0" applyNumberFormat="1" applyFont="1" applyFill="1" applyBorder="1" applyAlignment="1">
      <x:alignment vertical="center"/>
    </x:xf>
    <x:xf numFmtId="205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0" fontId="14" fillId="8" borderId="0" xfId="0" applyNumberFormat="1" applyFont="1" applyFill="1" applyBorder="1" applyAlignment="1">
      <x:alignment vertical="center"/>
    </x:xf>
    <x:xf numFmtId="201" fontId="14" fillId="8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2" fontId="3" fillId="2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4">
    <x:dxf>
      <x:font>
        <x:b/>
        <x:color rgb="FFFFFFFF"/>
      </x:font>
      <x:fill>
        <x:patternFill patternType="solid">
          <x:bgColor rgb="FF2563EB"/>
        </x:patternFill>
      </x:fill>
    </x:dxf>
    <x:dxf>
      <x:font>
        <x:b/>
        <x:color rgb="FFFFFFFF"/>
      </x:font>
      <x:fill>
        <x:patternFill patternType="solid">
          <x:bgColor rgb="FF0F766E"/>
        </x:patternFill>
      </x:fill>
    </x:dxf>
    <x:dxf>
      <x:font>
        <x:b/>
        <x:color rgb="FFFFFFFF"/>
      </x:font>
      <x:fill>
        <x:patternFill patternType="solid">
          <x:bgColor rgb="FF2563EB"/>
        </x:patternFill>
      </x:fill>
    </x:dxf>
    <x:dxf>
      <x:font>
        <x:b/>
        <x:color rgb="FFFFFFFF"/>
      </x:font>
      <x:fill>
        <x:patternFill patternType="solid">
          <x:bgColor rgb="FF2563EB"/>
        </x:patternFill>
      </x:fill>
    </x:dxf>
    <x:dxf>
      <x:font>
        <x:b/>
        <x:color rgb="FFFFFFFF"/>
      </x:font>
      <x:fill>
        <x:patternFill patternType="solid">
          <x:bgColor rgb="FF2563EB"/>
        </x:patternFill>
      </x:fill>
    </x:dxf>
    <x:dxf>
      <x:font>
        <x:b/>
        <x:color rgb="FFFFFFFF"/>
      </x:font>
      <x:fill>
        <x:patternFill patternType="solid">
          <x:bgColor rgb="FF9333EA"/>
        </x:patternFill>
      </x:fill>
    </x:dxf>
    <x:dxf>
      <x:font>
        <x:b/>
        <x:color rgb="FFFFFFFF"/>
      </x:font>
      <x:fill>
        <x:patternFill patternType="solid">
          <x:bgColor rgb="FF475569"/>
        </x:patternFill>
      </x:fill>
    </x:dxf>
    <x:dxf>
      <x:font>
        <x:b/>
        <x:color rgb="FFFFFFFF"/>
      </x:font>
      <x:fill>
        <x:patternFill patternType="solid">
          <x:bgColor rgb="FF9333EA"/>
        </x:patternFill>
      </x:fill>
    </x:dxf>
    <x:dxf>
      <x:font>
        <x:b/>
        <x:color rgb="FFFFFFFF"/>
      </x:font>
      <x:fill>
        <x:patternFill patternType="solid">
          <x:bgColor rgb="FF9333EA"/>
        </x:patternFill>
      </x:fill>
    </x:dxf>
    <x:dxf>
      <x:font>
        <x:b/>
        <x:color rgb="FFFFFFFF"/>
      </x:font>
      <x:fill>
        <x:patternFill patternType="solid">
          <x:bgColor rgb="FFD97706"/>
        </x:patternFill>
      </x:fill>
    </x:dxf>
    <x:dxf>
      <x:font>
        <x:b/>
        <x:color rgb="FFFFFFFF"/>
      </x:font>
      <x:fill>
        <x:patternFill patternType="solid">
          <x:bgColor rgb="FFDB2777"/>
        </x:patternFill>
      </x:fill>
    </x:dxf>
    <x:dxf>
      <x:font>
        <x:b/>
        <x:color rgb="FFFFFFFF"/>
      </x:font>
      <x:fill>
        <x:patternFill patternType="solid">
          <x:bgColor rgb="FFD97706"/>
        </x:patternFill>
      </x:fill>
    </x:dxf>
    <x:dxf>
      <x:font>
        <x:b/>
        <x:color rgb="FFFFFFFF"/>
      </x:font>
      <x:fill>
        <x:patternFill patternType="solid">
          <x:bgColor rgb="FFDB2777"/>
        </x:patternFill>
      </x:fill>
    </x:dxf>
    <x:dxf>
      <x:font>
        <x:b/>
        <x:color rgb="FFFFFFFF"/>
      </x:font>
      <x:fill>
        <x:patternFill patternType="solid">
          <x:bgColor rgb="FFDB2777"/>
        </x:patternFill>
      </x:fill>
    </x:dxf>
    <x:dxf>
      <x:font>
        <x:b/>
        <x:color rgb="FFFFFFFF"/>
      </x:font>
      <x:fill>
        <x:patternFill patternType="solid">
          <x:bgColor rgb="FF2563EB"/>
        </x:patternFill>
      </x:fill>
    </x:dxf>
    <x:dxf>
      <x:font>
        <x:b/>
        <x:color rgb="FFFFFFFF"/>
      </x:font>
      <x:fill>
        <x:patternFill patternType="solid">
          <x:bgColor rgb="FFD97706"/>
        </x:patternFill>
      </x:fill>
    </x:dxf>
    <x:dxf>
      <x:font>
        <x:b/>
        <x:color rgb="FFFFFFFF"/>
      </x:font>
      <x:fill>
        <x:patternFill patternType="solid">
          <x:bgColor rgb="FF0F766E"/>
        </x:patternFill>
      </x:fill>
    </x:dxf>
    <x:dxf>
      <x:fill>
        <x:patternFill patternType="solid">
          <x:bgColor rgb="FFE5E7EB"/>
        </x:patternFill>
      </x:fill>
    </x:dxf>
    <x:dxf>
      <x:font>
        <x:color rgb="FF64748B"/>
      </x:font>
      <x:fill>
        <x:patternFill patternType="solid">
          <x:bgColor rgb="FFF1F5F9"/>
        </x:patternFill>
      </x:fill>
    </x:dxf>
    <x:dxf>
      <x:font>
        <x:b/>
        <x:color rgb="FFFFFFFF"/>
      </x:font>
      <x:fill>
        <x:patternFill patternType="solid">
          <x:bgColor rgb="FF2563EB"/>
        </x:patternFill>
      </x:fill>
    </x:dxf>
    <x:dxf>
      <x:font>
        <x:b/>
        <x:color rgb="FFFFFFFF"/>
      </x:font>
      <x:fill>
        <x:patternFill patternType="solid">
          <x:bgColor rgb="FF0F766E"/>
        </x:patternFill>
      </x:fill>
    </x:dxf>
    <x:dxf>
      <x:font>
        <x:b/>
        <x:color rgb="FFFFFFFF"/>
      </x:font>
      <x:fill>
        <x:patternFill patternType="solid">
          <x:bgColor rgb="FF9333EA"/>
        </x:patternFill>
      </x:fill>
    </x:dxf>
    <x:dxf>
      <x:font>
        <x:b/>
        <x:color rgb="FFFFFFFF"/>
      </x:font>
      <x:fill>
        <x:patternFill patternType="solid">
          <x:bgColor rgb="FFD97706"/>
        </x:patternFill>
      </x:fill>
    </x:dxf>
    <x:dxf>
      <x:font>
        <x:b/>
        <x:color rgb="FFFFFFFF"/>
      </x:font>
      <x:fill>
        <x:patternFill patternType="solid">
          <x:bgColor rgb="FFDB2777"/>
        </x:patternFill>
      </x:fill>
    </x:dxf>
    <x:dxf>
      <x:font>
        <x:b/>
        <x:color rgb="FFFFFFFF"/>
      </x:font>
      <x:fill>
        <x:patternFill patternType="solid">
          <x:bgColor rgb="FF64748B"/>
        </x:patternFill>
      </x:fill>
    </x:dxf>
    <x:dxf>
      <x:font>
        <x:b/>
        <x:color rgb="FFFFFFFF"/>
      </x:font>
      <x:fill>
        <x:patternFill patternType="solid">
          <x:bgColor rgb="FF64748B"/>
        </x:patternFill>
      </x:fill>
    </x:dxf>
    <x:dxf>
      <x:fill>
        <x:patternFill patternType="solid">
          <x:bgColor rgb="FFE5E7EB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ill>
        <x:patternFill patternType="solid">
          <x:bgColor rgb="FFE5E7EB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ill>
        <x:patternFill patternType="solid">
          <x:bgColor rgb="FFE5E7EB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ill>
        <x:patternFill patternType="solid">
          <x:bgColor rgb="FFE5E7EB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ill>
        <x:patternFill patternType="solid">
          <x:bgColor rgb="FFE5E7EB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ill>
        <x:patternFill patternType="solid">
          <x:bgColor rgb="FFE5E7EB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  <x:dxf>
      <x:font>
        <x:b/>
        <x:color rgb="FFFFFFFF"/>
      </x:font>
      <x:fill>
        <x:patternFill patternType="solid">
          <x:bgColor rgb="FF33415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401f373e584ec2" /><Relationship Type="http://schemas.openxmlformats.org/officeDocument/2006/relationships/theme" Target="/xl/theme/theme1.xml" Id="Rd6ad7f10f2124290" /><Relationship Type="http://schemas.openxmlformats.org/officeDocument/2006/relationships/sharedStrings" Target="/xl/sharedStrings.xml" Id="R42f44b1afb4e4447" /><Relationship Type="http://schemas.openxmlformats.org/officeDocument/2006/relationships/worksheet" Target="/xl/worksheets/sheet1.xml" Id="R85c5e644e33a4719" /><Relationship Type="http://schemas.openxmlformats.org/officeDocument/2006/relationships/worksheet" Target="/xl/worksheets/sheet2.xml" Id="R2f2a90a62b094f5b" /><Relationship Type="http://schemas.openxmlformats.org/officeDocument/2006/relationships/worksheet" Target="/xl/worksheets/sheet3.xml" Id="R663d8e0bed8a4f43" /><Relationship Type="http://schemas.openxmlformats.org/officeDocument/2006/relationships/worksheet" Target="/xl/worksheets/sheet4.xml" Id="R54df3373defb4a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11" topLeftCell="D12" activePane="bottomRight" state="frozen"/>
    </x:sheetView>
  </x:sheetViews>
  <x:sheetFormatPr defaultRowHeight="15"/>
  <x:cols>
    <x:col min="1" max="1" width="10" hidden="0" customWidth="1"/>
    <x:col min="2" max="2" width="47" hidden="0" customWidth="1"/>
    <x:col min="3" max="3" width="18" hidden="0" customWidth="1"/>
    <x:col min="4" max="4" width="13" hidden="0" customWidth="1"/>
    <x:col min="5" max="5" width="13" hidden="0" customWidth="1"/>
    <x:col min="6" max="6" width="3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>
      <x:c r="A2" s="3" t="str">
        <x:v>AAM Delivery Plan: November 2026 to February 2027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</x:row>
    <x:row r="4">
      <x:c r="A4" s="2" t="str">
        <x:v>Start</x:v>
      </x:c>
      <x:c r="B4" s="7" t="d">
        <x:v>2026-11-02T00:00:00.000Z</x:v>
      </x:c>
      <x:c r="C4" s="2"/>
      <x:c r="D4" s="2" t="str">
        <x:v>Deadline</x:v>
      </x:c>
      <x:c r="E4" s="7" t="d">
        <x:v>2027-02-26T00:00:00.000Z</x:v>
      </x:c>
      <x:c r="F4" s="2"/>
      <x:c r="G4" s="2" t="str">
        <x:v>Go-live</x:v>
      </x:c>
      <x:c r="H4" s="7" t="d">
        <x:v>2027-02-23T00:00:00.000Z</x:v>
      </x:c>
      <x:c r="I4" s="7"/>
      <x:c r="J4" s="2"/>
      <x:c r="K4" s="2" t="str">
        <x:v>Care ends</x:v>
      </x:c>
      <x:c r="L4" s="5" t="n">
        <x:f>MAX('Task Plan'!K8:K85)</x:f>
        <x:v>46444</x:v>
      </x:c>
      <x:c r="M4" s="5"/>
      <x:c r="N4" s="2"/>
      <x:c r="O4" s="2" t="str">
        <x:f>IF(COUNTIF('Task Plan'!M8:M85,"&lt;&gt;Scheduled")&gt;0,"Check task dates",IF(OR(L4&gt;E4,H4&gt;E4),"Beyond deadline","Fits deadline"))</x:f>
        <x:v>Fits deadline</x:v>
      </x:c>
      <x:c r="P4" s="2"/>
      <x:c r="Q4" s="2"/>
      <x:c r="R4" s="2"/>
      <x:c r="S4" s="2"/>
      <x:c r="T4" s="2"/>
      <x:c r="U4" s="2"/>
      <x:c r="V4" s="2"/>
      <x:c r="W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 ht="26" customHeight="1">
      <x:c r="A6" s="2" t="str">
        <x:v>Dev 1: API and Portal. Dev 2: Worker, PostgreSQL and Azure. Both own CI/CD, replicas and observability for their services.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</x:row>
    <x:row r="7" ht="26" customHeight="1">
      <x:c r="A7" s="2" t="str">
        <x:v>Lunar New Year leave: Feb 3–12. Dec 25–Jan 1 is scheduled for delivery, testing and tuning. Full re-entry regression precedes release.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</x:row>
    <x:row r="8">
      <x:c r="A8" s="2" t="str">
        <x:v>Scheduled labor</x:v>
      </x:c>
      <x:c r="B8" s="8" t="n">
        <x:f>'Team and Gates'!D13</x:f>
        <x:v>107640</x:v>
      </x:c>
      <x:c r="C8" s="2"/>
      <x:c r="D8" s="2" t="str">
        <x:v>Person-days</x:v>
      </x:c>
      <x:c r="E8" s="9" t="n">
        <x:f>'Team and Gates'!B13</x:f>
        <x:v>299</x:v>
      </x:c>
      <x:c r="F8" s="2"/>
      <x:c r="G8" s="2" t="str">
        <x:v>Workdays</x:v>
      </x:c>
      <x:c r="H8" s="2" t="n">
        <x:f>Calendar!B9</x:f>
        <x:v>77</x:v>
      </x:c>
      <x:c r="I8" s="2"/>
      <x:c r="J8" s="2" t="str">
        <x:v>per person after holidays; labor cost excludes reserve, Azure and model usage.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</x:row>
    <x:row r="9" ht="34" customHeight="1">
      <x:c r="A9" s="13" t="str">
        <x:v>ID</x:v>
      </x:c>
      <x:c r="B9" s="13" t="str">
        <x:v>Delivery workstream</x:v>
      </x:c>
      <x:c r="C9" s="13" t="str">
        <x:v>Lead</x:v>
      </x:c>
      <x:c r="D9" s="13" t="str">
        <x:v>Start</x:v>
      </x:c>
      <x:c r="E9" s="13" t="str">
        <x:v>Finish</x:v>
      </x:c>
      <x:c r="F9" s="2"/>
      <x:c r="G9" s="13" t="str">
        <x:v>W01</x:v>
      </x:c>
      <x:c r="H9" s="13" t="str">
        <x:v>W02</x:v>
      </x:c>
      <x:c r="I9" s="13" t="str">
        <x:v>W03</x:v>
      </x:c>
      <x:c r="J9" s="13" t="str">
        <x:v>W04</x:v>
      </x:c>
      <x:c r="K9" s="13" t="str">
        <x:v>W05</x:v>
      </x:c>
      <x:c r="L9" s="13" t="str">
        <x:v>W06</x:v>
      </x:c>
      <x:c r="M9" s="13" t="str">
        <x:v>W07</x:v>
      </x:c>
      <x:c r="N9" s="13" t="str">
        <x:v>W08</x:v>
      </x:c>
      <x:c r="O9" s="13" t="str">
        <x:v>W09</x:v>
      </x:c>
      <x:c r="P9" s="13" t="str">
        <x:v>W10</x:v>
      </x:c>
      <x:c r="Q9" s="13" t="str">
        <x:v>W11</x:v>
      </x:c>
      <x:c r="R9" s="13" t="str">
        <x:v>W12</x:v>
      </x:c>
      <x:c r="S9" s="13" t="str">
        <x:v>W13</x:v>
      </x:c>
      <x:c r="T9" s="13" t="str">
        <x:v>W14</x:v>
      </x:c>
      <x:c r="U9" s="13" t="str">
        <x:v>W15</x:v>
      </x:c>
      <x:c r="V9" s="13" t="str">
        <x:v>W16</x:v>
      </x:c>
      <x:c r="W9" s="13" t="str">
        <x:v>W17</x:v>
      </x:c>
    </x:row>
    <x:row r="10" ht="24" customHeight="1">
      <x:c r="A10" s="2"/>
      <x:c r="B10" s="2"/>
      <x:c r="C10" s="2"/>
      <x:c r="D10" s="2"/>
      <x:c r="E10" s="2"/>
      <x:c r="F10" s="2"/>
      <x:c r="G10" s="17" t="n">
        <x:f>$B$4+0</x:f>
        <x:v>46328</x:v>
      </x:c>
      <x:c r="H10" s="17" t="n">
        <x:f>$B$4+7</x:f>
        <x:v>46335</x:v>
      </x:c>
      <x:c r="I10" s="17" t="n">
        <x:f>$B$4+14</x:f>
        <x:v>46342</x:v>
      </x:c>
      <x:c r="J10" s="17" t="n">
        <x:f>$B$4+21</x:f>
        <x:v>46349</x:v>
      </x:c>
      <x:c r="K10" s="17" t="n">
        <x:f>$B$4+28</x:f>
        <x:v>46356</x:v>
      </x:c>
      <x:c r="L10" s="17" t="n">
        <x:f>$B$4+35</x:f>
        <x:v>46363</x:v>
      </x:c>
      <x:c r="M10" s="17" t="n">
        <x:f>$B$4+42</x:f>
        <x:v>46370</x:v>
      </x:c>
      <x:c r="N10" s="17" t="n">
        <x:f>$B$4+49</x:f>
        <x:v>46377</x:v>
      </x:c>
      <x:c r="O10" s="17" t="n">
        <x:f>$B$4+56</x:f>
        <x:v>46384</x:v>
      </x:c>
      <x:c r="P10" s="17" t="n">
        <x:f>$B$4+63</x:f>
        <x:v>46391</x:v>
      </x:c>
      <x:c r="Q10" s="17" t="n">
        <x:f>$B$4+70</x:f>
        <x:v>46398</x:v>
      </x:c>
      <x:c r="R10" s="17" t="n">
        <x:f>$B$4+77</x:f>
        <x:v>46405</x:v>
      </x:c>
      <x:c r="S10" s="17" t="n">
        <x:f>$B$4+84</x:f>
        <x:v>46412</x:v>
      </x:c>
      <x:c r="T10" s="17" t="n">
        <x:f>$B$4+91</x:f>
        <x:v>46419</x:v>
      </x:c>
      <x:c r="U10" s="17" t="n">
        <x:f>$B$4+98</x:f>
        <x:v>46426</x:v>
      </x:c>
      <x:c r="V10" s="17" t="n">
        <x:f>$B$4+105</x:f>
        <x:v>46433</x:v>
      </x:c>
      <x:c r="W10" s="17" t="n">
        <x:f>$B$4+112</x:f>
        <x:v>46440</x:v>
      </x:c>
    </x:row>
    <x:row r="11" ht="24" customHeight="1">
      <x:c r="A11" s="2"/>
      <x:c r="B11" s="2" t="str">
        <x:v>Available workdays</x:v>
      </x:c>
      <x:c r="C11" s="2"/>
      <x:c r="D11" s="2"/>
      <x:c r="E11" s="2"/>
      <x:c r="F11" s="2"/>
      <x:c r="G11" s="18" t="n">
        <x:f>SUMIFS(Calendar!$C$16:$C$134,Calendar!$A$16:$A$134,"&gt;="&amp;G10,Calendar!$A$16:$A$134,"&lt;="&amp;G10+4)</x:f>
        <x:v>5</x:v>
      </x:c>
      <x:c r="H11" s="18" t="n">
        <x:f>SUMIFS(Calendar!$C$16:$C$134,Calendar!$A$16:$A$134,"&gt;="&amp;H10,Calendar!$A$16:$A$134,"&lt;="&amp;H10+4)</x:f>
        <x:v>5</x:v>
      </x:c>
      <x:c r="I11" s="18" t="n">
        <x:f>SUMIFS(Calendar!$C$16:$C$134,Calendar!$A$16:$A$134,"&gt;="&amp;I10,Calendar!$A$16:$A$134,"&lt;="&amp;I10+4)</x:f>
        <x:v>5</x:v>
      </x:c>
      <x:c r="J11" s="18" t="n">
        <x:f>SUMIFS(Calendar!$C$16:$C$134,Calendar!$A$16:$A$134,"&gt;="&amp;J10,Calendar!$A$16:$A$134,"&lt;="&amp;J10+4)</x:f>
        <x:v>5</x:v>
      </x:c>
      <x:c r="K11" s="18" t="n">
        <x:f>SUMIFS(Calendar!$C$16:$C$134,Calendar!$A$16:$A$134,"&gt;="&amp;K10,Calendar!$A$16:$A$134,"&lt;="&amp;K10+4)</x:f>
        <x:v>5</x:v>
      </x:c>
      <x:c r="L11" s="18" t="n">
        <x:f>SUMIFS(Calendar!$C$16:$C$134,Calendar!$A$16:$A$134,"&gt;="&amp;L10,Calendar!$A$16:$A$134,"&lt;="&amp;L10+4)</x:f>
        <x:v>5</x:v>
      </x:c>
      <x:c r="M11" s="18" t="n">
        <x:f>SUMIFS(Calendar!$C$16:$C$134,Calendar!$A$16:$A$134,"&gt;="&amp;M10,Calendar!$A$16:$A$134,"&lt;="&amp;M10+4)</x:f>
        <x:v>5</x:v>
      </x:c>
      <x:c r="N11" s="18" t="n">
        <x:f>SUMIFS(Calendar!$C$16:$C$134,Calendar!$A$16:$A$134,"&gt;="&amp;N10,Calendar!$A$16:$A$134,"&lt;="&amp;N10+4)</x:f>
        <x:v>5</x:v>
      </x:c>
      <x:c r="O11" s="18" t="n">
        <x:f>SUMIFS(Calendar!$C$16:$C$134,Calendar!$A$16:$A$134,"&gt;="&amp;O10,Calendar!$A$16:$A$134,"&lt;="&amp;O10+4)</x:f>
        <x:v>5</x:v>
      </x:c>
      <x:c r="P11" s="18" t="n">
        <x:f>SUMIFS(Calendar!$C$16:$C$134,Calendar!$A$16:$A$134,"&gt;="&amp;P10,Calendar!$A$16:$A$134,"&lt;="&amp;P10+4)</x:f>
        <x:v>5</x:v>
      </x:c>
      <x:c r="Q11" s="18" t="n">
        <x:f>SUMIFS(Calendar!$C$16:$C$134,Calendar!$A$16:$A$134,"&gt;="&amp;Q10,Calendar!$A$16:$A$134,"&lt;="&amp;Q10+4)</x:f>
        <x:v>5</x:v>
      </x:c>
      <x:c r="R11" s="18" t="n">
        <x:f>SUMIFS(Calendar!$C$16:$C$134,Calendar!$A$16:$A$134,"&gt;="&amp;R10,Calendar!$A$16:$A$134,"&lt;="&amp;R10+4)</x:f>
        <x:v>5</x:v>
      </x:c>
      <x:c r="S11" s="18" t="n">
        <x:f>SUMIFS(Calendar!$C$16:$C$134,Calendar!$A$16:$A$134,"&gt;="&amp;S10,Calendar!$A$16:$A$134,"&lt;="&amp;S10+4)</x:f>
        <x:v>5</x:v>
      </x:c>
      <x:c r="T11" s="18" t="n">
        <x:f>SUMIFS(Calendar!$C$16:$C$134,Calendar!$A$16:$A$134,"&gt;="&amp;T10,Calendar!$A$16:$A$134,"&lt;="&amp;T10+4)</x:f>
        <x:v>2</x:v>
      </x:c>
      <x:c r="U11" s="18" t="n">
        <x:f>SUMIFS(Calendar!$C$16:$C$134,Calendar!$A$16:$A$134,"&gt;="&amp;U10,Calendar!$A$16:$A$134,"&lt;="&amp;U10+4)</x:f>
        <x:v>0</x:v>
      </x:c>
      <x:c r="V11" s="18" t="n">
        <x:f>SUMIFS(Calendar!$C$16:$C$134,Calendar!$A$16:$A$134,"&gt;="&amp;V10,Calendar!$A$16:$A$134,"&lt;="&amp;V10+4)</x:f>
        <x:v>5</x:v>
      </x:c>
      <x:c r="W11" s="18" t="n">
        <x:f>SUMIFS(Calendar!$C$16:$C$134,Calendar!$A$16:$A$134,"&gt;="&amp;W10,Calendar!$A$16:$A$134,"&lt;="&amp;W10+4)</x:f>
        <x:v>5</x:v>
      </x:c>
    </x:row>
    <x:row r="12" ht="31" customHeight="1">
      <x:c r="A12" s="2" t="str">
        <x:v>P01</x:v>
      </x:c>
      <x:c r="B12" s="2" t="str">
        <x:v>API/Portal foundation and user access</x:v>
      </x:c>
      <x:c r="C12" s="20" t="str">
        <x:v>Dev 1</x:v>
      </x:c>
      <x:c r="D12" s="14" t="n">
        <x:f>MIN(INDEX('Task Plan'!$J$8:$J$85,MATCH("B01",'Task Plan'!$A$8:$A$85,0)),INDEX('Task Plan'!$J$8:$J$85,MATCH("B02",'Task Plan'!$A$8:$A$85,0)))</x:f>
        <x:v>46328</x:v>
      </x:c>
      <x:c r="E12" s="14" t="n">
        <x:f>MAX(INDEX('Task Plan'!$K$8:$K$85,MATCH("B01",'Task Plan'!$A$8:$A$85,0)),INDEX('Task Plan'!$K$8:$K$85,MATCH("B02",'Task Plan'!$A$8:$A$85,0)))</x:f>
        <x:v>46339</x:v>
      </x:c>
      <x:c r="F12" s="2"/>
      <x:c r="G12" s="31" t="n">
        <x:f>IF(AND(G$10&lt;=$E12,G$10+4&gt;=$D12,G$11&gt;0),1,0)</x:f>
        <x:v>1</x:v>
      </x:c>
      <x:c r="H12" s="31" t="n">
        <x:f>IF(AND(H$10&lt;=$E12,H$10+4&gt;=$D12,H$11&gt;0),1,0)</x:f>
        <x:v>1</x:v>
      </x:c>
      <x:c r="I12" s="31" t="n">
        <x:f>IF(AND(I$10&lt;=$E12,I$10+4&gt;=$D12,I$11&gt;0),1,0)</x:f>
        <x:v>0</x:v>
      </x:c>
      <x:c r="J12" s="31" t="n">
        <x:f>IF(AND(J$10&lt;=$E12,J$10+4&gt;=$D12,J$11&gt;0),1,0)</x:f>
        <x:v>0</x:v>
      </x:c>
      <x:c r="K12" s="31" t="n">
        <x:f>IF(AND(K$10&lt;=$E12,K$10+4&gt;=$D12,K$11&gt;0),1,0)</x:f>
        <x:v>0</x:v>
      </x:c>
      <x:c r="L12" s="31" t="n">
        <x:f>IF(AND(L$10&lt;=$E12,L$10+4&gt;=$D12,L$11&gt;0),1,0)</x:f>
        <x:v>0</x:v>
      </x:c>
      <x:c r="M12" s="31" t="n">
        <x:f>IF(AND(M$10&lt;=$E12,M$10+4&gt;=$D12,M$11&gt;0),1,0)</x:f>
        <x:v>0</x:v>
      </x:c>
      <x:c r="N12" s="31" t="n">
        <x:f>IF(AND(N$10&lt;=$E12,N$10+4&gt;=$D12,N$11&gt;0),1,0)</x:f>
        <x:v>0</x:v>
      </x:c>
      <x:c r="O12" s="31" t="n">
        <x:f>IF(AND(O$10&lt;=$E12,O$10+4&gt;=$D12,O$11&gt;0),1,0)</x:f>
        <x:v>0</x:v>
      </x:c>
      <x:c r="P12" s="31" t="n">
        <x:f>IF(AND(P$10&lt;=$E12,P$10+4&gt;=$D12,P$11&gt;0),1,0)</x:f>
        <x:v>0</x:v>
      </x:c>
      <x:c r="Q12" s="31" t="n">
        <x:f>IF(AND(Q$10&lt;=$E12,Q$10+4&gt;=$D12,Q$11&gt;0),1,0)</x:f>
        <x:v>0</x:v>
      </x:c>
      <x:c r="R12" s="31" t="n">
        <x:f>IF(AND(R$10&lt;=$E12,R$10+4&gt;=$D12,R$11&gt;0),1,0)</x:f>
        <x:v>0</x:v>
      </x:c>
      <x:c r="S12" s="31" t="n">
        <x:f>IF(AND(S$10&lt;=$E12,S$10+4&gt;=$D12,S$11&gt;0),1,0)</x:f>
        <x:v>0</x:v>
      </x:c>
      <x:c r="T12" s="31" t="n">
        <x:f>IF(AND(T$10&lt;=$E12,T$10+4&gt;=$D12,T$11&gt;0),1,0)</x:f>
        <x:v>0</x:v>
      </x:c>
      <x:c r="U12" s="31" t="n">
        <x:f>IF(AND(U$10&lt;=$E12,U$10+4&gt;=$D12,U$11&gt;0),1,0)</x:f>
        <x:v>0</x:v>
      </x:c>
      <x:c r="V12" s="31" t="n">
        <x:f>IF(AND(V$10&lt;=$E12,V$10+4&gt;=$D12,V$11&gt;0),1,0)</x:f>
        <x:v>0</x:v>
      </x:c>
      <x:c r="W12" s="31" t="n">
        <x:f>IF(AND(W$10&lt;=$E12,W$10+4&gt;=$D12,W$11&gt;0),1,0)</x:f>
        <x:v>0</x:v>
      </x:c>
    </x:row>
    <x:row r="13" ht="31" customHeight="1">
      <x:c r="A13" s="2" t="str">
        <x:v>P02</x:v>
      </x:c>
      <x:c r="B13" s="2" t="str">
        <x:v>Worker, database and Azure foundation</x:v>
      </x:c>
      <x:c r="C13" s="22" t="str">
        <x:v>Dev 2</x:v>
      </x:c>
      <x:c r="D13" s="14" t="n">
        <x:f>MIN(INDEX('Task Plan'!$J$8:$J$85,MATCH("A01",'Task Plan'!$A$8:$A$85,0)),INDEX('Task Plan'!$J$8:$J$85,MATCH("A02",'Task Plan'!$A$8:$A$85,0)),INDEX('Task Plan'!$J$8:$J$85,MATCH("A03",'Task Plan'!$A$8:$A$85,0)),INDEX('Task Plan'!$J$8:$J$85,MATCH("A04",'Task Plan'!$A$8:$A$85,0)))</x:f>
        <x:v>46328</x:v>
      </x:c>
      <x:c r="E13" s="14" t="n">
        <x:f>MAX(INDEX('Task Plan'!$K$8:$K$85,MATCH("A01",'Task Plan'!$A$8:$A$85,0)),INDEX('Task Plan'!$K$8:$K$85,MATCH("A02",'Task Plan'!$A$8:$A$85,0)),INDEX('Task Plan'!$K$8:$K$85,MATCH("A03",'Task Plan'!$A$8:$A$85,0)),INDEX('Task Plan'!$K$8:$K$85,MATCH("A04",'Task Plan'!$A$8:$A$85,0)))</x:f>
        <x:v>46353</x:v>
      </x:c>
      <x:c r="F13" s="2"/>
      <x:c r="G13" s="31" t="n">
        <x:f>IF(AND(G$10&lt;=$E13,G$10+4&gt;=$D13,G$11&gt;0),1,0)</x:f>
        <x:v>1</x:v>
      </x:c>
      <x:c r="H13" s="31" t="n">
        <x:f>IF(AND(H$10&lt;=$E13,H$10+4&gt;=$D13,H$11&gt;0),1,0)</x:f>
        <x:v>1</x:v>
      </x:c>
      <x:c r="I13" s="31" t="n">
        <x:f>IF(AND(I$10&lt;=$E13,I$10+4&gt;=$D13,I$11&gt;0),1,0)</x:f>
        <x:v>1</x:v>
      </x:c>
      <x:c r="J13" s="31" t="n">
        <x:f>IF(AND(J$10&lt;=$E13,J$10+4&gt;=$D13,J$11&gt;0),1,0)</x:f>
        <x:v>1</x:v>
      </x:c>
      <x:c r="K13" s="31" t="n">
        <x:f>IF(AND(K$10&lt;=$E13,K$10+4&gt;=$D13,K$11&gt;0),1,0)</x:f>
        <x:v>0</x:v>
      </x:c>
      <x:c r="L13" s="31" t="n">
        <x:f>IF(AND(L$10&lt;=$E13,L$10+4&gt;=$D13,L$11&gt;0),1,0)</x:f>
        <x:v>0</x:v>
      </x:c>
      <x:c r="M13" s="31" t="n">
        <x:f>IF(AND(M$10&lt;=$E13,M$10+4&gt;=$D13,M$11&gt;0),1,0)</x:f>
        <x:v>0</x:v>
      </x:c>
      <x:c r="N13" s="31" t="n">
        <x:f>IF(AND(N$10&lt;=$E13,N$10+4&gt;=$D13,N$11&gt;0),1,0)</x:f>
        <x:v>0</x:v>
      </x:c>
      <x:c r="O13" s="31" t="n">
        <x:f>IF(AND(O$10&lt;=$E13,O$10+4&gt;=$D13,O$11&gt;0),1,0)</x:f>
        <x:v>0</x:v>
      </x:c>
      <x:c r="P13" s="31" t="n">
        <x:f>IF(AND(P$10&lt;=$E13,P$10+4&gt;=$D13,P$11&gt;0),1,0)</x:f>
        <x:v>0</x:v>
      </x:c>
      <x:c r="Q13" s="31" t="n">
        <x:f>IF(AND(Q$10&lt;=$E13,Q$10+4&gt;=$D13,Q$11&gt;0),1,0)</x:f>
        <x:v>0</x:v>
      </x:c>
      <x:c r="R13" s="31" t="n">
        <x:f>IF(AND(R$10&lt;=$E13,R$10+4&gt;=$D13,R$11&gt;0),1,0)</x:f>
        <x:v>0</x:v>
      </x:c>
      <x:c r="S13" s="31" t="n">
        <x:f>IF(AND(S$10&lt;=$E13,S$10+4&gt;=$D13,S$11&gt;0),1,0)</x:f>
        <x:v>0</x:v>
      </x:c>
      <x:c r="T13" s="31" t="n">
        <x:f>IF(AND(T$10&lt;=$E13,T$10+4&gt;=$D13,T$11&gt;0),1,0)</x:f>
        <x:v>0</x:v>
      </x:c>
      <x:c r="U13" s="31" t="n">
        <x:f>IF(AND(U$10&lt;=$E13,U$10+4&gt;=$D13,U$11&gt;0),1,0)</x:f>
        <x:v>0</x:v>
      </x:c>
      <x:c r="V13" s="31" t="n">
        <x:f>IF(AND(V$10&lt;=$E13,V$10+4&gt;=$D13,V$11&gt;0),1,0)</x:f>
        <x:v>0</x:v>
      </x:c>
      <x:c r="W13" s="31" t="n">
        <x:f>IF(AND(W$10&lt;=$E13,W$10+4&gt;=$D13,W$11&gt;0),1,0)</x:f>
        <x:v>0</x:v>
      </x:c>
    </x:row>
    <x:row r="14" ht="31" customHeight="1">
      <x:c r="A14" s="2" t="str">
        <x:v>P03</x:v>
      </x:c>
      <x:c r="B14" s="2" t="str">
        <x:v>Case, Open Items and Triage</x:v>
      </x:c>
      <x:c r="C14" s="20" t="str">
        <x:v>Dev 1</x:v>
      </x:c>
      <x:c r="D14" s="14" t="n">
        <x:f>MIN(INDEX('Task Plan'!$J$8:$J$85,MATCH("B03",'Task Plan'!$A$8:$A$85,0)),INDEX('Task Plan'!$J$8:$J$85,MATCH("B04",'Task Plan'!$A$8:$A$85,0)),INDEX('Task Plan'!$J$8:$J$85,MATCH("A05",'Task Plan'!$A$8:$A$85,0)))</x:f>
        <x:v>46342</x:v>
      </x:c>
      <x:c r="E14" s="14" t="n">
        <x:f>MAX(INDEX('Task Plan'!$K$8:$K$85,MATCH("B03",'Task Plan'!$A$8:$A$85,0)),INDEX('Task Plan'!$K$8:$K$85,MATCH("B04",'Task Plan'!$A$8:$A$85,0)),INDEX('Task Plan'!$K$8:$K$85,MATCH("A05",'Task Plan'!$A$8:$A$85,0)))</x:f>
        <x:v>46360</x:v>
      </x:c>
      <x:c r="F14" s="2"/>
      <x:c r="G14" s="31" t="n">
        <x:f>IF(AND(G$10&lt;=$E14,G$10+4&gt;=$D14,G$11&gt;0),1,0)</x:f>
        <x:v>0</x:v>
      </x:c>
      <x:c r="H14" s="31" t="n">
        <x:f>IF(AND(H$10&lt;=$E14,H$10+4&gt;=$D14,H$11&gt;0),1,0)</x:f>
        <x:v>0</x:v>
      </x:c>
      <x:c r="I14" s="31" t="n">
        <x:f>IF(AND(I$10&lt;=$E14,I$10+4&gt;=$D14,I$11&gt;0),1,0)</x:f>
        <x:v>1</x:v>
      </x:c>
      <x:c r="J14" s="31" t="n">
        <x:f>IF(AND(J$10&lt;=$E14,J$10+4&gt;=$D14,J$11&gt;0),1,0)</x:f>
        <x:v>1</x:v>
      </x:c>
      <x:c r="K14" s="31" t="n">
        <x:f>IF(AND(K$10&lt;=$E14,K$10+4&gt;=$D14,K$11&gt;0),1,0)</x:f>
        <x:v>1</x:v>
      </x:c>
      <x:c r="L14" s="31" t="n">
        <x:f>IF(AND(L$10&lt;=$E14,L$10+4&gt;=$D14,L$11&gt;0),1,0)</x:f>
        <x:v>0</x:v>
      </x:c>
      <x:c r="M14" s="31" t="n">
        <x:f>IF(AND(M$10&lt;=$E14,M$10+4&gt;=$D14,M$11&gt;0),1,0)</x:f>
        <x:v>0</x:v>
      </x:c>
      <x:c r="N14" s="31" t="n">
        <x:f>IF(AND(N$10&lt;=$E14,N$10+4&gt;=$D14,N$11&gt;0),1,0)</x:f>
        <x:v>0</x:v>
      </x:c>
      <x:c r="O14" s="31" t="n">
        <x:f>IF(AND(O$10&lt;=$E14,O$10+4&gt;=$D14,O$11&gt;0),1,0)</x:f>
        <x:v>0</x:v>
      </x:c>
      <x:c r="P14" s="31" t="n">
        <x:f>IF(AND(P$10&lt;=$E14,P$10+4&gt;=$D14,P$11&gt;0),1,0)</x:f>
        <x:v>0</x:v>
      </x:c>
      <x:c r="Q14" s="31" t="n">
        <x:f>IF(AND(Q$10&lt;=$E14,Q$10+4&gt;=$D14,Q$11&gt;0),1,0)</x:f>
        <x:v>0</x:v>
      </x:c>
      <x:c r="R14" s="31" t="n">
        <x:f>IF(AND(R$10&lt;=$E14,R$10+4&gt;=$D14,R$11&gt;0),1,0)</x:f>
        <x:v>0</x:v>
      </x:c>
      <x:c r="S14" s="31" t="n">
        <x:f>IF(AND(S$10&lt;=$E14,S$10+4&gt;=$D14,S$11&gt;0),1,0)</x:f>
        <x:v>0</x:v>
      </x:c>
      <x:c r="T14" s="31" t="n">
        <x:f>IF(AND(T$10&lt;=$E14,T$10+4&gt;=$D14,T$11&gt;0),1,0)</x:f>
        <x:v>0</x:v>
      </x:c>
      <x:c r="U14" s="31" t="n">
        <x:f>IF(AND(U$10&lt;=$E14,U$10+4&gt;=$D14,U$11&gt;0),1,0)</x:f>
        <x:v>0</x:v>
      </x:c>
      <x:c r="V14" s="31" t="n">
        <x:f>IF(AND(V$10&lt;=$E14,V$10+4&gt;=$D14,V$11&gt;0),1,0)</x:f>
        <x:v>0</x:v>
      </x:c>
      <x:c r="W14" s="31" t="n">
        <x:f>IF(AND(W$10&lt;=$E14,W$10+4&gt;=$D14,W$11&gt;0),1,0)</x:f>
        <x:v>0</x:v>
      </x:c>
    </x:row>
    <x:row r="15" ht="31" customHeight="1">
      <x:c r="A15" s="2" t="str">
        <x:v>P04</x:v>
      </x:c>
      <x:c r="B15" s="2" t="str">
        <x:v>Draft, approve and automatic send</x:v>
      </x:c>
      <x:c r="C15" s="20" t="str">
        <x:v>Dev 1</x:v>
      </x:c>
      <x:c r="D15" s="14" t="n">
        <x:f>MIN(INDEX('Task Plan'!$J$8:$J$85,MATCH("B05",'Task Plan'!$A$8:$A$85,0)),INDEX('Task Plan'!$J$8:$J$85,MATCH("B06",'Task Plan'!$A$8:$A$85,0)),INDEX('Task Plan'!$J$8:$J$85,MATCH("A06",'Task Plan'!$A$8:$A$85,0)),INDEX('Task Plan'!$J$8:$J$85,MATCH("A07",'Task Plan'!$A$8:$A$85,0)))</x:f>
        <x:v>46356</x:v>
      </x:c>
      <x:c r="E15" s="14" t="n">
        <x:f>MAX(INDEX('Task Plan'!$K$8:$K$85,MATCH("B05",'Task Plan'!$A$8:$A$85,0)),INDEX('Task Plan'!$K$8:$K$85,MATCH("B06",'Task Plan'!$A$8:$A$85,0)),INDEX('Task Plan'!$K$8:$K$85,MATCH("A06",'Task Plan'!$A$8:$A$85,0)),INDEX('Task Plan'!$K$8:$K$85,MATCH("A07",'Task Plan'!$A$8:$A$85,0)))</x:f>
        <x:v>46374</x:v>
      </x:c>
      <x:c r="F15" s="2"/>
      <x:c r="G15" s="31" t="n">
        <x:f>IF(AND(G$10&lt;=$E15,G$10+4&gt;=$D15,G$11&gt;0),1,0)</x:f>
        <x:v>0</x:v>
      </x:c>
      <x:c r="H15" s="31" t="n">
        <x:f>IF(AND(H$10&lt;=$E15,H$10+4&gt;=$D15,H$11&gt;0),1,0)</x:f>
        <x:v>0</x:v>
      </x:c>
      <x:c r="I15" s="31" t="n">
        <x:f>IF(AND(I$10&lt;=$E15,I$10+4&gt;=$D15,I$11&gt;0),1,0)</x:f>
        <x:v>0</x:v>
      </x:c>
      <x:c r="J15" s="31" t="n">
        <x:f>IF(AND(J$10&lt;=$E15,J$10+4&gt;=$D15,J$11&gt;0),1,0)</x:f>
        <x:v>0</x:v>
      </x:c>
      <x:c r="K15" s="31" t="n">
        <x:f>IF(AND(K$10&lt;=$E15,K$10+4&gt;=$D15,K$11&gt;0),1,0)</x:f>
        <x:v>1</x:v>
      </x:c>
      <x:c r="L15" s="31" t="n">
        <x:f>IF(AND(L$10&lt;=$E15,L$10+4&gt;=$D15,L$11&gt;0),1,0)</x:f>
        <x:v>1</x:v>
      </x:c>
      <x:c r="M15" s="31" t="n">
        <x:f>IF(AND(M$10&lt;=$E15,M$10+4&gt;=$D15,M$11&gt;0),1,0)</x:f>
        <x:v>1</x:v>
      </x:c>
      <x:c r="N15" s="31" t="n">
        <x:f>IF(AND(N$10&lt;=$E15,N$10+4&gt;=$D15,N$11&gt;0),1,0)</x:f>
        <x:v>0</x:v>
      </x:c>
      <x:c r="O15" s="31" t="n">
        <x:f>IF(AND(O$10&lt;=$E15,O$10+4&gt;=$D15,O$11&gt;0),1,0)</x:f>
        <x:v>0</x:v>
      </x:c>
      <x:c r="P15" s="31" t="n">
        <x:f>IF(AND(P$10&lt;=$E15,P$10+4&gt;=$D15,P$11&gt;0),1,0)</x:f>
        <x:v>0</x:v>
      </x:c>
      <x:c r="Q15" s="31" t="n">
        <x:f>IF(AND(Q$10&lt;=$E15,Q$10+4&gt;=$D15,Q$11&gt;0),1,0)</x:f>
        <x:v>0</x:v>
      </x:c>
      <x:c r="R15" s="31" t="n">
        <x:f>IF(AND(R$10&lt;=$E15,R$10+4&gt;=$D15,R$11&gt;0),1,0)</x:f>
        <x:v>0</x:v>
      </x:c>
      <x:c r="S15" s="31" t="n">
        <x:f>IF(AND(S$10&lt;=$E15,S$10+4&gt;=$D15,S$11&gt;0),1,0)</x:f>
        <x:v>0</x:v>
      </x:c>
      <x:c r="T15" s="31" t="n">
        <x:f>IF(AND(T$10&lt;=$E15,T$10+4&gt;=$D15,T$11&gt;0),1,0)</x:f>
        <x:v>0</x:v>
      </x:c>
      <x:c r="U15" s="31" t="n">
        <x:f>IF(AND(U$10&lt;=$E15,U$10+4&gt;=$D15,U$11&gt;0),1,0)</x:f>
        <x:v>0</x:v>
      </x:c>
      <x:c r="V15" s="31" t="n">
        <x:f>IF(AND(V$10&lt;=$E15,V$10+4&gt;=$D15,V$11&gt;0),1,0)</x:f>
        <x:v>0</x:v>
      </x:c>
      <x:c r="W15" s="31" t="n">
        <x:f>IF(AND(W$10&lt;=$E15,W$10+4&gt;=$D15,W$11&gt;0),1,0)</x:f>
        <x:v>0</x:v>
      </x:c>
    </x:row>
    <x:row r="16" ht="31" customHeight="1">
      <x:c r="A16" s="2" t="str">
        <x:v>P05</x:v>
      </x:c>
      <x:c r="B16" s="2" t="str">
        <x:v>Customer and Regional/Local overview</x:v>
      </x:c>
      <x:c r="C16" s="20" t="str">
        <x:v>Dev 1</x:v>
      </x:c>
      <x:c r="D16" s="14" t="n">
        <x:f>MIN(INDEX('Task Plan'!$J$8:$J$85,MATCH("B07",'Task Plan'!$A$8:$A$85,0)))</x:f>
        <x:v>46370</x:v>
      </x:c>
      <x:c r="E16" s="14" t="n">
        <x:f>MAX(INDEX('Task Plan'!$K$8:$K$85,MATCH("B07",'Task Plan'!$A$8:$A$85,0)))</x:f>
        <x:v>46374</x:v>
      </x:c>
      <x:c r="F16" s="2"/>
      <x:c r="G16" s="31" t="n">
        <x:f>IF(AND(G$10&lt;=$E16,G$10+4&gt;=$D16,G$11&gt;0),1,0)</x:f>
        <x:v>0</x:v>
      </x:c>
      <x:c r="H16" s="31" t="n">
        <x:f>IF(AND(H$10&lt;=$E16,H$10+4&gt;=$D16,H$11&gt;0),1,0)</x:f>
        <x:v>0</x:v>
      </x:c>
      <x:c r="I16" s="31" t="n">
        <x:f>IF(AND(I$10&lt;=$E16,I$10+4&gt;=$D16,I$11&gt;0),1,0)</x:f>
        <x:v>0</x:v>
      </x:c>
      <x:c r="J16" s="31" t="n">
        <x:f>IF(AND(J$10&lt;=$E16,J$10+4&gt;=$D16,J$11&gt;0),1,0)</x:f>
        <x:v>0</x:v>
      </x:c>
      <x:c r="K16" s="31" t="n">
        <x:f>IF(AND(K$10&lt;=$E16,K$10+4&gt;=$D16,K$11&gt;0),1,0)</x:f>
        <x:v>0</x:v>
      </x:c>
      <x:c r="L16" s="31" t="n">
        <x:f>IF(AND(L$10&lt;=$E16,L$10+4&gt;=$D16,L$11&gt;0),1,0)</x:f>
        <x:v>0</x:v>
      </x:c>
      <x:c r="M16" s="31" t="n">
        <x:f>IF(AND(M$10&lt;=$E16,M$10+4&gt;=$D16,M$11&gt;0),1,0)</x:f>
        <x:v>1</x:v>
      </x:c>
      <x:c r="N16" s="31" t="n">
        <x:f>IF(AND(N$10&lt;=$E16,N$10+4&gt;=$D16,N$11&gt;0),1,0)</x:f>
        <x:v>0</x:v>
      </x:c>
      <x:c r="O16" s="31" t="n">
        <x:f>IF(AND(O$10&lt;=$E16,O$10+4&gt;=$D16,O$11&gt;0),1,0)</x:f>
        <x:v>0</x:v>
      </x:c>
      <x:c r="P16" s="31" t="n">
        <x:f>IF(AND(P$10&lt;=$E16,P$10+4&gt;=$D16,P$11&gt;0),1,0)</x:f>
        <x:v>0</x:v>
      </x:c>
      <x:c r="Q16" s="31" t="n">
        <x:f>IF(AND(Q$10&lt;=$E16,Q$10+4&gt;=$D16,Q$11&gt;0),1,0)</x:f>
        <x:v>0</x:v>
      </x:c>
      <x:c r="R16" s="31" t="n">
        <x:f>IF(AND(R$10&lt;=$E16,R$10+4&gt;=$D16,R$11&gt;0),1,0)</x:f>
        <x:v>0</x:v>
      </x:c>
      <x:c r="S16" s="31" t="n">
        <x:f>IF(AND(S$10&lt;=$E16,S$10+4&gt;=$D16,S$11&gt;0),1,0)</x:f>
        <x:v>0</x:v>
      </x:c>
      <x:c r="T16" s="31" t="n">
        <x:f>IF(AND(T$10&lt;=$E16,T$10+4&gt;=$D16,T$11&gt;0),1,0)</x:f>
        <x:v>0</x:v>
      </x:c>
      <x:c r="U16" s="31" t="n">
        <x:f>IF(AND(U$10&lt;=$E16,U$10+4&gt;=$D16,U$11&gt;0),1,0)</x:f>
        <x:v>0</x:v>
      </x:c>
      <x:c r="V16" s="31" t="n">
        <x:f>IF(AND(V$10&lt;=$E16,V$10+4&gt;=$D16,V$11&gt;0),1,0)</x:f>
        <x:v>0</x:v>
      </x:c>
      <x:c r="W16" s="31" t="n">
        <x:f>IF(AND(W$10&lt;=$E16,W$10+4&gt;=$D16,W$11&gt;0),1,0)</x:f>
        <x:v>0</x:v>
      </x:c>
    </x:row>
    <x:row r="17" ht="31" customHeight="1">
      <x:c r="A17" s="2" t="str">
        <x:v>P06</x:v>
      </x:c>
      <x:c r="B17" s="2" t="str">
        <x:v>Prompt/example-driven Playbook Studio</x:v>
      </x:c>
      <x:c r="C17" s="24" t="str">
        <x:v>DS</x:v>
      </x:c>
      <x:c r="D17" s="14" t="n">
        <x:f>MIN(INDEX('Task Plan'!$J$8:$J$85,MATCH("S07",'Task Plan'!$A$8:$A$85,0)),INDEX('Task Plan'!$J$8:$J$85,MATCH("S08",'Task Plan'!$A$8:$A$85,0)),INDEX('Task Plan'!$J$8:$J$85,MATCH("B08",'Task Plan'!$A$8:$A$85,0)))</x:f>
        <x:v>46370</x:v>
      </x:c>
      <x:c r="E17" s="14" t="n">
        <x:f>MAX(INDEX('Task Plan'!$K$8:$K$85,MATCH("S07",'Task Plan'!$A$8:$A$85,0)),INDEX('Task Plan'!$K$8:$K$85,MATCH("S08",'Task Plan'!$A$8:$A$85,0)),INDEX('Task Plan'!$K$8:$K$85,MATCH("B08",'Task Plan'!$A$8:$A$85,0)))</x:f>
        <x:v>46388</x:v>
      </x:c>
      <x:c r="F17" s="2"/>
      <x:c r="G17" s="31" t="n">
        <x:f>IF(AND(G$10&lt;=$E17,G$10+4&gt;=$D17,G$11&gt;0),1,0)</x:f>
        <x:v>0</x:v>
      </x:c>
      <x:c r="H17" s="31" t="n">
        <x:f>IF(AND(H$10&lt;=$E17,H$10+4&gt;=$D17,H$11&gt;0),1,0)</x:f>
        <x:v>0</x:v>
      </x:c>
      <x:c r="I17" s="31" t="n">
        <x:f>IF(AND(I$10&lt;=$E17,I$10+4&gt;=$D17,I$11&gt;0),1,0)</x:f>
        <x:v>0</x:v>
      </x:c>
      <x:c r="J17" s="31" t="n">
        <x:f>IF(AND(J$10&lt;=$E17,J$10+4&gt;=$D17,J$11&gt;0),1,0)</x:f>
        <x:v>0</x:v>
      </x:c>
      <x:c r="K17" s="31" t="n">
        <x:f>IF(AND(K$10&lt;=$E17,K$10+4&gt;=$D17,K$11&gt;0),1,0)</x:f>
        <x:v>0</x:v>
      </x:c>
      <x:c r="L17" s="31" t="n">
        <x:f>IF(AND(L$10&lt;=$E17,L$10+4&gt;=$D17,L$11&gt;0),1,0)</x:f>
        <x:v>0</x:v>
      </x:c>
      <x:c r="M17" s="31" t="n">
        <x:f>IF(AND(M$10&lt;=$E17,M$10+4&gt;=$D17,M$11&gt;0),1,0)</x:f>
        <x:v>1</x:v>
      </x:c>
      <x:c r="N17" s="31" t="n">
        <x:f>IF(AND(N$10&lt;=$E17,N$10+4&gt;=$D17,N$11&gt;0),1,0)</x:f>
        <x:v>1</x:v>
      </x:c>
      <x:c r="O17" s="31" t="n">
        <x:f>IF(AND(O$10&lt;=$E17,O$10+4&gt;=$D17,O$11&gt;0),1,0)</x:f>
        <x:v>1</x:v>
      </x:c>
      <x:c r="P17" s="31" t="n">
        <x:f>IF(AND(P$10&lt;=$E17,P$10+4&gt;=$D17,P$11&gt;0),1,0)</x:f>
        <x:v>0</x:v>
      </x:c>
      <x:c r="Q17" s="31" t="n">
        <x:f>IF(AND(Q$10&lt;=$E17,Q$10+4&gt;=$D17,Q$11&gt;0),1,0)</x:f>
        <x:v>0</x:v>
      </x:c>
      <x:c r="R17" s="31" t="n">
        <x:f>IF(AND(R$10&lt;=$E17,R$10+4&gt;=$D17,R$11&gt;0),1,0)</x:f>
        <x:v>0</x:v>
      </x:c>
      <x:c r="S17" s="31" t="n">
        <x:f>IF(AND(S$10&lt;=$E17,S$10+4&gt;=$D17,S$11&gt;0),1,0)</x:f>
        <x:v>0</x:v>
      </x:c>
      <x:c r="T17" s="31" t="n">
        <x:f>IF(AND(T$10&lt;=$E17,T$10+4&gt;=$D17,T$11&gt;0),1,0)</x:f>
        <x:v>0</x:v>
      </x:c>
      <x:c r="U17" s="31" t="n">
        <x:f>IF(AND(U$10&lt;=$E17,U$10+4&gt;=$D17,U$11&gt;0),1,0)</x:f>
        <x:v>0</x:v>
      </x:c>
      <x:c r="V17" s="31" t="n">
        <x:f>IF(AND(V$10&lt;=$E17,V$10+4&gt;=$D17,V$11&gt;0),1,0)</x:f>
        <x:v>0</x:v>
      </x:c>
      <x:c r="W17" s="31" t="n">
        <x:f>IF(AND(W$10&lt;=$E17,W$10+4&gt;=$D17,W$11&gt;0),1,0)</x:f>
        <x:v>0</x:v>
      </x:c>
    </x:row>
    <x:row r="18" ht="31" customHeight="1">
      <x:c r="A18" s="2" t="str">
        <x:v>P07</x:v>
      </x:c>
      <x:c r="B18" s="2" t="str">
        <x:v>CI/CD, replicas and observability</x:v>
      </x:c>
      <x:c r="C18" s="26" t="str">
        <x:v>Both Devs</x:v>
      </x:c>
      <x:c r="D18" s="14" t="n">
        <x:f>MIN(INDEX('Task Plan'!$J$8:$J$85,MATCH("A08",'Task Plan'!$A$8:$A$85,0)),INDEX('Task Plan'!$J$8:$J$85,MATCH("B09",'Task Plan'!$A$8:$A$85,0)))</x:f>
        <x:v>46377</x:v>
      </x:c>
      <x:c r="E18" s="14" t="n">
        <x:f>MAX(INDEX('Task Plan'!$K$8:$K$85,MATCH("A08",'Task Plan'!$A$8:$A$85,0)),INDEX('Task Plan'!$K$8:$K$85,MATCH("B09",'Task Plan'!$A$8:$A$85,0)))</x:f>
        <x:v>46395</x:v>
      </x:c>
      <x:c r="F18" s="2"/>
      <x:c r="G18" s="31" t="n">
        <x:f>IF(AND(G$10&lt;=$E18,G$10+4&gt;=$D18,G$11&gt;0),1,0)</x:f>
        <x:v>0</x:v>
      </x:c>
      <x:c r="H18" s="31" t="n">
        <x:f>IF(AND(H$10&lt;=$E18,H$10+4&gt;=$D18,H$11&gt;0),1,0)</x:f>
        <x:v>0</x:v>
      </x:c>
      <x:c r="I18" s="31" t="n">
        <x:f>IF(AND(I$10&lt;=$E18,I$10+4&gt;=$D18,I$11&gt;0),1,0)</x:f>
        <x:v>0</x:v>
      </x:c>
      <x:c r="J18" s="31" t="n">
        <x:f>IF(AND(J$10&lt;=$E18,J$10+4&gt;=$D18,J$11&gt;0),1,0)</x:f>
        <x:v>0</x:v>
      </x:c>
      <x:c r="K18" s="31" t="n">
        <x:f>IF(AND(K$10&lt;=$E18,K$10+4&gt;=$D18,K$11&gt;0),1,0)</x:f>
        <x:v>0</x:v>
      </x:c>
      <x:c r="L18" s="31" t="n">
        <x:f>IF(AND(L$10&lt;=$E18,L$10+4&gt;=$D18,L$11&gt;0),1,0)</x:f>
        <x:v>0</x:v>
      </x:c>
      <x:c r="M18" s="31" t="n">
        <x:f>IF(AND(M$10&lt;=$E18,M$10+4&gt;=$D18,M$11&gt;0),1,0)</x:f>
        <x:v>0</x:v>
      </x:c>
      <x:c r="N18" s="31" t="n">
        <x:f>IF(AND(N$10&lt;=$E18,N$10+4&gt;=$D18,N$11&gt;0),1,0)</x:f>
        <x:v>1</x:v>
      </x:c>
      <x:c r="O18" s="31" t="n">
        <x:f>IF(AND(O$10&lt;=$E18,O$10+4&gt;=$D18,O$11&gt;0),1,0)</x:f>
        <x:v>1</x:v>
      </x:c>
      <x:c r="P18" s="31" t="n">
        <x:f>IF(AND(P$10&lt;=$E18,P$10+4&gt;=$D18,P$11&gt;0),1,0)</x:f>
        <x:v>1</x:v>
      </x:c>
      <x:c r="Q18" s="31" t="n">
        <x:f>IF(AND(Q$10&lt;=$E18,Q$10+4&gt;=$D18,Q$11&gt;0),1,0)</x:f>
        <x:v>0</x:v>
      </x:c>
      <x:c r="R18" s="31" t="n">
        <x:f>IF(AND(R$10&lt;=$E18,R$10+4&gt;=$D18,R$11&gt;0),1,0)</x:f>
        <x:v>0</x:v>
      </x:c>
      <x:c r="S18" s="31" t="n">
        <x:f>IF(AND(S$10&lt;=$E18,S$10+4&gt;=$D18,S$11&gt;0),1,0)</x:f>
        <x:v>0</x:v>
      </x:c>
      <x:c r="T18" s="31" t="n">
        <x:f>IF(AND(T$10&lt;=$E18,T$10+4&gt;=$D18,T$11&gt;0),1,0)</x:f>
        <x:v>0</x:v>
      </x:c>
      <x:c r="U18" s="31" t="n">
        <x:f>IF(AND(U$10&lt;=$E18,U$10+4&gt;=$D18,U$11&gt;0),1,0)</x:f>
        <x:v>0</x:v>
      </x:c>
      <x:c r="V18" s="31" t="n">
        <x:f>IF(AND(V$10&lt;=$E18,V$10+4&gt;=$D18,V$11&gt;0),1,0)</x:f>
        <x:v>0</x:v>
      </x:c>
      <x:c r="W18" s="31" t="n">
        <x:f>IF(AND(W$10&lt;=$E18,W$10+4&gt;=$D18,W$11&gt;0),1,0)</x:f>
        <x:v>0</x:v>
      </x:c>
    </x:row>
    <x:row r="19" ht="31" customHeight="1">
      <x:c r="A19" s="2" t="str">
        <x:v>P08</x:v>
      </x:c>
      <x:c r="B19" s="2" t="str">
        <x:v>Corpus, labels and model baseline</x:v>
      </x:c>
      <x:c r="C19" s="24" t="str">
        <x:v>DS</x:v>
      </x:c>
      <x:c r="D19" s="14" t="n">
        <x:f>MIN(INDEX('Task Plan'!$J$8:$J$85,MATCH("S01",'Task Plan'!$A$8:$A$85,0)),INDEX('Task Plan'!$J$8:$J$85,MATCH("S02",'Task Plan'!$A$8:$A$85,0)),INDEX('Task Plan'!$J$8:$J$85,MATCH("S03",'Task Plan'!$A$8:$A$85,0)),INDEX('Task Plan'!$J$8:$J$85,MATCH("U01",'Task Plan'!$A$8:$A$85,0)),INDEX('Task Plan'!$J$8:$J$85,MATCH("U02",'Task Plan'!$A$8:$A$85,0)))</x:f>
        <x:v>46328</x:v>
      </x:c>
      <x:c r="E19" s="14" t="n">
        <x:f>MAX(INDEX('Task Plan'!$K$8:$K$85,MATCH("S01",'Task Plan'!$A$8:$A$85,0)),INDEX('Task Plan'!$K$8:$K$85,MATCH("S02",'Task Plan'!$A$8:$A$85,0)),INDEX('Task Plan'!$K$8:$K$85,MATCH("S03",'Task Plan'!$A$8:$A$85,0)),INDEX('Task Plan'!$K$8:$K$85,MATCH("U01",'Task Plan'!$A$8:$A$85,0)),INDEX('Task Plan'!$K$8:$K$85,MATCH("U02",'Task Plan'!$A$8:$A$85,0)))</x:f>
        <x:v>46346</x:v>
      </x:c>
      <x:c r="F19" s="2"/>
      <x:c r="G19" s="31" t="n">
        <x:f>IF(AND(G$10&lt;=$E19,G$10+4&gt;=$D19,G$11&gt;0),1,0)</x:f>
        <x:v>1</x:v>
      </x:c>
      <x:c r="H19" s="31" t="n">
        <x:f>IF(AND(H$10&lt;=$E19,H$10+4&gt;=$D19,H$11&gt;0),1,0)</x:f>
        <x:v>1</x:v>
      </x:c>
      <x:c r="I19" s="31" t="n">
        <x:f>IF(AND(I$10&lt;=$E19,I$10+4&gt;=$D19,I$11&gt;0),1,0)</x:f>
        <x:v>1</x:v>
      </x:c>
      <x:c r="J19" s="31" t="n">
        <x:f>IF(AND(J$10&lt;=$E19,J$10+4&gt;=$D19,J$11&gt;0),1,0)</x:f>
        <x:v>0</x:v>
      </x:c>
      <x:c r="K19" s="31" t="n">
        <x:f>IF(AND(K$10&lt;=$E19,K$10+4&gt;=$D19,K$11&gt;0),1,0)</x:f>
        <x:v>0</x:v>
      </x:c>
      <x:c r="L19" s="31" t="n">
        <x:f>IF(AND(L$10&lt;=$E19,L$10+4&gt;=$D19,L$11&gt;0),1,0)</x:f>
        <x:v>0</x:v>
      </x:c>
      <x:c r="M19" s="31" t="n">
        <x:f>IF(AND(M$10&lt;=$E19,M$10+4&gt;=$D19,M$11&gt;0),1,0)</x:f>
        <x:v>0</x:v>
      </x:c>
      <x:c r="N19" s="31" t="n">
        <x:f>IF(AND(N$10&lt;=$E19,N$10+4&gt;=$D19,N$11&gt;0),1,0)</x:f>
        <x:v>0</x:v>
      </x:c>
      <x:c r="O19" s="31" t="n">
        <x:f>IF(AND(O$10&lt;=$E19,O$10+4&gt;=$D19,O$11&gt;0),1,0)</x:f>
        <x:v>0</x:v>
      </x:c>
      <x:c r="P19" s="31" t="n">
        <x:f>IF(AND(P$10&lt;=$E19,P$10+4&gt;=$D19,P$11&gt;0),1,0)</x:f>
        <x:v>0</x:v>
      </x:c>
      <x:c r="Q19" s="31" t="n">
        <x:f>IF(AND(Q$10&lt;=$E19,Q$10+4&gt;=$D19,Q$11&gt;0),1,0)</x:f>
        <x:v>0</x:v>
      </x:c>
      <x:c r="R19" s="31" t="n">
        <x:f>IF(AND(R$10&lt;=$E19,R$10+4&gt;=$D19,R$11&gt;0),1,0)</x:f>
        <x:v>0</x:v>
      </x:c>
      <x:c r="S19" s="31" t="n">
        <x:f>IF(AND(S$10&lt;=$E19,S$10+4&gt;=$D19,S$11&gt;0),1,0)</x:f>
        <x:v>0</x:v>
      </x:c>
      <x:c r="T19" s="31" t="n">
        <x:f>IF(AND(T$10&lt;=$E19,T$10+4&gt;=$D19,T$11&gt;0),1,0)</x:f>
        <x:v>0</x:v>
      </x:c>
      <x:c r="U19" s="31" t="n">
        <x:f>IF(AND(U$10&lt;=$E19,U$10+4&gt;=$D19,U$11&gt;0),1,0)</x:f>
        <x:v>0</x:v>
      </x:c>
      <x:c r="V19" s="31" t="n">
        <x:f>IF(AND(V$10&lt;=$E19,V$10+4&gt;=$D19,V$11&gt;0),1,0)</x:f>
        <x:v>0</x:v>
      </x:c>
      <x:c r="W19" s="31" t="n">
        <x:f>IF(AND(W$10&lt;=$E19,W$10+4&gt;=$D19,W$11&gt;0),1,0)</x:f>
        <x:v>0</x:v>
      </x:c>
    </x:row>
    <x:row r="20" ht="31" customHeight="1">
      <x:c r="A20" s="2" t="str">
        <x:v>P09</x:v>
      </x:c>
      <x:c r="B20" s="2" t="str">
        <x:v>Prompt, schema and Playbook tuning</x:v>
      </x:c>
      <x:c r="C20" s="24" t="str">
        <x:v>DS</x:v>
      </x:c>
      <x:c r="D20" s="14" t="n">
        <x:f>MIN(INDEX('Task Plan'!$J$8:$J$85,MATCH("S04",'Task Plan'!$A$8:$A$85,0)),INDEX('Task Plan'!$J$8:$J$85,MATCH("S05",'Task Plan'!$A$8:$A$85,0)),INDEX('Task Plan'!$J$8:$J$85,MATCH("S06",'Task Plan'!$A$8:$A$85,0)),INDEX('Task Plan'!$J$8:$J$85,MATCH("S07",'Task Plan'!$A$8:$A$85,0)),INDEX('Task Plan'!$J$8:$J$85,MATCH("S08",'Task Plan'!$A$8:$A$85,0)),INDEX('Task Plan'!$J$8:$J$85,MATCH("S09",'Task Plan'!$A$8:$A$85,0)))</x:f>
        <x:v>46349</x:v>
      </x:c>
      <x:c r="E20" s="14" t="n">
        <x:f>MAX(INDEX('Task Plan'!$K$8:$K$85,MATCH("S04",'Task Plan'!$A$8:$A$85,0)),INDEX('Task Plan'!$K$8:$K$85,MATCH("S05",'Task Plan'!$A$8:$A$85,0)),INDEX('Task Plan'!$K$8:$K$85,MATCH("S06",'Task Plan'!$A$8:$A$85,0)),INDEX('Task Plan'!$K$8:$K$85,MATCH("S07",'Task Plan'!$A$8:$A$85,0)),INDEX('Task Plan'!$K$8:$K$85,MATCH("S08",'Task Plan'!$A$8:$A$85,0)),INDEX('Task Plan'!$K$8:$K$85,MATCH("S09",'Task Plan'!$A$8:$A$85,0)))</x:f>
        <x:v>46395</x:v>
      </x:c>
      <x:c r="F20" s="2"/>
      <x:c r="G20" s="31" t="n">
        <x:f>IF(AND(G$10&lt;=$E20,G$10+4&gt;=$D20,G$11&gt;0),1,0)</x:f>
        <x:v>0</x:v>
      </x:c>
      <x:c r="H20" s="31" t="n">
        <x:f>IF(AND(H$10&lt;=$E20,H$10+4&gt;=$D20,H$11&gt;0),1,0)</x:f>
        <x:v>0</x:v>
      </x:c>
      <x:c r="I20" s="31" t="n">
        <x:f>IF(AND(I$10&lt;=$E20,I$10+4&gt;=$D20,I$11&gt;0),1,0)</x:f>
        <x:v>0</x:v>
      </x:c>
      <x:c r="J20" s="31" t="n">
        <x:f>IF(AND(J$10&lt;=$E20,J$10+4&gt;=$D20,J$11&gt;0),1,0)</x:f>
        <x:v>1</x:v>
      </x:c>
      <x:c r="K20" s="31" t="n">
        <x:f>IF(AND(K$10&lt;=$E20,K$10+4&gt;=$D20,K$11&gt;0),1,0)</x:f>
        <x:v>1</x:v>
      </x:c>
      <x:c r="L20" s="31" t="n">
        <x:f>IF(AND(L$10&lt;=$E20,L$10+4&gt;=$D20,L$11&gt;0),1,0)</x:f>
        <x:v>1</x:v>
      </x:c>
      <x:c r="M20" s="31" t="n">
        <x:f>IF(AND(M$10&lt;=$E20,M$10+4&gt;=$D20,M$11&gt;0),1,0)</x:f>
        <x:v>1</x:v>
      </x:c>
      <x:c r="N20" s="31" t="n">
        <x:f>IF(AND(N$10&lt;=$E20,N$10+4&gt;=$D20,N$11&gt;0),1,0)</x:f>
        <x:v>1</x:v>
      </x:c>
      <x:c r="O20" s="31" t="n">
        <x:f>IF(AND(O$10&lt;=$E20,O$10+4&gt;=$D20,O$11&gt;0),1,0)</x:f>
        <x:v>1</x:v>
      </x:c>
      <x:c r="P20" s="31" t="n">
        <x:f>IF(AND(P$10&lt;=$E20,P$10+4&gt;=$D20,P$11&gt;0),1,0)</x:f>
        <x:v>1</x:v>
      </x:c>
      <x:c r="Q20" s="31" t="n">
        <x:f>IF(AND(Q$10&lt;=$E20,Q$10+4&gt;=$D20,Q$11&gt;0),1,0)</x:f>
        <x:v>0</x:v>
      </x:c>
      <x:c r="R20" s="31" t="n">
        <x:f>IF(AND(R$10&lt;=$E20,R$10+4&gt;=$D20,R$11&gt;0),1,0)</x:f>
        <x:v>0</x:v>
      </x:c>
      <x:c r="S20" s="31" t="n">
        <x:f>IF(AND(S$10&lt;=$E20,S$10+4&gt;=$D20,S$11&gt;0),1,0)</x:f>
        <x:v>0</x:v>
      </x:c>
      <x:c r="T20" s="31" t="n">
        <x:f>IF(AND(T$10&lt;=$E20,T$10+4&gt;=$D20,T$11&gt;0),1,0)</x:f>
        <x:v>0</x:v>
      </x:c>
      <x:c r="U20" s="31" t="n">
        <x:f>IF(AND(U$10&lt;=$E20,U$10+4&gt;=$D20,U$11&gt;0),1,0)</x:f>
        <x:v>0</x:v>
      </x:c>
      <x:c r="V20" s="31" t="n">
        <x:f>IF(AND(V$10&lt;=$E20,V$10+4&gt;=$D20,V$11&gt;0),1,0)</x:f>
        <x:v>0</x:v>
      </x:c>
      <x:c r="W20" s="31" t="n">
        <x:f>IF(AND(W$10&lt;=$E20,W$10+4&gt;=$D20,W$11&gt;0),1,0)</x:f>
        <x:v>0</x:v>
      </x:c>
    </x:row>
    <x:row r="21" ht="31" customHeight="1">
      <x:c r="A21" s="2" t="str">
        <x:v>P10</x:v>
      </x:c>
      <x:c r="B21" s="2" t="str">
        <x:v>Continuous technical automation</x:v>
      </x:c>
      <x:c r="C21" s="28" t="str">
        <x:v>Tester 1</x:v>
      </x:c>
      <x:c r="D21" s="14" t="n">
        <x:f>MIN(INDEX('Task Plan'!$J$8:$J$85,MATCH("Q01",'Task Plan'!$A$8:$A$85,0)),INDEX('Task Plan'!$J$8:$J$85,MATCH("Q02",'Task Plan'!$A$8:$A$85,0)),INDEX('Task Plan'!$J$8:$J$85,MATCH("Q03",'Task Plan'!$A$8:$A$85,0)),INDEX('Task Plan'!$J$8:$J$85,MATCH("Q04",'Task Plan'!$A$8:$A$85,0)),INDEX('Task Plan'!$J$8:$J$85,MATCH("Q05",'Task Plan'!$A$8:$A$85,0)),INDEX('Task Plan'!$J$8:$J$85,MATCH("Q06",'Task Plan'!$A$8:$A$85,0)),INDEX('Task Plan'!$J$8:$J$85,MATCH("Q07",'Task Plan'!$A$8:$A$85,0)),INDEX('Task Plan'!$J$8:$J$85,MATCH("Q08",'Task Plan'!$A$8:$A$85,0)))</x:f>
        <x:v>46328</x:v>
      </x:c>
      <x:c r="E21" s="14" t="n">
        <x:f>MAX(INDEX('Task Plan'!$K$8:$K$85,MATCH("Q01",'Task Plan'!$A$8:$A$85,0)),INDEX('Task Plan'!$K$8:$K$85,MATCH("Q02",'Task Plan'!$A$8:$A$85,0)),INDEX('Task Plan'!$K$8:$K$85,MATCH("Q03",'Task Plan'!$A$8:$A$85,0)),INDEX('Task Plan'!$K$8:$K$85,MATCH("Q04",'Task Plan'!$A$8:$A$85,0)),INDEX('Task Plan'!$K$8:$K$85,MATCH("Q05",'Task Plan'!$A$8:$A$85,0)),INDEX('Task Plan'!$K$8:$K$85,MATCH("Q06",'Task Plan'!$A$8:$A$85,0)),INDEX('Task Plan'!$K$8:$K$85,MATCH("Q07",'Task Plan'!$A$8:$A$85,0)),INDEX('Task Plan'!$K$8:$K$85,MATCH("Q08",'Task Plan'!$A$8:$A$85,0)))</x:f>
        <x:v>46388</x:v>
      </x:c>
      <x:c r="F21" s="2"/>
      <x:c r="G21" s="31" t="n">
        <x:f>IF(AND(G$10&lt;=$E21,G$10+4&gt;=$D21,G$11&gt;0),1,0)</x:f>
        <x:v>1</x:v>
      </x:c>
      <x:c r="H21" s="31" t="n">
        <x:f>IF(AND(H$10&lt;=$E21,H$10+4&gt;=$D21,H$11&gt;0),1,0)</x:f>
        <x:v>1</x:v>
      </x:c>
      <x:c r="I21" s="31" t="n">
        <x:f>IF(AND(I$10&lt;=$E21,I$10+4&gt;=$D21,I$11&gt;0),1,0)</x:f>
        <x:v>1</x:v>
      </x:c>
      <x:c r="J21" s="31" t="n">
        <x:f>IF(AND(J$10&lt;=$E21,J$10+4&gt;=$D21,J$11&gt;0),1,0)</x:f>
        <x:v>1</x:v>
      </x:c>
      <x:c r="K21" s="31" t="n">
        <x:f>IF(AND(K$10&lt;=$E21,K$10+4&gt;=$D21,K$11&gt;0),1,0)</x:f>
        <x:v>1</x:v>
      </x:c>
      <x:c r="L21" s="31" t="n">
        <x:f>IF(AND(L$10&lt;=$E21,L$10+4&gt;=$D21,L$11&gt;0),1,0)</x:f>
        <x:v>1</x:v>
      </x:c>
      <x:c r="M21" s="31" t="n">
        <x:f>IF(AND(M$10&lt;=$E21,M$10+4&gt;=$D21,M$11&gt;0),1,0)</x:f>
        <x:v>1</x:v>
      </x:c>
      <x:c r="N21" s="31" t="n">
        <x:f>IF(AND(N$10&lt;=$E21,N$10+4&gt;=$D21,N$11&gt;0),1,0)</x:f>
        <x:v>1</x:v>
      </x:c>
      <x:c r="O21" s="31" t="n">
        <x:f>IF(AND(O$10&lt;=$E21,O$10+4&gt;=$D21,O$11&gt;0),1,0)</x:f>
        <x:v>1</x:v>
      </x:c>
      <x:c r="P21" s="31" t="n">
        <x:f>IF(AND(P$10&lt;=$E21,P$10+4&gt;=$D21,P$11&gt;0),1,0)</x:f>
        <x:v>0</x:v>
      </x:c>
      <x:c r="Q21" s="31" t="n">
        <x:f>IF(AND(Q$10&lt;=$E21,Q$10+4&gt;=$D21,Q$11&gt;0),1,0)</x:f>
        <x:v>0</x:v>
      </x:c>
      <x:c r="R21" s="31" t="n">
        <x:f>IF(AND(R$10&lt;=$E21,R$10+4&gt;=$D21,R$11&gt;0),1,0)</x:f>
        <x:v>0</x:v>
      </x:c>
      <x:c r="S21" s="31" t="n">
        <x:f>IF(AND(S$10&lt;=$E21,S$10+4&gt;=$D21,S$11&gt;0),1,0)</x:f>
        <x:v>0</x:v>
      </x:c>
      <x:c r="T21" s="31" t="n">
        <x:f>IF(AND(T$10&lt;=$E21,T$10+4&gt;=$D21,T$11&gt;0),1,0)</x:f>
        <x:v>0</x:v>
      </x:c>
      <x:c r="U21" s="31" t="n">
        <x:f>IF(AND(U$10&lt;=$E21,U$10+4&gt;=$D21,U$11&gt;0),1,0)</x:f>
        <x:v>0</x:v>
      </x:c>
      <x:c r="V21" s="31" t="n">
        <x:f>IF(AND(V$10&lt;=$E21,V$10+4&gt;=$D21,V$11&gt;0),1,0)</x:f>
        <x:v>0</x:v>
      </x:c>
      <x:c r="W21" s="31" t="n">
        <x:f>IF(AND(W$10&lt;=$E21,W$10+4&gt;=$D21,W$11&gt;0),1,0)</x:f>
        <x:v>0</x:v>
      </x:c>
    </x:row>
    <x:row r="22" ht="31" customHeight="1">
      <x:c r="A22" s="2" t="str">
        <x:v>P11</x:v>
      </x:c>
      <x:c r="B22" s="2" t="str">
        <x:v>Continuous business acceptance</x:v>
      </x:c>
      <x:c r="C22" s="30" t="str">
        <x:v>Tester 2</x:v>
      </x:c>
      <x:c r="D22" s="14" t="n">
        <x:f>MIN(INDEX('Task Plan'!$J$8:$J$85,MATCH("U03",'Task Plan'!$A$8:$A$85,0)),INDEX('Task Plan'!$J$8:$J$85,MATCH("U04",'Task Plan'!$A$8:$A$85,0)),INDEX('Task Plan'!$J$8:$J$85,MATCH("U05",'Task Plan'!$A$8:$A$85,0)),INDEX('Task Plan'!$J$8:$J$85,MATCH("U06",'Task Plan'!$A$8:$A$85,0)),INDEX('Task Plan'!$J$8:$J$85,MATCH("U07",'Task Plan'!$A$8:$A$85,0)),INDEX('Task Plan'!$J$8:$J$85,MATCH("U08",'Task Plan'!$A$8:$A$85,0)),INDEX('Task Plan'!$J$8:$J$85,MATCH("U09",'Task Plan'!$A$8:$A$85,0)))</x:f>
        <x:v>46342</x:v>
      </x:c>
      <x:c r="E22" s="14" t="n">
        <x:f>MAX(INDEX('Task Plan'!$K$8:$K$85,MATCH("U03",'Task Plan'!$A$8:$A$85,0)),INDEX('Task Plan'!$K$8:$K$85,MATCH("U04",'Task Plan'!$A$8:$A$85,0)),INDEX('Task Plan'!$K$8:$K$85,MATCH("U05",'Task Plan'!$A$8:$A$85,0)),INDEX('Task Plan'!$K$8:$K$85,MATCH("U06",'Task Plan'!$A$8:$A$85,0)),INDEX('Task Plan'!$K$8:$K$85,MATCH("U07",'Task Plan'!$A$8:$A$85,0)),INDEX('Task Plan'!$K$8:$K$85,MATCH("U08",'Task Plan'!$A$8:$A$85,0)),INDEX('Task Plan'!$K$8:$K$85,MATCH("U09",'Task Plan'!$A$8:$A$85,0)))</x:f>
        <x:v>46395</x:v>
      </x:c>
      <x:c r="F22" s="2"/>
      <x:c r="G22" s="31" t="n">
        <x:f>IF(AND(G$10&lt;=$E22,G$10+4&gt;=$D22,G$11&gt;0),1,0)</x:f>
        <x:v>0</x:v>
      </x:c>
      <x:c r="H22" s="31" t="n">
        <x:f>IF(AND(H$10&lt;=$E22,H$10+4&gt;=$D22,H$11&gt;0),1,0)</x:f>
        <x:v>0</x:v>
      </x:c>
      <x:c r="I22" s="31" t="n">
        <x:f>IF(AND(I$10&lt;=$E22,I$10+4&gt;=$D22,I$11&gt;0),1,0)</x:f>
        <x:v>1</x:v>
      </x:c>
      <x:c r="J22" s="31" t="n">
        <x:f>IF(AND(J$10&lt;=$E22,J$10+4&gt;=$D22,J$11&gt;0),1,0)</x:f>
        <x:v>1</x:v>
      </x:c>
      <x:c r="K22" s="31" t="n">
        <x:f>IF(AND(K$10&lt;=$E22,K$10+4&gt;=$D22,K$11&gt;0),1,0)</x:f>
        <x:v>1</x:v>
      </x:c>
      <x:c r="L22" s="31" t="n">
        <x:f>IF(AND(L$10&lt;=$E22,L$10+4&gt;=$D22,L$11&gt;0),1,0)</x:f>
        <x:v>1</x:v>
      </x:c>
      <x:c r="M22" s="31" t="n">
        <x:f>IF(AND(M$10&lt;=$E22,M$10+4&gt;=$D22,M$11&gt;0),1,0)</x:f>
        <x:v>1</x:v>
      </x:c>
      <x:c r="N22" s="31" t="n">
        <x:f>IF(AND(N$10&lt;=$E22,N$10+4&gt;=$D22,N$11&gt;0),1,0)</x:f>
        <x:v>1</x:v>
      </x:c>
      <x:c r="O22" s="31" t="n">
        <x:f>IF(AND(O$10&lt;=$E22,O$10+4&gt;=$D22,O$11&gt;0),1,0)</x:f>
        <x:v>1</x:v>
      </x:c>
      <x:c r="P22" s="31" t="n">
        <x:f>IF(AND(P$10&lt;=$E22,P$10+4&gt;=$D22,P$11&gt;0),1,0)</x:f>
        <x:v>1</x:v>
      </x:c>
      <x:c r="Q22" s="31" t="n">
        <x:f>IF(AND(Q$10&lt;=$E22,Q$10+4&gt;=$D22,Q$11&gt;0),1,0)</x:f>
        <x:v>0</x:v>
      </x:c>
      <x:c r="R22" s="31" t="n">
        <x:f>IF(AND(R$10&lt;=$E22,R$10+4&gt;=$D22,R$11&gt;0),1,0)</x:f>
        <x:v>0</x:v>
      </x:c>
      <x:c r="S22" s="31" t="n">
        <x:f>IF(AND(S$10&lt;=$E22,S$10+4&gt;=$D22,S$11&gt;0),1,0)</x:f>
        <x:v>0</x:v>
      </x:c>
      <x:c r="T22" s="31" t="n">
        <x:f>IF(AND(T$10&lt;=$E22,T$10+4&gt;=$D22,T$11&gt;0),1,0)</x:f>
        <x:v>0</x:v>
      </x:c>
      <x:c r="U22" s="31" t="n">
        <x:f>IF(AND(U$10&lt;=$E22,U$10+4&gt;=$D22,U$11&gt;0),1,0)</x:f>
        <x:v>0</x:v>
      </x:c>
      <x:c r="V22" s="31" t="n">
        <x:f>IF(AND(V$10&lt;=$E22,V$10+4&gt;=$D22,V$11&gt;0),1,0)</x:f>
        <x:v>0</x:v>
      </x:c>
      <x:c r="W22" s="31" t="n">
        <x:f>IF(AND(W$10&lt;=$E22,W$10+4&gt;=$D22,W$11&gt;0),1,0)</x:f>
        <x:v>0</x:v>
      </x:c>
    </x:row>
    <x:row r="23" ht="31" customHeight="1">
      <x:c r="A23" s="2" t="str">
        <x:v>P12</x:v>
      </x:c>
      <x:c r="B23" s="2" t="str">
        <x:v>System, HA and recovery qualification</x:v>
      </x:c>
      <x:c r="C23" s="28" t="str">
        <x:v>Tester 1</x:v>
      </x:c>
      <x:c r="D23" s="14" t="n">
        <x:f>MIN(INDEX('Task Plan'!$J$8:$J$85,MATCH("Q09",'Task Plan'!$A$8:$A$85,0)),INDEX('Task Plan'!$J$8:$J$85,MATCH("Q10",'Task Plan'!$A$8:$A$85,0)),INDEX('Task Plan'!$J$8:$J$85,MATCH("A09",'Task Plan'!$A$8:$A$85,0)),INDEX('Task Plan'!$J$8:$J$85,MATCH("A10",'Task Plan'!$A$8:$A$85,0)))</x:f>
        <x:v>46391</x:v>
      </x:c>
      <x:c r="E23" s="14" t="n">
        <x:f>MAX(INDEX('Task Plan'!$K$8:$K$85,MATCH("Q09",'Task Plan'!$A$8:$A$85,0)),INDEX('Task Plan'!$K$8:$K$85,MATCH("Q10",'Task Plan'!$A$8:$A$85,0)),INDEX('Task Plan'!$K$8:$K$85,MATCH("A09",'Task Plan'!$A$8:$A$85,0)),INDEX('Task Plan'!$K$8:$K$85,MATCH("A10",'Task Plan'!$A$8:$A$85,0)))</x:f>
        <x:v>46402</x:v>
      </x:c>
      <x:c r="F23" s="2"/>
      <x:c r="G23" s="31" t="n">
        <x:f>IF(AND(G$10&lt;=$E23,G$10+4&gt;=$D23,G$11&gt;0),1,0)</x:f>
        <x:v>0</x:v>
      </x:c>
      <x:c r="H23" s="31" t="n">
        <x:f>IF(AND(H$10&lt;=$E23,H$10+4&gt;=$D23,H$11&gt;0),1,0)</x:f>
        <x:v>0</x:v>
      </x:c>
      <x:c r="I23" s="31" t="n">
        <x:f>IF(AND(I$10&lt;=$E23,I$10+4&gt;=$D23,I$11&gt;0),1,0)</x:f>
        <x:v>0</x:v>
      </x:c>
      <x:c r="J23" s="31" t="n">
        <x:f>IF(AND(J$10&lt;=$E23,J$10+4&gt;=$D23,J$11&gt;0),1,0)</x:f>
        <x:v>0</x:v>
      </x:c>
      <x:c r="K23" s="31" t="n">
        <x:f>IF(AND(K$10&lt;=$E23,K$10+4&gt;=$D23,K$11&gt;0),1,0)</x:f>
        <x:v>0</x:v>
      </x:c>
      <x:c r="L23" s="31" t="n">
        <x:f>IF(AND(L$10&lt;=$E23,L$10+4&gt;=$D23,L$11&gt;0),1,0)</x:f>
        <x:v>0</x:v>
      </x:c>
      <x:c r="M23" s="31" t="n">
        <x:f>IF(AND(M$10&lt;=$E23,M$10+4&gt;=$D23,M$11&gt;0),1,0)</x:f>
        <x:v>0</x:v>
      </x:c>
      <x:c r="N23" s="31" t="n">
        <x:f>IF(AND(N$10&lt;=$E23,N$10+4&gt;=$D23,N$11&gt;0),1,0)</x:f>
        <x:v>0</x:v>
      </x:c>
      <x:c r="O23" s="31" t="n">
        <x:f>IF(AND(O$10&lt;=$E23,O$10+4&gt;=$D23,O$11&gt;0),1,0)</x:f>
        <x:v>0</x:v>
      </x:c>
      <x:c r="P23" s="31" t="n">
        <x:f>IF(AND(P$10&lt;=$E23,P$10+4&gt;=$D23,P$11&gt;0),1,0)</x:f>
        <x:v>1</x:v>
      </x:c>
      <x:c r="Q23" s="31" t="n">
        <x:f>IF(AND(Q$10&lt;=$E23,Q$10+4&gt;=$D23,Q$11&gt;0),1,0)</x:f>
        <x:v>1</x:v>
      </x:c>
      <x:c r="R23" s="31" t="n">
        <x:f>IF(AND(R$10&lt;=$E23,R$10+4&gt;=$D23,R$11&gt;0),1,0)</x:f>
        <x:v>0</x:v>
      </x:c>
      <x:c r="S23" s="31" t="n">
        <x:f>IF(AND(S$10&lt;=$E23,S$10+4&gt;=$D23,S$11&gt;0),1,0)</x:f>
        <x:v>0</x:v>
      </x:c>
      <x:c r="T23" s="31" t="n">
        <x:f>IF(AND(T$10&lt;=$E23,T$10+4&gt;=$D23,T$11&gt;0),1,0)</x:f>
        <x:v>0</x:v>
      </x:c>
      <x:c r="U23" s="31" t="n">
        <x:f>IF(AND(U$10&lt;=$E23,U$10+4&gt;=$D23,U$11&gt;0),1,0)</x:f>
        <x:v>0</x:v>
      </x:c>
      <x:c r="V23" s="31" t="n">
        <x:f>IF(AND(V$10&lt;=$E23,V$10+4&gt;=$D23,V$11&gt;0),1,0)</x:f>
        <x:v>0</x:v>
      </x:c>
      <x:c r="W23" s="31" t="n">
        <x:f>IF(AND(W$10&lt;=$E23,W$10+4&gt;=$D23,W$11&gt;0),1,0)</x:f>
        <x:v>0</x:v>
      </x:c>
    </x:row>
    <x:row r="24" ht="31" customHeight="1">
      <x:c r="A24" s="2" t="str">
        <x:v>P13</x:v>
      </x:c>
      <x:c r="B24" s="2" t="str">
        <x:v>Independent frozen-candidate evaluation</x:v>
      </x:c>
      <x:c r="C24" s="30" t="str">
        <x:v>Tester 2</x:v>
      </x:c>
      <x:c r="D24" s="14" t="n">
        <x:f>MIN(INDEX('Task Plan'!$J$8:$J$85,MATCH("U10",'Task Plan'!$A$8:$A$85,0)),INDEX('Task Plan'!$J$8:$J$85,MATCH("S10",'Task Plan'!$A$8:$A$85,0)))</x:f>
        <x:v>46398</x:v>
      </x:c>
      <x:c r="E24" s="14" t="n">
        <x:f>MAX(INDEX('Task Plan'!$K$8:$K$85,MATCH("U10",'Task Plan'!$A$8:$A$85,0)),INDEX('Task Plan'!$K$8:$K$85,MATCH("S10",'Task Plan'!$A$8:$A$85,0)))</x:f>
        <x:v>46402</x:v>
      </x:c>
      <x:c r="F24" s="2"/>
      <x:c r="G24" s="31" t="n">
        <x:f>IF(AND(G$10&lt;=$E24,G$10+4&gt;=$D24,G$11&gt;0),1,0)</x:f>
        <x:v>0</x:v>
      </x:c>
      <x:c r="H24" s="31" t="n">
        <x:f>IF(AND(H$10&lt;=$E24,H$10+4&gt;=$D24,H$11&gt;0),1,0)</x:f>
        <x:v>0</x:v>
      </x:c>
      <x:c r="I24" s="31" t="n">
        <x:f>IF(AND(I$10&lt;=$E24,I$10+4&gt;=$D24,I$11&gt;0),1,0)</x:f>
        <x:v>0</x:v>
      </x:c>
      <x:c r="J24" s="31" t="n">
        <x:f>IF(AND(J$10&lt;=$E24,J$10+4&gt;=$D24,J$11&gt;0),1,0)</x:f>
        <x:v>0</x:v>
      </x:c>
      <x:c r="K24" s="31" t="n">
        <x:f>IF(AND(K$10&lt;=$E24,K$10+4&gt;=$D24,K$11&gt;0),1,0)</x:f>
        <x:v>0</x:v>
      </x:c>
      <x:c r="L24" s="31" t="n">
        <x:f>IF(AND(L$10&lt;=$E24,L$10+4&gt;=$D24,L$11&gt;0),1,0)</x:f>
        <x:v>0</x:v>
      </x:c>
      <x:c r="M24" s="31" t="n">
        <x:f>IF(AND(M$10&lt;=$E24,M$10+4&gt;=$D24,M$11&gt;0),1,0)</x:f>
        <x:v>0</x:v>
      </x:c>
      <x:c r="N24" s="31" t="n">
        <x:f>IF(AND(N$10&lt;=$E24,N$10+4&gt;=$D24,N$11&gt;0),1,0)</x:f>
        <x:v>0</x:v>
      </x:c>
      <x:c r="O24" s="31" t="n">
        <x:f>IF(AND(O$10&lt;=$E24,O$10+4&gt;=$D24,O$11&gt;0),1,0)</x:f>
        <x:v>0</x:v>
      </x:c>
      <x:c r="P24" s="31" t="n">
        <x:f>IF(AND(P$10&lt;=$E24,P$10+4&gt;=$D24,P$11&gt;0),1,0)</x:f>
        <x:v>0</x:v>
      </x:c>
      <x:c r="Q24" s="31" t="n">
        <x:f>IF(AND(Q$10&lt;=$E24,Q$10+4&gt;=$D24,Q$11&gt;0),1,0)</x:f>
        <x:v>1</x:v>
      </x:c>
      <x:c r="R24" s="31" t="n">
        <x:f>IF(AND(R$10&lt;=$E24,R$10+4&gt;=$D24,R$11&gt;0),1,0)</x:f>
        <x:v>0</x:v>
      </x:c>
      <x:c r="S24" s="31" t="n">
        <x:f>IF(AND(S$10&lt;=$E24,S$10+4&gt;=$D24,S$11&gt;0),1,0)</x:f>
        <x:v>0</x:v>
      </x:c>
      <x:c r="T24" s="31" t="n">
        <x:f>IF(AND(T$10&lt;=$E24,T$10+4&gt;=$D24,T$11&gt;0),1,0)</x:f>
        <x:v>0</x:v>
      </x:c>
      <x:c r="U24" s="31" t="n">
        <x:f>IF(AND(U$10&lt;=$E24,U$10+4&gt;=$D24,U$11&gt;0),1,0)</x:f>
        <x:v>0</x:v>
      </x:c>
      <x:c r="V24" s="31" t="n">
        <x:f>IF(AND(V$10&lt;=$E24,V$10+4&gt;=$D24,V$11&gt;0),1,0)</x:f>
        <x:v>0</x:v>
      </x:c>
      <x:c r="W24" s="31" t="n">
        <x:f>IF(AND(W$10&lt;=$E24,W$10+4&gt;=$D24,W$11&gt;0),1,0)</x:f>
        <x:v>0</x:v>
      </x:c>
    </x:row>
    <x:row r="25" ht="31" customHeight="1">
      <x:c r="A25" s="2" t="str">
        <x:v>P14</x:v>
      </x:c>
      <x:c r="B25" s="2" t="str">
        <x:v>Pilot AM UAT, fixes and acceptance</x:v>
      </x:c>
      <x:c r="C25" s="30" t="str">
        <x:v>Tester 2</x:v>
      </x:c>
      <x:c r="D25" s="14" t="n">
        <x:f>MIN(INDEX('Task Plan'!$J$8:$J$85,MATCH("U11",'Task Plan'!$A$8:$A$85,0)),INDEX('Task Plan'!$J$8:$J$85,MATCH("U12",'Task Plan'!$A$8:$A$85,0)),INDEX('Task Plan'!$J$8:$J$85,MATCH("B11",'Task Plan'!$A$8:$A$85,0)),INDEX('Task Plan'!$J$8:$J$85,MATCH("B12",'Task Plan'!$A$8:$A$85,0)),INDEX('Task Plan'!$J$8:$J$85,MATCH("A11",'Task Plan'!$A$8:$A$85,0)),INDEX('Task Plan'!$J$8:$J$85,MATCH("A12",'Task Plan'!$A$8:$A$85,0)),INDEX('Task Plan'!$J$8:$J$85,MATCH("S11",'Task Plan'!$A$8:$A$85,0)),INDEX('Task Plan'!$J$8:$J$85,MATCH("S12",'Task Plan'!$A$8:$A$85,0)))</x:f>
        <x:v>46405</x:v>
      </x:c>
      <x:c r="E25" s="14" t="n">
        <x:f>MAX(INDEX('Task Plan'!$K$8:$K$85,MATCH("U11",'Task Plan'!$A$8:$A$85,0)),INDEX('Task Plan'!$K$8:$K$85,MATCH("U12",'Task Plan'!$A$8:$A$85,0)),INDEX('Task Plan'!$K$8:$K$85,MATCH("B11",'Task Plan'!$A$8:$A$85,0)),INDEX('Task Plan'!$K$8:$K$85,MATCH("B12",'Task Plan'!$A$8:$A$85,0)),INDEX('Task Plan'!$K$8:$K$85,MATCH("A11",'Task Plan'!$A$8:$A$85,0)),INDEX('Task Plan'!$K$8:$K$85,MATCH("A12",'Task Plan'!$A$8:$A$85,0)),INDEX('Task Plan'!$K$8:$K$85,MATCH("S11",'Task Plan'!$A$8:$A$85,0)),INDEX('Task Plan'!$K$8:$K$85,MATCH("S12",'Task Plan'!$A$8:$A$85,0)))</x:f>
        <x:v>46416</x:v>
      </x:c>
      <x:c r="F25" s="2"/>
      <x:c r="G25" s="31" t="n">
        <x:f>IF(AND(G$10&lt;=$E25,G$10+4&gt;=$D25,G$11&gt;0),1,0)</x:f>
        <x:v>0</x:v>
      </x:c>
      <x:c r="H25" s="31" t="n">
        <x:f>IF(AND(H$10&lt;=$E25,H$10+4&gt;=$D25,H$11&gt;0),1,0)</x:f>
        <x:v>0</x:v>
      </x:c>
      <x:c r="I25" s="31" t="n">
        <x:f>IF(AND(I$10&lt;=$E25,I$10+4&gt;=$D25,I$11&gt;0),1,0)</x:f>
        <x:v>0</x:v>
      </x:c>
      <x:c r="J25" s="31" t="n">
        <x:f>IF(AND(J$10&lt;=$E25,J$10+4&gt;=$D25,J$11&gt;0),1,0)</x:f>
        <x:v>0</x:v>
      </x:c>
      <x:c r="K25" s="31" t="n">
        <x:f>IF(AND(K$10&lt;=$E25,K$10+4&gt;=$D25,K$11&gt;0),1,0)</x:f>
        <x:v>0</x:v>
      </x:c>
      <x:c r="L25" s="31" t="n">
        <x:f>IF(AND(L$10&lt;=$E25,L$10+4&gt;=$D25,L$11&gt;0),1,0)</x:f>
        <x:v>0</x:v>
      </x:c>
      <x:c r="M25" s="31" t="n">
        <x:f>IF(AND(M$10&lt;=$E25,M$10+4&gt;=$D25,M$11&gt;0),1,0)</x:f>
        <x:v>0</x:v>
      </x:c>
      <x:c r="N25" s="31" t="n">
        <x:f>IF(AND(N$10&lt;=$E25,N$10+4&gt;=$D25,N$11&gt;0),1,0)</x:f>
        <x:v>0</x:v>
      </x:c>
      <x:c r="O25" s="31" t="n">
        <x:f>IF(AND(O$10&lt;=$E25,O$10+4&gt;=$D25,O$11&gt;0),1,0)</x:f>
        <x:v>0</x:v>
      </x:c>
      <x:c r="P25" s="31" t="n">
        <x:f>IF(AND(P$10&lt;=$E25,P$10+4&gt;=$D25,P$11&gt;0),1,0)</x:f>
        <x:v>0</x:v>
      </x:c>
      <x:c r="Q25" s="31" t="n">
        <x:f>IF(AND(Q$10&lt;=$E25,Q$10+4&gt;=$D25,Q$11&gt;0),1,0)</x:f>
        <x:v>0</x:v>
      </x:c>
      <x:c r="R25" s="31" t="n">
        <x:f>IF(AND(R$10&lt;=$E25,R$10+4&gt;=$D25,R$11&gt;0),1,0)</x:f>
        <x:v>1</x:v>
      </x:c>
      <x:c r="S25" s="31" t="n">
        <x:f>IF(AND(S$10&lt;=$E25,S$10+4&gt;=$D25,S$11&gt;0),1,0)</x:f>
        <x:v>1</x:v>
      </x:c>
      <x:c r="T25" s="31" t="n">
        <x:f>IF(AND(T$10&lt;=$E25,T$10+4&gt;=$D25,T$11&gt;0),1,0)</x:f>
        <x:v>0</x:v>
      </x:c>
      <x:c r="U25" s="31" t="n">
        <x:f>IF(AND(U$10&lt;=$E25,U$10+4&gt;=$D25,U$11&gt;0),1,0)</x:f>
        <x:v>0</x:v>
      </x:c>
      <x:c r="V25" s="31" t="n">
        <x:f>IF(AND(V$10&lt;=$E25,V$10+4&gt;=$D25,V$11&gt;0),1,0)</x:f>
        <x:v>0</x:v>
      </x:c>
      <x:c r="W25" s="31" t="n">
        <x:f>IF(AND(W$10&lt;=$E25,W$10+4&gt;=$D25,W$11&gt;0),1,0)</x:f>
        <x:v>0</x:v>
      </x:c>
    </x:row>
    <x:row r="26" ht="31" customHeight="1">
      <x:c r="A26" s="2" t="str">
        <x:v>P15</x:v>
      </x:c>
      <x:c r="B26" s="2" t="str">
        <x:v>Pre-holiday release checkpoint</x:v>
      </x:c>
      <x:c r="C26" s="20" t="str">
        <x:v>Dev 1</x:v>
      </x:c>
      <x:c r="D26" s="14" t="n">
        <x:f>MIN(INDEX('Task Plan'!$J$8:$J$85,MATCH("A13",'Task Plan'!$A$8:$A$85,0)),INDEX('Task Plan'!$J$8:$J$85,MATCH("B13",'Task Plan'!$A$8:$A$85,0)),INDEX('Task Plan'!$J$8:$J$85,MATCH("S13",'Task Plan'!$A$8:$A$85,0)),INDEX('Task Plan'!$J$8:$J$85,MATCH("Q13",'Task Plan'!$A$8:$A$85,0)),INDEX('Task Plan'!$J$8:$J$85,MATCH("U13",'Task Plan'!$A$8:$A$85,0)))</x:f>
        <x:v>46419</x:v>
      </x:c>
      <x:c r="E26" s="14" t="n">
        <x:f>MAX(INDEX('Task Plan'!$K$8:$K$85,MATCH("A13",'Task Plan'!$A$8:$A$85,0)),INDEX('Task Plan'!$K$8:$K$85,MATCH("B13",'Task Plan'!$A$8:$A$85,0)),INDEX('Task Plan'!$K$8:$K$85,MATCH("S13",'Task Plan'!$A$8:$A$85,0)),INDEX('Task Plan'!$K$8:$K$85,MATCH("Q13",'Task Plan'!$A$8:$A$85,0)),INDEX('Task Plan'!$K$8:$K$85,MATCH("U13",'Task Plan'!$A$8:$A$85,0)))</x:f>
        <x:v>46420</x:v>
      </x:c>
      <x:c r="F26" s="2"/>
      <x:c r="G26" s="31" t="n">
        <x:f>IF(AND(G$10&lt;=$E26,G$10+4&gt;=$D26,G$11&gt;0),1,0)</x:f>
        <x:v>0</x:v>
      </x:c>
      <x:c r="H26" s="31" t="n">
        <x:f>IF(AND(H$10&lt;=$E26,H$10+4&gt;=$D26,H$11&gt;0),1,0)</x:f>
        <x:v>0</x:v>
      </x:c>
      <x:c r="I26" s="31" t="n">
        <x:f>IF(AND(I$10&lt;=$E26,I$10+4&gt;=$D26,I$11&gt;0),1,0)</x:f>
        <x:v>0</x:v>
      </x:c>
      <x:c r="J26" s="31" t="n">
        <x:f>IF(AND(J$10&lt;=$E26,J$10+4&gt;=$D26,J$11&gt;0),1,0)</x:f>
        <x:v>0</x:v>
      </x:c>
      <x:c r="K26" s="31" t="n">
        <x:f>IF(AND(K$10&lt;=$E26,K$10+4&gt;=$D26,K$11&gt;0),1,0)</x:f>
        <x:v>0</x:v>
      </x:c>
      <x:c r="L26" s="31" t="n">
        <x:f>IF(AND(L$10&lt;=$E26,L$10+4&gt;=$D26,L$11&gt;0),1,0)</x:f>
        <x:v>0</x:v>
      </x:c>
      <x:c r="M26" s="31" t="n">
        <x:f>IF(AND(M$10&lt;=$E26,M$10+4&gt;=$D26,M$11&gt;0),1,0)</x:f>
        <x:v>0</x:v>
      </x:c>
      <x:c r="N26" s="31" t="n">
        <x:f>IF(AND(N$10&lt;=$E26,N$10+4&gt;=$D26,N$11&gt;0),1,0)</x:f>
        <x:v>0</x:v>
      </x:c>
      <x:c r="O26" s="31" t="n">
        <x:f>IF(AND(O$10&lt;=$E26,O$10+4&gt;=$D26,O$11&gt;0),1,0)</x:f>
        <x:v>0</x:v>
      </x:c>
      <x:c r="P26" s="31" t="n">
        <x:f>IF(AND(P$10&lt;=$E26,P$10+4&gt;=$D26,P$11&gt;0),1,0)</x:f>
        <x:v>0</x:v>
      </x:c>
      <x:c r="Q26" s="31" t="n">
        <x:f>IF(AND(Q$10&lt;=$E26,Q$10+4&gt;=$D26,Q$11&gt;0),1,0)</x:f>
        <x:v>0</x:v>
      </x:c>
      <x:c r="R26" s="31" t="n">
        <x:f>IF(AND(R$10&lt;=$E26,R$10+4&gt;=$D26,R$11&gt;0),1,0)</x:f>
        <x:v>0</x:v>
      </x:c>
      <x:c r="S26" s="31" t="n">
        <x:f>IF(AND(S$10&lt;=$E26,S$10+4&gt;=$D26,S$11&gt;0),1,0)</x:f>
        <x:v>0</x:v>
      </x:c>
      <x:c r="T26" s="31" t="n">
        <x:f>IF(AND(T$10&lt;=$E26,T$10+4&gt;=$D26,T$11&gt;0),1,0)</x:f>
        <x:v>1</x:v>
      </x:c>
      <x:c r="U26" s="31" t="n">
        <x:f>IF(AND(U$10&lt;=$E26,U$10+4&gt;=$D26,U$11&gt;0),1,0)</x:f>
        <x:v>0</x:v>
      </x:c>
      <x:c r="V26" s="31" t="n">
        <x:f>IF(AND(V$10&lt;=$E26,V$10+4&gt;=$D26,V$11&gt;0),1,0)</x:f>
        <x:v>0</x:v>
      </x:c>
      <x:c r="W26" s="31" t="n">
        <x:f>IF(AND(W$10&lt;=$E26,W$10+4&gt;=$D26,W$11&gt;0),1,0)</x:f>
        <x:v>0</x:v>
      </x:c>
    </x:row>
    <x:row r="27" ht="31" customHeight="1">
      <x:c r="A27" s="2" t="str">
        <x:v>P16</x:v>
      </x:c>
      <x:c r="B27" s="2" t="str">
        <x:v>Post-holiday full regression and readiness</x:v>
      </x:c>
      <x:c r="C27" s="28" t="str">
        <x:v>Tester 1</x:v>
      </x:c>
      <x:c r="D27" s="14" t="n">
        <x:f>MIN(INDEX('Task Plan'!$J$8:$J$85,MATCH("A14",'Task Plan'!$A$8:$A$85,0)),INDEX('Task Plan'!$J$8:$J$85,MATCH("B14",'Task Plan'!$A$8:$A$85,0)),INDEX('Task Plan'!$J$8:$J$85,MATCH("S14",'Task Plan'!$A$8:$A$85,0)),INDEX('Task Plan'!$J$8:$J$85,MATCH("Q14",'Task Plan'!$A$8:$A$85,0)),INDEX('Task Plan'!$J$8:$J$85,MATCH("U14",'Task Plan'!$A$8:$A$85,0)))</x:f>
        <x:v>46433</x:v>
      </x:c>
      <x:c r="E27" s="14" t="n">
        <x:f>MAX(INDEX('Task Plan'!$K$8:$K$85,MATCH("A14",'Task Plan'!$A$8:$A$85,0)),INDEX('Task Plan'!$K$8:$K$85,MATCH("B14",'Task Plan'!$A$8:$A$85,0)),INDEX('Task Plan'!$K$8:$K$85,MATCH("S14",'Task Plan'!$A$8:$A$85,0)),INDEX('Task Plan'!$K$8:$K$85,MATCH("Q14",'Task Plan'!$A$8:$A$85,0)),INDEX('Task Plan'!$K$8:$K$85,MATCH("U14",'Task Plan'!$A$8:$A$85,0)))</x:f>
        <x:v>46437</x:v>
      </x:c>
      <x:c r="F27" s="2"/>
      <x:c r="G27" s="31" t="n">
        <x:f>IF(AND(G$10&lt;=$E27,G$10+4&gt;=$D27,G$11&gt;0),1,0)</x:f>
        <x:v>0</x:v>
      </x:c>
      <x:c r="H27" s="31" t="n">
        <x:f>IF(AND(H$10&lt;=$E27,H$10+4&gt;=$D27,H$11&gt;0),1,0)</x:f>
        <x:v>0</x:v>
      </x:c>
      <x:c r="I27" s="31" t="n">
        <x:f>IF(AND(I$10&lt;=$E27,I$10+4&gt;=$D27,I$11&gt;0),1,0)</x:f>
        <x:v>0</x:v>
      </x:c>
      <x:c r="J27" s="31" t="n">
        <x:f>IF(AND(J$10&lt;=$E27,J$10+4&gt;=$D27,J$11&gt;0),1,0)</x:f>
        <x:v>0</x:v>
      </x:c>
      <x:c r="K27" s="31" t="n">
        <x:f>IF(AND(K$10&lt;=$E27,K$10+4&gt;=$D27,K$11&gt;0),1,0)</x:f>
        <x:v>0</x:v>
      </x:c>
      <x:c r="L27" s="31" t="n">
        <x:f>IF(AND(L$10&lt;=$E27,L$10+4&gt;=$D27,L$11&gt;0),1,0)</x:f>
        <x:v>0</x:v>
      </x:c>
      <x:c r="M27" s="31" t="n">
        <x:f>IF(AND(M$10&lt;=$E27,M$10+4&gt;=$D27,M$11&gt;0),1,0)</x:f>
        <x:v>0</x:v>
      </x:c>
      <x:c r="N27" s="31" t="n">
        <x:f>IF(AND(N$10&lt;=$E27,N$10+4&gt;=$D27,N$11&gt;0),1,0)</x:f>
        <x:v>0</x:v>
      </x:c>
      <x:c r="O27" s="31" t="n">
        <x:f>IF(AND(O$10&lt;=$E27,O$10+4&gt;=$D27,O$11&gt;0),1,0)</x:f>
        <x:v>0</x:v>
      </x:c>
      <x:c r="P27" s="31" t="n">
        <x:f>IF(AND(P$10&lt;=$E27,P$10+4&gt;=$D27,P$11&gt;0),1,0)</x:f>
        <x:v>0</x:v>
      </x:c>
      <x:c r="Q27" s="31" t="n">
        <x:f>IF(AND(Q$10&lt;=$E27,Q$10+4&gt;=$D27,Q$11&gt;0),1,0)</x:f>
        <x:v>0</x:v>
      </x:c>
      <x:c r="R27" s="31" t="n">
        <x:f>IF(AND(R$10&lt;=$E27,R$10+4&gt;=$D27,R$11&gt;0),1,0)</x:f>
        <x:v>0</x:v>
      </x:c>
      <x:c r="S27" s="31" t="n">
        <x:f>IF(AND(S$10&lt;=$E27,S$10+4&gt;=$D27,S$11&gt;0),1,0)</x:f>
        <x:v>0</x:v>
      </x:c>
      <x:c r="T27" s="31" t="n">
        <x:f>IF(AND(T$10&lt;=$E27,T$10+4&gt;=$D27,T$11&gt;0),1,0)</x:f>
        <x:v>0</x:v>
      </x:c>
      <x:c r="U27" s="31" t="n">
        <x:f>IF(AND(U$10&lt;=$E27,U$10+4&gt;=$D27,U$11&gt;0),1,0)</x:f>
        <x:v>0</x:v>
      </x:c>
      <x:c r="V27" s="31" t="n">
        <x:f>IF(AND(V$10&lt;=$E27,V$10+4&gt;=$D27,V$11&gt;0),1,0)</x:f>
        <x:v>1</x:v>
      </x:c>
      <x:c r="W27" s="31" t="n">
        <x:f>IF(AND(W$10&lt;=$E27,W$10+4&gt;=$D27,W$11&gt;0),1,0)</x:f>
        <x:v>0</x:v>
      </x:c>
    </x:row>
    <x:row r="28" ht="31" customHeight="1">
      <x:c r="A28" s="2" t="str">
        <x:v>P17</x:v>
      </x:c>
      <x:c r="B28" s="2" t="str">
        <x:v>Production rollout and care</x:v>
      </x:c>
      <x:c r="C28" s="22" t="str">
        <x:v>Dev 2</x:v>
      </x:c>
      <x:c r="D28" s="14" t="n">
        <x:f>MIN(INDEX('Task Plan'!$J$8:$J$85,MATCH("A15",'Task Plan'!$A$8:$A$85,0)),INDEX('Task Plan'!$J$8:$J$85,MATCH("B15",'Task Plan'!$A$8:$A$85,0)),INDEX('Task Plan'!$J$8:$J$85,MATCH("S15",'Task Plan'!$A$8:$A$85,0)),INDEX('Task Plan'!$J$8:$J$85,MATCH("Q15",'Task Plan'!$A$8:$A$85,0)),INDEX('Task Plan'!$J$8:$J$85,MATCH("U15",'Task Plan'!$A$8:$A$85,0)))</x:f>
        <x:v>46440</x:v>
      </x:c>
      <x:c r="E28" s="14" t="n">
        <x:f>MAX(INDEX('Task Plan'!$K$8:$K$85,MATCH("A15",'Task Plan'!$A$8:$A$85,0)),INDEX('Task Plan'!$K$8:$K$85,MATCH("B15",'Task Plan'!$A$8:$A$85,0)),INDEX('Task Plan'!$K$8:$K$85,MATCH("S15",'Task Plan'!$A$8:$A$85,0)),INDEX('Task Plan'!$K$8:$K$85,MATCH("Q15",'Task Plan'!$A$8:$A$85,0)),INDEX('Task Plan'!$K$8:$K$85,MATCH("U15",'Task Plan'!$A$8:$A$85,0)))</x:f>
        <x:v>46444</x:v>
      </x:c>
      <x:c r="F28" s="2"/>
      <x:c r="G28" s="31" t="n">
        <x:f>IF(AND(G$10&lt;=$E28,G$10+4&gt;=$D28,G$11&gt;0),1,0)</x:f>
        <x:v>0</x:v>
      </x:c>
      <x:c r="H28" s="31" t="n">
        <x:f>IF(AND(H$10&lt;=$E28,H$10+4&gt;=$D28,H$11&gt;0),1,0)</x:f>
        <x:v>0</x:v>
      </x:c>
      <x:c r="I28" s="31" t="n">
        <x:f>IF(AND(I$10&lt;=$E28,I$10+4&gt;=$D28,I$11&gt;0),1,0)</x:f>
        <x:v>0</x:v>
      </x:c>
      <x:c r="J28" s="31" t="n">
        <x:f>IF(AND(J$10&lt;=$E28,J$10+4&gt;=$D28,J$11&gt;0),1,0)</x:f>
        <x:v>0</x:v>
      </x:c>
      <x:c r="K28" s="31" t="n">
        <x:f>IF(AND(K$10&lt;=$E28,K$10+4&gt;=$D28,K$11&gt;0),1,0)</x:f>
        <x:v>0</x:v>
      </x:c>
      <x:c r="L28" s="31" t="n">
        <x:f>IF(AND(L$10&lt;=$E28,L$10+4&gt;=$D28,L$11&gt;0),1,0)</x:f>
        <x:v>0</x:v>
      </x:c>
      <x:c r="M28" s="31" t="n">
        <x:f>IF(AND(M$10&lt;=$E28,M$10+4&gt;=$D28,M$11&gt;0),1,0)</x:f>
        <x:v>0</x:v>
      </x:c>
      <x:c r="N28" s="31" t="n">
        <x:f>IF(AND(N$10&lt;=$E28,N$10+4&gt;=$D28,N$11&gt;0),1,0)</x:f>
        <x:v>0</x:v>
      </x:c>
      <x:c r="O28" s="31" t="n">
        <x:f>IF(AND(O$10&lt;=$E28,O$10+4&gt;=$D28,O$11&gt;0),1,0)</x:f>
        <x:v>0</x:v>
      </x:c>
      <x:c r="P28" s="31" t="n">
        <x:f>IF(AND(P$10&lt;=$E28,P$10+4&gt;=$D28,P$11&gt;0),1,0)</x:f>
        <x:v>0</x:v>
      </x:c>
      <x:c r="Q28" s="31" t="n">
        <x:f>IF(AND(Q$10&lt;=$E28,Q$10+4&gt;=$D28,Q$11&gt;0),1,0)</x:f>
        <x:v>0</x:v>
      </x:c>
      <x:c r="R28" s="31" t="n">
        <x:f>IF(AND(R$10&lt;=$E28,R$10+4&gt;=$D28,R$11&gt;0),1,0)</x:f>
        <x:v>0</x:v>
      </x:c>
      <x:c r="S28" s="31" t="n">
        <x:f>IF(AND(S$10&lt;=$E28,S$10+4&gt;=$D28,S$11&gt;0),1,0)</x:f>
        <x:v>0</x:v>
      </x:c>
      <x:c r="T28" s="31" t="n">
        <x:f>IF(AND(T$10&lt;=$E28,T$10+4&gt;=$D28,T$11&gt;0),1,0)</x:f>
        <x:v>0</x:v>
      </x:c>
      <x:c r="U28" s="31" t="n">
        <x:f>IF(AND(U$10&lt;=$E28,U$10+4&gt;=$D28,U$11&gt;0),1,0)</x:f>
        <x:v>0</x:v>
      </x:c>
      <x:c r="V28" s="31" t="n">
        <x:f>IF(AND(V$10&lt;=$E28,V$10+4&gt;=$D28,V$11&gt;0),1,0)</x:f>
        <x:v>0</x:v>
      </x:c>
      <x:c r="W28" s="31" t="n">
        <x:f>IF(AND(W$10&lt;=$E28,W$10+4&gt;=$D28,W$11&gt;0),1,0)</x:f>
        <x:v>1</x:v>
      </x:c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</x:row>
    <x:row r="31" ht="26" customHeight="1">
      <x:c r="A31" s="32" t="str">
        <x:v>Milestones and release gates</x:v>
      </x:c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32"/>
      <x:c r="U31" s="32"/>
      <x:c r="V31" s="32"/>
      <x:c r="W31" s="32"/>
    </x:row>
    <x:row r="32" ht="34" customHeight="1">
      <x:c r="A32" s="13" t="str">
        <x:v>Gate</x:v>
      </x:c>
      <x:c r="B32" s="13" t="str">
        <x:v>Milestone</x:v>
      </x:c>
      <x:c r="C32" s="13" t="str">
        <x:v>Accountable</x:v>
      </x:c>
      <x:c r="D32" s="13" t="str">
        <x:v>Review date</x:v>
      </x:c>
      <x:c r="E32" s="13" t="str">
        <x:v>Evidence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 ht="29" customHeight="1">
      <x:c r="A33" s="2" t="str">
        <x:v>G1</x:v>
      </x:c>
      <x:c r="B33" s="2" t="str">
        <x:f>'Team and Gates'!B54</x:f>
        <x:v>Identity and platform connected</x:v>
      </x:c>
      <x:c r="C33" s="2" t="str">
        <x:f>'Team and Gates'!E54</x:f>
        <x:v>Dev 2</x:v>
      </x:c>
      <x:c r="D33" s="56" t="n">
        <x:f>'Team and Gates'!D54</x:f>
        <x:v>46339</x:v>
      </x:c>
      <x:c r="E33" s="57" t="str">
        <x:f>'Team and Gates'!F54</x:f>
        <x:v>Not run</x:v>
      </x:c>
      <x:c r="F33" s="2"/>
      <x:c r="G33" s="31" t="n">
        <x:f>IF(AND($D33&gt;=G$10,$D33&lt;=G$10+4),1,0)</x:f>
        <x:v>0</x:v>
      </x:c>
      <x:c r="H33" s="31" t="n">
        <x:f>IF(AND($D33&gt;=H$10,$D33&lt;=H$10+4),1,0)</x:f>
        <x:v>1</x:v>
      </x:c>
      <x:c r="I33" s="31" t="n">
        <x:f>IF(AND($D33&gt;=I$10,$D33&lt;=I$10+4),1,0)</x:f>
        <x:v>0</x:v>
      </x:c>
      <x:c r="J33" s="31" t="n">
        <x:f>IF(AND($D33&gt;=J$10,$D33&lt;=J$10+4),1,0)</x:f>
        <x:v>0</x:v>
      </x:c>
      <x:c r="K33" s="31" t="n">
        <x:f>IF(AND($D33&gt;=K$10,$D33&lt;=K$10+4),1,0)</x:f>
        <x:v>0</x:v>
      </x:c>
      <x:c r="L33" s="31" t="n">
        <x:f>IF(AND($D33&gt;=L$10,$D33&lt;=L$10+4),1,0)</x:f>
        <x:v>0</x:v>
      </x:c>
      <x:c r="M33" s="31" t="n">
        <x:f>IF(AND($D33&gt;=M$10,$D33&lt;=M$10+4),1,0)</x:f>
        <x:v>0</x:v>
      </x:c>
      <x:c r="N33" s="31" t="n">
        <x:f>IF(AND($D33&gt;=N$10,$D33&lt;=N$10+4),1,0)</x:f>
        <x:v>0</x:v>
      </x:c>
      <x:c r="O33" s="31" t="n">
        <x:f>IF(AND($D33&gt;=O$10,$D33&lt;=O$10+4),1,0)</x:f>
        <x:v>0</x:v>
      </x:c>
      <x:c r="P33" s="31" t="n">
        <x:f>IF(AND($D33&gt;=P$10,$D33&lt;=P$10+4),1,0)</x:f>
        <x:v>0</x:v>
      </x:c>
      <x:c r="Q33" s="31" t="n">
        <x:f>IF(AND($D33&gt;=Q$10,$D33&lt;=Q$10+4),1,0)</x:f>
        <x:v>0</x:v>
      </x:c>
      <x:c r="R33" s="31" t="n">
        <x:f>IF(AND($D33&gt;=R$10,$D33&lt;=R$10+4),1,0)</x:f>
        <x:v>0</x:v>
      </x:c>
      <x:c r="S33" s="31" t="n">
        <x:f>IF(AND($D33&gt;=S$10,$D33&lt;=S$10+4),1,0)</x:f>
        <x:v>0</x:v>
      </x:c>
      <x:c r="T33" s="31" t="n">
        <x:f>IF(AND($D33&gt;=T$10,$D33&lt;=T$10+4),1,0)</x:f>
        <x:v>0</x:v>
      </x:c>
      <x:c r="U33" s="31" t="n">
        <x:f>IF(AND($D33&gt;=U$10,$D33&lt;=U$10+4),1,0)</x:f>
        <x:v>0</x:v>
      </x:c>
      <x:c r="V33" s="31" t="n">
        <x:f>IF(AND($D33&gt;=V$10,$D33&lt;=V$10+4),1,0)</x:f>
        <x:v>0</x:v>
      </x:c>
      <x:c r="W33" s="31" t="n">
        <x:f>IF(AND($D33&gt;=W$10,$D33&lt;=W$10+4),1,0)</x:f>
        <x:v>0</x:v>
      </x:c>
    </x:row>
    <x:row r="34" ht="29" customHeight="1">
      <x:c r="A34" s="2" t="str">
        <x:v>G2</x:v>
      </x:c>
      <x:c r="B34" s="2" t="str">
        <x:f>'Team and Gates'!B55</x:f>
        <x:v>Real-mail Triage working</x:v>
      </x:c>
      <x:c r="C34" s="2" t="str">
        <x:f>'Team and Gates'!E55</x:f>
        <x:v>Dev 2</x:v>
      </x:c>
      <x:c r="D34" s="56" t="n">
        <x:f>'Team and Gates'!D55</x:f>
        <x:v>46360</x:v>
      </x:c>
      <x:c r="E34" s="57" t="str">
        <x:f>'Team and Gates'!F55</x:f>
        <x:v>Not run</x:v>
      </x:c>
      <x:c r="F34" s="2"/>
      <x:c r="G34" s="31" t="n">
        <x:f>IF(AND($D34&gt;=G$10,$D34&lt;=G$10+4),1,0)</x:f>
        <x:v>0</x:v>
      </x:c>
      <x:c r="H34" s="31" t="n">
        <x:f>IF(AND($D34&gt;=H$10,$D34&lt;=H$10+4),1,0)</x:f>
        <x:v>0</x:v>
      </x:c>
      <x:c r="I34" s="31" t="n">
        <x:f>IF(AND($D34&gt;=I$10,$D34&lt;=I$10+4),1,0)</x:f>
        <x:v>0</x:v>
      </x:c>
      <x:c r="J34" s="31" t="n">
        <x:f>IF(AND($D34&gt;=J$10,$D34&lt;=J$10+4),1,0)</x:f>
        <x:v>0</x:v>
      </x:c>
      <x:c r="K34" s="31" t="n">
        <x:f>IF(AND($D34&gt;=K$10,$D34&lt;=K$10+4),1,0)</x:f>
        <x:v>1</x:v>
      </x:c>
      <x:c r="L34" s="31" t="n">
        <x:f>IF(AND($D34&gt;=L$10,$D34&lt;=L$10+4),1,0)</x:f>
        <x:v>0</x:v>
      </x:c>
      <x:c r="M34" s="31" t="n">
        <x:f>IF(AND($D34&gt;=M$10,$D34&lt;=M$10+4),1,0)</x:f>
        <x:v>0</x:v>
      </x:c>
      <x:c r="N34" s="31" t="n">
        <x:f>IF(AND($D34&gt;=N$10,$D34&lt;=N$10+4),1,0)</x:f>
        <x:v>0</x:v>
      </x:c>
      <x:c r="O34" s="31" t="n">
        <x:f>IF(AND($D34&gt;=O$10,$D34&lt;=O$10+4),1,0)</x:f>
        <x:v>0</x:v>
      </x:c>
      <x:c r="P34" s="31" t="n">
        <x:f>IF(AND($D34&gt;=P$10,$D34&lt;=P$10+4),1,0)</x:f>
        <x:v>0</x:v>
      </x:c>
      <x:c r="Q34" s="31" t="n">
        <x:f>IF(AND($D34&gt;=Q$10,$D34&lt;=Q$10+4),1,0)</x:f>
        <x:v>0</x:v>
      </x:c>
      <x:c r="R34" s="31" t="n">
        <x:f>IF(AND($D34&gt;=R$10,$D34&lt;=R$10+4),1,0)</x:f>
        <x:v>0</x:v>
      </x:c>
      <x:c r="S34" s="31" t="n">
        <x:f>IF(AND($D34&gt;=S$10,$D34&lt;=S$10+4),1,0)</x:f>
        <x:v>0</x:v>
      </x:c>
      <x:c r="T34" s="31" t="n">
        <x:f>IF(AND($D34&gt;=T$10,$D34&lt;=T$10+4),1,0)</x:f>
        <x:v>0</x:v>
      </x:c>
      <x:c r="U34" s="31" t="n">
        <x:f>IF(AND($D34&gt;=U$10,$D34&lt;=U$10+4),1,0)</x:f>
        <x:v>0</x:v>
      </x:c>
      <x:c r="V34" s="31" t="n">
        <x:f>IF(AND($D34&gt;=V$10,$D34&lt;=V$10+4),1,0)</x:f>
        <x:v>0</x:v>
      </x:c>
      <x:c r="W34" s="31" t="n">
        <x:f>IF(AND($D34&gt;=W$10,$D34&lt;=W$10+4),1,0)</x:f>
        <x:v>0</x:v>
      </x:c>
    </x:row>
    <x:row r="35" ht="29" customHeight="1">
      <x:c r="A35" s="2" t="str">
        <x:v>G3</x:v>
      </x:c>
      <x:c r="B35" s="2" t="str">
        <x:f>'Team and Gates'!B56</x:f>
        <x:v>Approve-and-send end to end</x:v>
      </x:c>
      <x:c r="C35" s="2" t="str">
        <x:f>'Team and Gates'!E56</x:f>
        <x:v>Dev 1</x:v>
      </x:c>
      <x:c r="D35" s="56" t="n">
        <x:f>'Team and Gates'!D56</x:f>
        <x:v>46367</x:v>
      </x:c>
      <x:c r="E35" s="57" t="str">
        <x:f>'Team and Gates'!F56</x:f>
        <x:v>Not run</x:v>
      </x:c>
      <x:c r="F35" s="2"/>
      <x:c r="G35" s="31" t="n">
        <x:f>IF(AND($D35&gt;=G$10,$D35&lt;=G$10+4),1,0)</x:f>
        <x:v>0</x:v>
      </x:c>
      <x:c r="H35" s="31" t="n">
        <x:f>IF(AND($D35&gt;=H$10,$D35&lt;=H$10+4),1,0)</x:f>
        <x:v>0</x:v>
      </x:c>
      <x:c r="I35" s="31" t="n">
        <x:f>IF(AND($D35&gt;=I$10,$D35&lt;=I$10+4),1,0)</x:f>
        <x:v>0</x:v>
      </x:c>
      <x:c r="J35" s="31" t="n">
        <x:f>IF(AND($D35&gt;=J$10,$D35&lt;=J$10+4),1,0)</x:f>
        <x:v>0</x:v>
      </x:c>
      <x:c r="K35" s="31" t="n">
        <x:f>IF(AND($D35&gt;=K$10,$D35&lt;=K$10+4),1,0)</x:f>
        <x:v>0</x:v>
      </x:c>
      <x:c r="L35" s="31" t="n">
        <x:f>IF(AND($D35&gt;=L$10,$D35&lt;=L$10+4),1,0)</x:f>
        <x:v>1</x:v>
      </x:c>
      <x:c r="M35" s="31" t="n">
        <x:f>IF(AND($D35&gt;=M$10,$D35&lt;=M$10+4),1,0)</x:f>
        <x:v>0</x:v>
      </x:c>
      <x:c r="N35" s="31" t="n">
        <x:f>IF(AND($D35&gt;=N$10,$D35&lt;=N$10+4),1,0)</x:f>
        <x:v>0</x:v>
      </x:c>
      <x:c r="O35" s="31" t="n">
        <x:f>IF(AND($D35&gt;=O$10,$D35&lt;=O$10+4),1,0)</x:f>
        <x:v>0</x:v>
      </x:c>
      <x:c r="P35" s="31" t="n">
        <x:f>IF(AND($D35&gt;=P$10,$D35&lt;=P$10+4),1,0)</x:f>
        <x:v>0</x:v>
      </x:c>
      <x:c r="Q35" s="31" t="n">
        <x:f>IF(AND($D35&gt;=Q$10,$D35&lt;=Q$10+4),1,0)</x:f>
        <x:v>0</x:v>
      </x:c>
      <x:c r="R35" s="31" t="n">
        <x:f>IF(AND($D35&gt;=R$10,$D35&lt;=R$10+4),1,0)</x:f>
        <x:v>0</x:v>
      </x:c>
      <x:c r="S35" s="31" t="n">
        <x:f>IF(AND($D35&gt;=S$10,$D35&lt;=S$10+4),1,0)</x:f>
        <x:v>0</x:v>
      </x:c>
      <x:c r="T35" s="31" t="n">
        <x:f>IF(AND($D35&gt;=T$10,$D35&lt;=T$10+4),1,0)</x:f>
        <x:v>0</x:v>
      </x:c>
      <x:c r="U35" s="31" t="n">
        <x:f>IF(AND($D35&gt;=U$10,$D35&lt;=U$10+4),1,0)</x:f>
        <x:v>0</x:v>
      </x:c>
      <x:c r="V35" s="31" t="n">
        <x:f>IF(AND($D35&gt;=V$10,$D35&lt;=V$10+4),1,0)</x:f>
        <x:v>0</x:v>
      </x:c>
      <x:c r="W35" s="31" t="n">
        <x:f>IF(AND($D35&gt;=W$10,$D35&lt;=W$10+4),1,0)</x:f>
        <x:v>0</x:v>
      </x:c>
    </x:row>
    <x:row r="36" ht="29" customHeight="1">
      <x:c r="A36" s="2" t="str">
        <x:v>G4</x:v>
      </x:c>
      <x:c r="B36" s="2" t="str">
        <x:f>'Team and Gates'!B57</x:f>
        <x:v>Launch features frozen</x:v>
      </x:c>
      <x:c r="C36" s="2" t="str">
        <x:f>'Team and Gates'!E57</x:f>
        <x:v>Dev 1</x:v>
      </x:c>
      <x:c r="D36" s="56" t="n">
        <x:f>'Team and Gates'!D57</x:f>
        <x:v>46388</x:v>
      </x:c>
      <x:c r="E36" s="57" t="str">
        <x:f>'Team and Gates'!F57</x:f>
        <x:v>Not run</x:v>
      </x:c>
      <x:c r="F36" s="2"/>
      <x:c r="G36" s="31" t="n">
        <x:f>IF(AND($D36&gt;=G$10,$D36&lt;=G$10+4),1,0)</x:f>
        <x:v>0</x:v>
      </x:c>
      <x:c r="H36" s="31" t="n">
        <x:f>IF(AND($D36&gt;=H$10,$D36&lt;=H$10+4),1,0)</x:f>
        <x:v>0</x:v>
      </x:c>
      <x:c r="I36" s="31" t="n">
        <x:f>IF(AND($D36&gt;=I$10,$D36&lt;=I$10+4),1,0)</x:f>
        <x:v>0</x:v>
      </x:c>
      <x:c r="J36" s="31" t="n">
        <x:f>IF(AND($D36&gt;=J$10,$D36&lt;=J$10+4),1,0)</x:f>
        <x:v>0</x:v>
      </x:c>
      <x:c r="K36" s="31" t="n">
        <x:f>IF(AND($D36&gt;=K$10,$D36&lt;=K$10+4),1,0)</x:f>
        <x:v>0</x:v>
      </x:c>
      <x:c r="L36" s="31" t="n">
        <x:f>IF(AND($D36&gt;=L$10,$D36&lt;=L$10+4),1,0)</x:f>
        <x:v>0</x:v>
      </x:c>
      <x:c r="M36" s="31" t="n">
        <x:f>IF(AND($D36&gt;=M$10,$D36&lt;=M$10+4),1,0)</x:f>
        <x:v>0</x:v>
      </x:c>
      <x:c r="N36" s="31" t="n">
        <x:f>IF(AND($D36&gt;=N$10,$D36&lt;=N$10+4),1,0)</x:f>
        <x:v>0</x:v>
      </x:c>
      <x:c r="O36" s="31" t="n">
        <x:f>IF(AND($D36&gt;=O$10,$D36&lt;=O$10+4),1,0)</x:f>
        <x:v>1</x:v>
      </x:c>
      <x:c r="P36" s="31" t="n">
        <x:f>IF(AND($D36&gt;=P$10,$D36&lt;=P$10+4),1,0)</x:f>
        <x:v>0</x:v>
      </x:c>
      <x:c r="Q36" s="31" t="n">
        <x:f>IF(AND($D36&gt;=Q$10,$D36&lt;=Q$10+4),1,0)</x:f>
        <x:v>0</x:v>
      </x:c>
      <x:c r="R36" s="31" t="n">
        <x:f>IF(AND($D36&gt;=R$10,$D36&lt;=R$10+4),1,0)</x:f>
        <x:v>0</x:v>
      </x:c>
      <x:c r="S36" s="31" t="n">
        <x:f>IF(AND($D36&gt;=S$10,$D36&lt;=S$10+4),1,0)</x:f>
        <x:v>0</x:v>
      </x:c>
      <x:c r="T36" s="31" t="n">
        <x:f>IF(AND($D36&gt;=T$10,$D36&lt;=T$10+4),1,0)</x:f>
        <x:v>0</x:v>
      </x:c>
      <x:c r="U36" s="31" t="n">
        <x:f>IF(AND($D36&gt;=U$10,$D36&lt;=U$10+4),1,0)</x:f>
        <x:v>0</x:v>
      </x:c>
      <x:c r="V36" s="31" t="n">
        <x:f>IF(AND($D36&gt;=V$10,$D36&lt;=V$10+4),1,0)</x:f>
        <x:v>0</x:v>
      </x:c>
      <x:c r="W36" s="31" t="n">
        <x:f>IF(AND($D36&gt;=W$10,$D36&lt;=W$10+4),1,0)</x:f>
        <x:v>0</x:v>
      </x:c>
    </x:row>
    <x:row r="37" ht="29" customHeight="1">
      <x:c r="A37" s="2" t="str">
        <x:v>G5</x:v>
      </x:c>
      <x:c r="B37" s="2" t="str">
        <x:f>'Team and Gates'!B58</x:f>
        <x:v>Independent evaluation / RC</x:v>
      </x:c>
      <x:c r="C37" s="2" t="str">
        <x:f>'Team and Gates'!E58</x:f>
        <x:v>DS</x:v>
      </x:c>
      <x:c r="D37" s="56" t="n">
        <x:f>'Team and Gates'!D58</x:f>
        <x:v>46402</x:v>
      </x:c>
      <x:c r="E37" s="57" t="str">
        <x:f>'Team and Gates'!F58</x:f>
        <x:v>Not run</x:v>
      </x:c>
      <x:c r="F37" s="2"/>
      <x:c r="G37" s="31" t="n">
        <x:f>IF(AND($D37&gt;=G$10,$D37&lt;=G$10+4),1,0)</x:f>
        <x:v>0</x:v>
      </x:c>
      <x:c r="H37" s="31" t="n">
        <x:f>IF(AND($D37&gt;=H$10,$D37&lt;=H$10+4),1,0)</x:f>
        <x:v>0</x:v>
      </x:c>
      <x:c r="I37" s="31" t="n">
        <x:f>IF(AND($D37&gt;=I$10,$D37&lt;=I$10+4),1,0)</x:f>
        <x:v>0</x:v>
      </x:c>
      <x:c r="J37" s="31" t="n">
        <x:f>IF(AND($D37&gt;=J$10,$D37&lt;=J$10+4),1,0)</x:f>
        <x:v>0</x:v>
      </x:c>
      <x:c r="K37" s="31" t="n">
        <x:f>IF(AND($D37&gt;=K$10,$D37&lt;=K$10+4),1,0)</x:f>
        <x:v>0</x:v>
      </x:c>
      <x:c r="L37" s="31" t="n">
        <x:f>IF(AND($D37&gt;=L$10,$D37&lt;=L$10+4),1,0)</x:f>
        <x:v>0</x:v>
      </x:c>
      <x:c r="M37" s="31" t="n">
        <x:f>IF(AND($D37&gt;=M$10,$D37&lt;=M$10+4),1,0)</x:f>
        <x:v>0</x:v>
      </x:c>
      <x:c r="N37" s="31" t="n">
        <x:f>IF(AND($D37&gt;=N$10,$D37&lt;=N$10+4),1,0)</x:f>
        <x:v>0</x:v>
      </x:c>
      <x:c r="O37" s="31" t="n">
        <x:f>IF(AND($D37&gt;=O$10,$D37&lt;=O$10+4),1,0)</x:f>
        <x:v>0</x:v>
      </x:c>
      <x:c r="P37" s="31" t="n">
        <x:f>IF(AND($D37&gt;=P$10,$D37&lt;=P$10+4),1,0)</x:f>
        <x:v>0</x:v>
      </x:c>
      <x:c r="Q37" s="31" t="n">
        <x:f>IF(AND($D37&gt;=Q$10,$D37&lt;=Q$10+4),1,0)</x:f>
        <x:v>1</x:v>
      </x:c>
      <x:c r="R37" s="31" t="n">
        <x:f>IF(AND($D37&gt;=R$10,$D37&lt;=R$10+4),1,0)</x:f>
        <x:v>0</x:v>
      </x:c>
      <x:c r="S37" s="31" t="n">
        <x:f>IF(AND($D37&gt;=S$10,$D37&lt;=S$10+4),1,0)</x:f>
        <x:v>0</x:v>
      </x:c>
      <x:c r="T37" s="31" t="n">
        <x:f>IF(AND($D37&gt;=T$10,$D37&lt;=T$10+4),1,0)</x:f>
        <x:v>0</x:v>
      </x:c>
      <x:c r="U37" s="31" t="n">
        <x:f>IF(AND($D37&gt;=U$10,$D37&lt;=U$10+4),1,0)</x:f>
        <x:v>0</x:v>
      </x:c>
      <x:c r="V37" s="31" t="n">
        <x:f>IF(AND($D37&gt;=V$10,$D37&lt;=V$10+4),1,0)</x:f>
        <x:v>0</x:v>
      </x:c>
      <x:c r="W37" s="31" t="n">
        <x:f>IF(AND($D37&gt;=W$10,$D37&lt;=W$10+4),1,0)</x:f>
        <x:v>0</x:v>
      </x:c>
    </x:row>
    <x:row r="38" ht="29" customHeight="1">
      <x:c r="A38" s="2" t="str">
        <x:v>G6</x:v>
      </x:c>
      <x:c r="B38" s="2" t="str">
        <x:f>'Team and Gates'!B59</x:f>
        <x:v>Pilot UAT accepted</x:v>
      </x:c>
      <x:c r="C38" s="2" t="str">
        <x:f>'Team and Gates'!E59</x:f>
        <x:v>Tester 2</x:v>
      </x:c>
      <x:c r="D38" s="56" t="n">
        <x:f>'Team and Gates'!D59</x:f>
        <x:v>46416</x:v>
      </x:c>
      <x:c r="E38" s="57" t="str">
        <x:f>'Team and Gates'!F59</x:f>
        <x:v>Not run</x:v>
      </x:c>
      <x:c r="F38" s="2"/>
      <x:c r="G38" s="31" t="n">
        <x:f>IF(AND($D38&gt;=G$10,$D38&lt;=G$10+4),1,0)</x:f>
        <x:v>0</x:v>
      </x:c>
      <x:c r="H38" s="31" t="n">
        <x:f>IF(AND($D38&gt;=H$10,$D38&lt;=H$10+4),1,0)</x:f>
        <x:v>0</x:v>
      </x:c>
      <x:c r="I38" s="31" t="n">
        <x:f>IF(AND($D38&gt;=I$10,$D38&lt;=I$10+4),1,0)</x:f>
        <x:v>0</x:v>
      </x:c>
      <x:c r="J38" s="31" t="n">
        <x:f>IF(AND($D38&gt;=J$10,$D38&lt;=J$10+4),1,0)</x:f>
        <x:v>0</x:v>
      </x:c>
      <x:c r="K38" s="31" t="n">
        <x:f>IF(AND($D38&gt;=K$10,$D38&lt;=K$10+4),1,0)</x:f>
        <x:v>0</x:v>
      </x:c>
      <x:c r="L38" s="31" t="n">
        <x:f>IF(AND($D38&gt;=L$10,$D38&lt;=L$10+4),1,0)</x:f>
        <x:v>0</x:v>
      </x:c>
      <x:c r="M38" s="31" t="n">
        <x:f>IF(AND($D38&gt;=M$10,$D38&lt;=M$10+4),1,0)</x:f>
        <x:v>0</x:v>
      </x:c>
      <x:c r="N38" s="31" t="n">
        <x:f>IF(AND($D38&gt;=N$10,$D38&lt;=N$10+4),1,0)</x:f>
        <x:v>0</x:v>
      </x:c>
      <x:c r="O38" s="31" t="n">
        <x:f>IF(AND($D38&gt;=O$10,$D38&lt;=O$10+4),1,0)</x:f>
        <x:v>0</x:v>
      </x:c>
      <x:c r="P38" s="31" t="n">
        <x:f>IF(AND($D38&gt;=P$10,$D38&lt;=P$10+4),1,0)</x:f>
        <x:v>0</x:v>
      </x:c>
      <x:c r="Q38" s="31" t="n">
        <x:f>IF(AND($D38&gt;=Q$10,$D38&lt;=Q$10+4),1,0)</x:f>
        <x:v>0</x:v>
      </x:c>
      <x:c r="R38" s="31" t="n">
        <x:f>IF(AND($D38&gt;=R$10,$D38&lt;=R$10+4),1,0)</x:f>
        <x:v>0</x:v>
      </x:c>
      <x:c r="S38" s="31" t="n">
        <x:f>IF(AND($D38&gt;=S$10,$D38&lt;=S$10+4),1,0)</x:f>
        <x:v>1</x:v>
      </x:c>
      <x:c r="T38" s="31" t="n">
        <x:f>IF(AND($D38&gt;=T$10,$D38&lt;=T$10+4),1,0)</x:f>
        <x:v>0</x:v>
      </x:c>
      <x:c r="U38" s="31" t="n">
        <x:f>IF(AND($D38&gt;=U$10,$D38&lt;=U$10+4),1,0)</x:f>
        <x:v>0</x:v>
      </x:c>
      <x:c r="V38" s="31" t="n">
        <x:f>IF(AND($D38&gt;=V$10,$D38&lt;=V$10+4),1,0)</x:f>
        <x:v>0</x:v>
      </x:c>
      <x:c r="W38" s="31" t="n">
        <x:f>IF(AND($D38&gt;=W$10,$D38&lt;=W$10+4),1,0)</x:f>
        <x:v>0</x:v>
      </x:c>
    </x:row>
    <x:row r="39" ht="29" customHeight="1">
      <x:c r="A39" s="2" t="str">
        <x:v>G7</x:v>
      </x:c>
      <x:c r="B39" s="2" t="str">
        <x:f>'Team and Gates'!B60</x:f>
        <x:v>Pre-holiday release checkpoint</x:v>
      </x:c>
      <x:c r="C39" s="2" t="str">
        <x:f>'Team and Gates'!E60</x:f>
        <x:v>Dev 1</x:v>
      </x:c>
      <x:c r="D39" s="56" t="n">
        <x:f>'Team and Gates'!D60</x:f>
        <x:v>46420</x:v>
      </x:c>
      <x:c r="E39" s="57" t="str">
        <x:f>'Team and Gates'!F60</x:f>
        <x:v>Not run</x:v>
      </x:c>
      <x:c r="F39" s="2"/>
      <x:c r="G39" s="31" t="n">
        <x:f>IF(AND($D39&gt;=G$10,$D39&lt;=G$10+4),1,0)</x:f>
        <x:v>0</x:v>
      </x:c>
      <x:c r="H39" s="31" t="n">
        <x:f>IF(AND($D39&gt;=H$10,$D39&lt;=H$10+4),1,0)</x:f>
        <x:v>0</x:v>
      </x:c>
      <x:c r="I39" s="31" t="n">
        <x:f>IF(AND($D39&gt;=I$10,$D39&lt;=I$10+4),1,0)</x:f>
        <x:v>0</x:v>
      </x:c>
      <x:c r="J39" s="31" t="n">
        <x:f>IF(AND($D39&gt;=J$10,$D39&lt;=J$10+4),1,0)</x:f>
        <x:v>0</x:v>
      </x:c>
      <x:c r="K39" s="31" t="n">
        <x:f>IF(AND($D39&gt;=K$10,$D39&lt;=K$10+4),1,0)</x:f>
        <x:v>0</x:v>
      </x:c>
      <x:c r="L39" s="31" t="n">
        <x:f>IF(AND($D39&gt;=L$10,$D39&lt;=L$10+4),1,0)</x:f>
        <x:v>0</x:v>
      </x:c>
      <x:c r="M39" s="31" t="n">
        <x:f>IF(AND($D39&gt;=M$10,$D39&lt;=M$10+4),1,0)</x:f>
        <x:v>0</x:v>
      </x:c>
      <x:c r="N39" s="31" t="n">
        <x:f>IF(AND($D39&gt;=N$10,$D39&lt;=N$10+4),1,0)</x:f>
        <x:v>0</x:v>
      </x:c>
      <x:c r="O39" s="31" t="n">
        <x:f>IF(AND($D39&gt;=O$10,$D39&lt;=O$10+4),1,0)</x:f>
        <x:v>0</x:v>
      </x:c>
      <x:c r="P39" s="31" t="n">
        <x:f>IF(AND($D39&gt;=P$10,$D39&lt;=P$10+4),1,0)</x:f>
        <x:v>0</x:v>
      </x:c>
      <x:c r="Q39" s="31" t="n">
        <x:f>IF(AND($D39&gt;=Q$10,$D39&lt;=Q$10+4),1,0)</x:f>
        <x:v>0</x:v>
      </x:c>
      <x:c r="R39" s="31" t="n">
        <x:f>IF(AND($D39&gt;=R$10,$D39&lt;=R$10+4),1,0)</x:f>
        <x:v>0</x:v>
      </x:c>
      <x:c r="S39" s="31" t="n">
        <x:f>IF(AND($D39&gt;=S$10,$D39&lt;=S$10+4),1,0)</x:f>
        <x:v>0</x:v>
      </x:c>
      <x:c r="T39" s="31" t="n">
        <x:f>IF(AND($D39&gt;=T$10,$D39&lt;=T$10+4),1,0)</x:f>
        <x:v>1</x:v>
      </x:c>
      <x:c r="U39" s="31" t="n">
        <x:f>IF(AND($D39&gt;=U$10,$D39&lt;=U$10+4),1,0)</x:f>
        <x:v>0</x:v>
      </x:c>
      <x:c r="V39" s="31" t="n">
        <x:f>IF(AND($D39&gt;=V$10,$D39&lt;=V$10+4),1,0)</x:f>
        <x:v>0</x:v>
      </x:c>
      <x:c r="W39" s="31" t="n">
        <x:f>IF(AND($D39&gt;=W$10,$D39&lt;=W$10+4),1,0)</x:f>
        <x:v>0</x:v>
      </x:c>
    </x:row>
    <x:row r="40" ht="29" customHeight="1">
      <x:c r="A40" s="2" t="str">
        <x:v>G8</x:v>
      </x:c>
      <x:c r="B40" s="2" t="str">
        <x:f>'Team and Gates'!B61</x:f>
        <x:v>Post-holiday Go / No-Go</x:v>
      </x:c>
      <x:c r="C40" s="2" t="str">
        <x:f>'Team and Gates'!E61</x:f>
        <x:v>Tester 1</x:v>
      </x:c>
      <x:c r="D40" s="56" t="n">
        <x:f>'Team and Gates'!D61</x:f>
        <x:v>46437</x:v>
      </x:c>
      <x:c r="E40" s="57" t="str">
        <x:f>'Team and Gates'!F61</x:f>
        <x:v>Not run</x:v>
      </x:c>
      <x:c r="F40" s="2"/>
      <x:c r="G40" s="31" t="n">
        <x:f>IF(AND($D40&gt;=G$10,$D40&lt;=G$10+4),1,0)</x:f>
        <x:v>0</x:v>
      </x:c>
      <x:c r="H40" s="31" t="n">
        <x:f>IF(AND($D40&gt;=H$10,$D40&lt;=H$10+4),1,0)</x:f>
        <x:v>0</x:v>
      </x:c>
      <x:c r="I40" s="31" t="n">
        <x:f>IF(AND($D40&gt;=I$10,$D40&lt;=I$10+4),1,0)</x:f>
        <x:v>0</x:v>
      </x:c>
      <x:c r="J40" s="31" t="n">
        <x:f>IF(AND($D40&gt;=J$10,$D40&lt;=J$10+4),1,0)</x:f>
        <x:v>0</x:v>
      </x:c>
      <x:c r="K40" s="31" t="n">
        <x:f>IF(AND($D40&gt;=K$10,$D40&lt;=K$10+4),1,0)</x:f>
        <x:v>0</x:v>
      </x:c>
      <x:c r="L40" s="31" t="n">
        <x:f>IF(AND($D40&gt;=L$10,$D40&lt;=L$10+4),1,0)</x:f>
        <x:v>0</x:v>
      </x:c>
      <x:c r="M40" s="31" t="n">
        <x:f>IF(AND($D40&gt;=M$10,$D40&lt;=M$10+4),1,0)</x:f>
        <x:v>0</x:v>
      </x:c>
      <x:c r="N40" s="31" t="n">
        <x:f>IF(AND($D40&gt;=N$10,$D40&lt;=N$10+4),1,0)</x:f>
        <x:v>0</x:v>
      </x:c>
      <x:c r="O40" s="31" t="n">
        <x:f>IF(AND($D40&gt;=O$10,$D40&lt;=O$10+4),1,0)</x:f>
        <x:v>0</x:v>
      </x:c>
      <x:c r="P40" s="31" t="n">
        <x:f>IF(AND($D40&gt;=P$10,$D40&lt;=P$10+4),1,0)</x:f>
        <x:v>0</x:v>
      </x:c>
      <x:c r="Q40" s="31" t="n">
        <x:f>IF(AND($D40&gt;=Q$10,$D40&lt;=Q$10+4),1,0)</x:f>
        <x:v>0</x:v>
      </x:c>
      <x:c r="R40" s="31" t="n">
        <x:f>IF(AND($D40&gt;=R$10,$D40&lt;=R$10+4),1,0)</x:f>
        <x:v>0</x:v>
      </x:c>
      <x:c r="S40" s="31" t="n">
        <x:f>IF(AND($D40&gt;=S$10,$D40&lt;=S$10+4),1,0)</x:f>
        <x:v>0</x:v>
      </x:c>
      <x:c r="T40" s="31" t="n">
        <x:f>IF(AND($D40&gt;=T$10,$D40&lt;=T$10+4),1,0)</x:f>
        <x:v>0</x:v>
      </x:c>
      <x:c r="U40" s="31" t="n">
        <x:f>IF(AND($D40&gt;=U$10,$D40&lt;=U$10+4),1,0)</x:f>
        <x:v>0</x:v>
      </x:c>
      <x:c r="V40" s="31" t="n">
        <x:f>IF(AND($D40&gt;=V$10,$D40&lt;=V$10+4),1,0)</x:f>
        <x:v>1</x:v>
      </x:c>
      <x:c r="W40" s="31" t="n">
        <x:f>IF(AND($D40&gt;=W$10,$D40&lt;=W$10+4),1,0)</x:f>
        <x:v>0</x:v>
      </x:c>
    </x:row>
    <x:row r="41" ht="29" customHeight="1">
      <x:c r="A41" s="2" t="str">
        <x:v>G9</x:v>
      </x:c>
      <x:c r="B41" s="2" t="str">
        <x:f>'Team and Gates'!B62</x:f>
        <x:v>Production release</x:v>
      </x:c>
      <x:c r="C41" s="2" t="str">
        <x:f>'Team and Gates'!E62</x:f>
        <x:v>Dev 2</x:v>
      </x:c>
      <x:c r="D41" s="56" t="n">
        <x:f>'Team and Gates'!D62</x:f>
        <x:v>46441</x:v>
      </x:c>
      <x:c r="E41" s="57" t="str">
        <x:f>'Team and Gates'!F62</x:f>
        <x:v>Not run</x:v>
      </x:c>
      <x:c r="F41" s="2"/>
      <x:c r="G41" s="31" t="n">
        <x:f>IF(AND($D41&gt;=G$10,$D41&lt;=G$10+4),1,0)</x:f>
        <x:v>0</x:v>
      </x:c>
      <x:c r="H41" s="31" t="n">
        <x:f>IF(AND($D41&gt;=H$10,$D41&lt;=H$10+4),1,0)</x:f>
        <x:v>0</x:v>
      </x:c>
      <x:c r="I41" s="31" t="n">
        <x:f>IF(AND($D41&gt;=I$10,$D41&lt;=I$10+4),1,0)</x:f>
        <x:v>0</x:v>
      </x:c>
      <x:c r="J41" s="31" t="n">
        <x:f>IF(AND($D41&gt;=J$10,$D41&lt;=J$10+4),1,0)</x:f>
        <x:v>0</x:v>
      </x:c>
      <x:c r="K41" s="31" t="n">
        <x:f>IF(AND($D41&gt;=K$10,$D41&lt;=K$10+4),1,0)</x:f>
        <x:v>0</x:v>
      </x:c>
      <x:c r="L41" s="31" t="n">
        <x:f>IF(AND($D41&gt;=L$10,$D41&lt;=L$10+4),1,0)</x:f>
        <x:v>0</x:v>
      </x:c>
      <x:c r="M41" s="31" t="n">
        <x:f>IF(AND($D41&gt;=M$10,$D41&lt;=M$10+4),1,0)</x:f>
        <x:v>0</x:v>
      </x:c>
      <x:c r="N41" s="31" t="n">
        <x:f>IF(AND($D41&gt;=N$10,$D41&lt;=N$10+4),1,0)</x:f>
        <x:v>0</x:v>
      </x:c>
      <x:c r="O41" s="31" t="n">
        <x:f>IF(AND($D41&gt;=O$10,$D41&lt;=O$10+4),1,0)</x:f>
        <x:v>0</x:v>
      </x:c>
      <x:c r="P41" s="31" t="n">
        <x:f>IF(AND($D41&gt;=P$10,$D41&lt;=P$10+4),1,0)</x:f>
        <x:v>0</x:v>
      </x:c>
      <x:c r="Q41" s="31" t="n">
        <x:f>IF(AND($D41&gt;=Q$10,$D41&lt;=Q$10+4),1,0)</x:f>
        <x:v>0</x:v>
      </x:c>
      <x:c r="R41" s="31" t="n">
        <x:f>IF(AND($D41&gt;=R$10,$D41&lt;=R$10+4),1,0)</x:f>
        <x:v>0</x:v>
      </x:c>
      <x:c r="S41" s="31" t="n">
        <x:f>IF(AND($D41&gt;=S$10,$D41&lt;=S$10+4),1,0)</x:f>
        <x:v>0</x:v>
      </x:c>
      <x:c r="T41" s="31" t="n">
        <x:f>IF(AND($D41&gt;=T$10,$D41&lt;=T$10+4),1,0)</x:f>
        <x:v>0</x:v>
      </x:c>
      <x:c r="U41" s="31" t="n">
        <x:f>IF(AND($D41&gt;=U$10,$D41&lt;=U$10+4),1,0)</x:f>
        <x:v>0</x:v>
      </x:c>
      <x:c r="V41" s="31" t="n">
        <x:f>IF(AND($D41&gt;=V$10,$D41&lt;=V$10+4),1,0)</x:f>
        <x:v>0</x:v>
      </x:c>
      <x:c r="W41" s="31" t="n">
        <x:f>IF(AND($D41&gt;=W$10,$D41&lt;=W$10+4),1,0)</x:f>
        <x:v>1</x:v>
      </x:c>
    </x:row>
    <x:row r="42" ht="29" customHeight="1">
      <x:c r="A42" s="2" t="str">
        <x:v>G10</x:v>
      </x:c>
      <x:c r="B42" s="2" t="str">
        <x:f>'Team and Gates'!B63</x:f>
        <x:v>Care and handover complete</x:v>
      </x:c>
      <x:c r="C42" s="2" t="str">
        <x:f>'Team and Gates'!E63</x:f>
        <x:v>Dev 1</x:v>
      </x:c>
      <x:c r="D42" s="56" t="n">
        <x:f>'Team and Gates'!D63</x:f>
        <x:v>46444</x:v>
      </x:c>
      <x:c r="E42" s="57" t="str">
        <x:f>'Team and Gates'!F63</x:f>
        <x:v>Not run</x:v>
      </x:c>
      <x:c r="F42" s="2"/>
      <x:c r="G42" s="31" t="n">
        <x:f>IF(AND($D42&gt;=G$10,$D42&lt;=G$10+4),1,0)</x:f>
        <x:v>0</x:v>
      </x:c>
      <x:c r="H42" s="31" t="n">
        <x:f>IF(AND($D42&gt;=H$10,$D42&lt;=H$10+4),1,0)</x:f>
        <x:v>0</x:v>
      </x:c>
      <x:c r="I42" s="31" t="n">
        <x:f>IF(AND($D42&gt;=I$10,$D42&lt;=I$10+4),1,0)</x:f>
        <x:v>0</x:v>
      </x:c>
      <x:c r="J42" s="31" t="n">
        <x:f>IF(AND($D42&gt;=J$10,$D42&lt;=J$10+4),1,0)</x:f>
        <x:v>0</x:v>
      </x:c>
      <x:c r="K42" s="31" t="n">
        <x:f>IF(AND($D42&gt;=K$10,$D42&lt;=K$10+4),1,0)</x:f>
        <x:v>0</x:v>
      </x:c>
      <x:c r="L42" s="31" t="n">
        <x:f>IF(AND($D42&gt;=L$10,$D42&lt;=L$10+4),1,0)</x:f>
        <x:v>0</x:v>
      </x:c>
      <x:c r="M42" s="31" t="n">
        <x:f>IF(AND($D42&gt;=M$10,$D42&lt;=M$10+4),1,0)</x:f>
        <x:v>0</x:v>
      </x:c>
      <x:c r="N42" s="31" t="n">
        <x:f>IF(AND($D42&gt;=N$10,$D42&lt;=N$10+4),1,0)</x:f>
        <x:v>0</x:v>
      </x:c>
      <x:c r="O42" s="31" t="n">
        <x:f>IF(AND($D42&gt;=O$10,$D42&lt;=O$10+4),1,0)</x:f>
        <x:v>0</x:v>
      </x:c>
      <x:c r="P42" s="31" t="n">
        <x:f>IF(AND($D42&gt;=P$10,$D42&lt;=P$10+4),1,0)</x:f>
        <x:v>0</x:v>
      </x:c>
      <x:c r="Q42" s="31" t="n">
        <x:f>IF(AND($D42&gt;=Q$10,$D42&lt;=Q$10+4),1,0)</x:f>
        <x:v>0</x:v>
      </x:c>
      <x:c r="R42" s="31" t="n">
        <x:f>IF(AND($D42&gt;=R$10,$D42&lt;=R$10+4),1,0)</x:f>
        <x:v>0</x:v>
      </x:c>
      <x:c r="S42" s="31" t="n">
        <x:f>IF(AND($D42&gt;=S$10,$D42&lt;=S$10+4),1,0)</x:f>
        <x:v>0</x:v>
      </x:c>
      <x:c r="T42" s="31" t="n">
        <x:f>IF(AND($D42&gt;=T$10,$D42&lt;=T$10+4),1,0)</x:f>
        <x:v>0</x:v>
      </x:c>
      <x:c r="U42" s="31" t="n">
        <x:f>IF(AND($D42&gt;=U$10,$D42&lt;=U$10+4),1,0)</x:f>
        <x:v>0</x:v>
      </x:c>
      <x:c r="V42" s="31" t="n">
        <x:f>IF(AND($D42&gt;=V$10,$D42&lt;=V$10+4),1,0)</x:f>
        <x:v>0</x:v>
      </x:c>
      <x:c r="W42" s="31" t="n">
        <x:f>IF(AND($D42&gt;=W$10,$D42&lt;=W$10+4),1,0)</x:f>
        <x:v>1</x:v>
      </x:c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</x:row>
    <x:row r="45" ht="25" customHeight="1">
      <x:c r="A45" s="58" t="str">
        <x:v>Holiday columns are grey. Feb 1 has 2 workdays. Dec 21–Jan 1 has 10 workdays for delivery, testing and tuning.</x:v>
      </x:c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</x:row>
    <x:row r="46" ht="25" customHeight="1">
      <x:c r="A46" s="58" t="str">
        <x:v>Key dates: feature freeze Jan 1; independent evaluation Jan 15; UAT Jan 29; pre-break freeze Feb 2; re-entry gate Feb 19.</x:v>
      </x:c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</x:row>
    <x:row r="47" ht="25" customHeight="1">
      <x:c r="A47" s="58" t="str">
        <x:v>Go-live is proposed for Feb 23, with care through Feb 26. Dates move with the working calendar; the deadline stays fixed.</x:v>
      </x:c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</x:row>
    <x:row r="48" ht="25" customHeight="1">
      <x:c r="A48" s="58" t="str">
        <x:v>Cost uses allocated person-days shown in the detailed Gantt, not the full task window or total payroll availability.</x:v>
      </x:c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</x:row>
  </x:sheetData>
  <x:mergeCells>
    <x:mergeCell ref="H4:I4"/>
    <x:mergeCell ref="L4:M4"/>
  </x:mergeCells>
  <x:conditionalFormatting sqref="G12:W12">
    <x:cfRule type="expression" dxfId="0" priority="1">
      <x:formula>G12=1</x:formula>
    </x:cfRule>
  </x:conditionalFormatting>
  <x:conditionalFormatting sqref="G13:W13">
    <x:cfRule type="expression" dxfId="1" priority="2">
      <x:formula>G13=1</x:formula>
    </x:cfRule>
  </x:conditionalFormatting>
  <x:conditionalFormatting sqref="G14:W14">
    <x:cfRule type="expression" dxfId="2" priority="3">
      <x:formula>G14=1</x:formula>
    </x:cfRule>
  </x:conditionalFormatting>
  <x:conditionalFormatting sqref="G15:W15">
    <x:cfRule type="expression" dxfId="3" priority="4">
      <x:formula>G15=1</x:formula>
    </x:cfRule>
  </x:conditionalFormatting>
  <x:conditionalFormatting sqref="G16:W16">
    <x:cfRule type="expression" dxfId="4" priority="5">
      <x:formula>G16=1</x:formula>
    </x:cfRule>
  </x:conditionalFormatting>
  <x:conditionalFormatting sqref="G17:W17">
    <x:cfRule type="expression" dxfId="5" priority="6">
      <x:formula>G17=1</x:formula>
    </x:cfRule>
  </x:conditionalFormatting>
  <x:conditionalFormatting sqref="G18:W18">
    <x:cfRule type="expression" dxfId="6" priority="7">
      <x:formula>G18=1</x:formula>
    </x:cfRule>
  </x:conditionalFormatting>
  <x:conditionalFormatting sqref="G19:W19">
    <x:cfRule type="expression" dxfId="7" priority="8">
      <x:formula>G19=1</x:formula>
    </x:cfRule>
  </x:conditionalFormatting>
  <x:conditionalFormatting sqref="G20:W20">
    <x:cfRule type="expression" dxfId="8" priority="9">
      <x:formula>G20=1</x:formula>
    </x:cfRule>
  </x:conditionalFormatting>
  <x:conditionalFormatting sqref="G21:W21">
    <x:cfRule type="expression" dxfId="9" priority="10">
      <x:formula>G21=1</x:formula>
    </x:cfRule>
  </x:conditionalFormatting>
  <x:conditionalFormatting sqref="G22:W22">
    <x:cfRule type="expression" dxfId="10" priority="11">
      <x:formula>G22=1</x:formula>
    </x:cfRule>
  </x:conditionalFormatting>
  <x:conditionalFormatting sqref="G23:W23">
    <x:cfRule type="expression" dxfId="11" priority="12">
      <x:formula>G23=1</x:formula>
    </x:cfRule>
  </x:conditionalFormatting>
  <x:conditionalFormatting sqref="G24:W24">
    <x:cfRule type="expression" dxfId="12" priority="13">
      <x:formula>G24=1</x:formula>
    </x:cfRule>
  </x:conditionalFormatting>
  <x:conditionalFormatting sqref="G25:W25">
    <x:cfRule type="expression" dxfId="13" priority="14">
      <x:formula>G25=1</x:formula>
    </x:cfRule>
  </x:conditionalFormatting>
  <x:conditionalFormatting sqref="G26:W26">
    <x:cfRule type="expression" dxfId="14" priority="15">
      <x:formula>G26=1</x:formula>
    </x:cfRule>
  </x:conditionalFormatting>
  <x:conditionalFormatting sqref="G27:W27">
    <x:cfRule type="expression" dxfId="15" priority="16">
      <x:formula>G27=1</x:formula>
    </x:cfRule>
  </x:conditionalFormatting>
  <x:conditionalFormatting sqref="G28:W28">
    <x:cfRule type="expression" dxfId="16" priority="17">
      <x:formula>G28=1</x:formula>
    </x:cfRule>
  </x:conditionalFormatting>
  <x:conditionalFormatting sqref="G12:W28">
    <x:cfRule type="expression" dxfId="17" priority="18">
      <x:formula>G$11=0</x:formula>
    </x:cfRule>
  </x:conditionalFormatting>
  <x:conditionalFormatting sqref="G33:W33">
    <x:cfRule type="expression" dxfId="44" priority="19">
      <x:formula>G33=1</x:formula>
    </x:cfRule>
  </x:conditionalFormatting>
  <x:conditionalFormatting sqref="G34:W34">
    <x:cfRule type="expression" dxfId="45" priority="20">
      <x:formula>G34=1</x:formula>
    </x:cfRule>
  </x:conditionalFormatting>
  <x:conditionalFormatting sqref="G35:W35">
    <x:cfRule type="expression" dxfId="46" priority="21">
      <x:formula>G35=1</x:formula>
    </x:cfRule>
  </x:conditionalFormatting>
  <x:conditionalFormatting sqref="G36:W36">
    <x:cfRule type="expression" dxfId="47" priority="22">
      <x:formula>G36=1</x:formula>
    </x:cfRule>
  </x:conditionalFormatting>
  <x:conditionalFormatting sqref="G37:W37">
    <x:cfRule type="expression" dxfId="48" priority="23">
      <x:formula>G37=1</x:formula>
    </x:cfRule>
  </x:conditionalFormatting>
  <x:conditionalFormatting sqref="G38:W38">
    <x:cfRule type="expression" dxfId="49" priority="24">
      <x:formula>G38=1</x:formula>
    </x:cfRule>
  </x:conditionalFormatting>
  <x:conditionalFormatting sqref="G39:W39">
    <x:cfRule type="expression" dxfId="50" priority="25">
      <x:formula>G39=1</x:formula>
    </x:cfRule>
  </x:conditionalFormatting>
  <x:conditionalFormatting sqref="G40:W40">
    <x:cfRule type="expression" dxfId="51" priority="26">
      <x:formula>G40=1</x:formula>
    </x:cfRule>
  </x:conditionalFormatting>
  <x:conditionalFormatting sqref="G41:W41">
    <x:cfRule type="expression" dxfId="52" priority="27">
      <x:formula>G41=1</x:formula>
    </x:cfRule>
  </x:conditionalFormatting>
  <x:conditionalFormatting sqref="G42:W42">
    <x:cfRule type="expression" dxfId="53" priority="28">
      <x:formula>G42=1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9" hidden="0" customWidth="1"/>
    <x:col min="2" max="2" width="19" hidden="0" customWidth="1"/>
    <x:col min="3" max="3" width="57" hidden="0" customWidth="1"/>
    <x:col min="4" max="4" width="16" hidden="0" customWidth="1"/>
    <x:col min="5" max="5" width="27" hidden="0" customWidth="1"/>
    <x:col min="6" max="6" width="10" hidden="0" customWidth="1"/>
    <x:col min="7" max="7" width="10" hidden="0" customWidth="1"/>
    <x:col min="8" max="8" width="11" hidden="0" customWidth="1"/>
    <x:col min="9" max="9" width="10" hidden="0" customWidth="1"/>
    <x:col min="10" max="10" width="13" hidden="0" customWidth="1"/>
    <x:col min="11" max="11" width="13" hidden="0" customWidth="1"/>
    <x:col min="12" max="12" width="10" hidden="0" customWidth="1"/>
    <x:col min="13" max="13" width="22" hidden="0" customWidth="1"/>
    <x:col min="31" max="31" width="16" hidden="0" customWidth="1"/>
    <x:col min="32" max="32" width="78" hidden="0" customWidth="1"/>
    <x:col min="33" max="33" width="75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>
      <x:c r="A2" s="3" t="str">
        <x:v>Task Ownership, Working-Day Gantt and Labor Cost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</x:row>
    <x:row r="4">
      <x:c r="A4" s="2" t="str">
        <x:v>Yellow cells are editable. Gantt cells show scheduled person-days. EXT = external dependency, not estimated or costed.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</x:row>
    <x:row r="5">
      <x:c r="A5" s="2" t="str">
        <x:v>Start WD / Window WD use the holiday-adjusted workday index. :SS = same-window integration; otherwise finish-to-start. Capacity is not automatically leveled.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</x:row>
    <x:row r="6" ht="34" customHeight="1">
      <x:c r="A6" s="13" t="str">
        <x:v>ID</x:v>
      </x:c>
      <x:c r="B6" s="13" t="str">
        <x:v>Workstream</x:v>
      </x:c>
      <x:c r="C6" s="13" t="str">
        <x:v>Task / deliverable</x:v>
      </x:c>
      <x:c r="D6" s="13" t="str">
        <x:v>Owner</x:v>
      </x:c>
      <x:c r="E6" s="13" t="str">
        <x:v>Dependencies</x:v>
      </x:c>
      <x:c r="F6" s="13" t="str">
        <x:v>Start WD</x:v>
      </x:c>
      <x:c r="G6" s="13" t="str">
        <x:v>Window WD</x:v>
      </x:c>
      <x:c r="H6" s="13" t="str">
        <x:v>Effort days</x:v>
      </x:c>
      <x:c r="I6" s="13" t="str">
        <x:v>Finish WD</x:v>
      </x:c>
      <x:c r="J6" s="13" t="str">
        <x:v>Start date</x:v>
      </x:c>
      <x:c r="K6" s="13" t="str">
        <x:v>Finish date</x:v>
      </x:c>
      <x:c r="L6" s="13" t="str">
        <x:v>Progress</x:v>
      </x:c>
      <x:c r="M6" s="13" t="str">
        <x:v>Plan check</x:v>
      </x:c>
      <x:c r="N6" s="13" t="str">
        <x:v>W1</x:v>
      </x:c>
      <x:c r="O6" s="13" t="str">
        <x:v>W2</x:v>
      </x:c>
      <x:c r="P6" s="13" t="str">
        <x:v>W3</x:v>
      </x:c>
      <x:c r="Q6" s="13" t="str">
        <x:v>W4</x:v>
      </x:c>
      <x:c r="R6" s="13" t="str">
        <x:v>W5</x:v>
      </x:c>
      <x:c r="S6" s="13" t="str">
        <x:v>W6</x:v>
      </x:c>
      <x:c r="T6" s="13" t="str">
        <x:v>W7</x:v>
      </x:c>
      <x:c r="U6" s="13" t="str">
        <x:v>W8</x:v>
      </x:c>
      <x:c r="V6" s="13" t="str">
        <x:v>W9</x:v>
      </x:c>
      <x:c r="W6" s="13" t="str">
        <x:v>W10</x:v>
      </x:c>
      <x:c r="X6" s="13" t="str">
        <x:v>W11</x:v>
      </x:c>
      <x:c r="Y6" s="13" t="str">
        <x:v>W12</x:v>
      </x:c>
      <x:c r="Z6" s="13" t="str">
        <x:v>W13</x:v>
      </x:c>
      <x:c r="AA6" s="13" t="str">
        <x:v>W14</x:v>
      </x:c>
      <x:c r="AB6" s="13" t="str">
        <x:v>W15</x:v>
      </x:c>
      <x:c r="AC6" s="13" t="str">
        <x:v>W16</x:v>
      </x:c>
      <x:c r="AD6" s="13" t="str">
        <x:v>W17</x:v>
      </x:c>
      <x:c r="AE6" s="13" t="str">
        <x:v>Cost (USD)</x:v>
      </x:c>
      <x:c r="AF6" s="13" t="str">
        <x:v>Exit criteria / evidence</x:v>
      </x:c>
      <x:c r="AG6" s="13" t="str">
        <x:v>Handoff / scope notes</x:v>
      </x:c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34" t="n">
        <x:f>'Delivery Timeline'!$B$4+0</x:f>
        <x:v>46328</x:v>
      </x:c>
      <x:c r="O7" s="34" t="n">
        <x:f>'Delivery Timeline'!$B$4+7</x:f>
        <x:v>46335</x:v>
      </x:c>
      <x:c r="P7" s="34" t="n">
        <x:f>'Delivery Timeline'!$B$4+14</x:f>
        <x:v>46342</x:v>
      </x:c>
      <x:c r="Q7" s="34" t="n">
        <x:f>'Delivery Timeline'!$B$4+21</x:f>
        <x:v>46349</x:v>
      </x:c>
      <x:c r="R7" s="34" t="n">
        <x:f>'Delivery Timeline'!$B$4+28</x:f>
        <x:v>46356</x:v>
      </x:c>
      <x:c r="S7" s="34" t="n">
        <x:f>'Delivery Timeline'!$B$4+35</x:f>
        <x:v>46363</x:v>
      </x:c>
      <x:c r="T7" s="34" t="n">
        <x:f>'Delivery Timeline'!$B$4+42</x:f>
        <x:v>46370</x:v>
      </x:c>
      <x:c r="U7" s="34" t="n">
        <x:f>'Delivery Timeline'!$B$4+49</x:f>
        <x:v>46377</x:v>
      </x:c>
      <x:c r="V7" s="34" t="n">
        <x:f>'Delivery Timeline'!$B$4+56</x:f>
        <x:v>46384</x:v>
      </x:c>
      <x:c r="W7" s="34" t="n">
        <x:f>'Delivery Timeline'!$B$4+63</x:f>
        <x:v>46391</x:v>
      </x:c>
      <x:c r="X7" s="34" t="n">
        <x:f>'Delivery Timeline'!$B$4+70</x:f>
        <x:v>46398</x:v>
      </x:c>
      <x:c r="Y7" s="34" t="n">
        <x:f>'Delivery Timeline'!$B$4+77</x:f>
        <x:v>46405</x:v>
      </x:c>
      <x:c r="Z7" s="34" t="n">
        <x:f>'Delivery Timeline'!$B$4+84</x:f>
        <x:v>46412</x:v>
      </x:c>
      <x:c r="AA7" s="34" t="n">
        <x:f>'Delivery Timeline'!$B$4+91</x:f>
        <x:v>46419</x:v>
      </x:c>
      <x:c r="AB7" s="34" t="n">
        <x:f>'Delivery Timeline'!$B$4+98</x:f>
        <x:v>46426</x:v>
      </x:c>
      <x:c r="AC7" s="34" t="n">
        <x:f>'Delivery Timeline'!$B$4+105</x:f>
        <x:v>46433</x:v>
      </x:c>
      <x:c r="AD7" s="34" t="n">
        <x:f>'Delivery Timeline'!$B$4+112</x:f>
        <x:v>46440</x:v>
      </x:c>
      <x:c r="AE7" s="2"/>
      <x:c r="AF7" s="2"/>
      <x:c r="AG7" s="2"/>
    </x:row>
    <x:row r="8" ht="36" customHeight="1">
      <x:c r="A8" s="2" t="str">
        <x:v>A01</x:v>
      </x:c>
      <x:c r="B8" s="2" t="str">
        <x:v>Worker / Azure</x:v>
      </x:c>
      <x:c r="C8" s="2" t="str">
        <x:v>Worker skeleton, PostgreSQL migrations and CI</x:v>
      </x:c>
      <x:c r="D8" s="22" t="str">
        <x:v>Dev 2</x:v>
      </x:c>
      <x:c r="E8" s="2" t="str"/>
      <x:c r="F8" s="47" t="n">
        <x:v>1</x:v>
      </x:c>
      <x:c r="G8" s="47" t="n">
        <x:v>5</x:v>
      </x:c>
      <x:c r="H8" s="48" t="n">
        <x:v>4</x:v>
      </x:c>
      <x:c r="I8" s="2" t="n">
        <x:f>IF(OR(F8="",G8=""),"",F8+G8-1)</x:f>
        <x:v>5</x:v>
      </x:c>
      <x:c r="J8" s="5" t="n">
        <x:f>IF(OR(F8="",F8&lt;1,F8&gt;Calendar!$B$9),"",INDEX(Calendar!$A$16:$A$134,MATCH(F8,Calendar!$D$16:$D$134,0)))</x:f>
        <x:v>46328</x:v>
      </x:c>
      <x:c r="K8" s="5" t="n">
        <x:f>IF(OR(I8="",I8&lt;1,I8&gt;Calendar!$B$9),"",INDEX(Calendar!$A$16:$A$134,MATCH(I8,Calendar!$D$16:$D$134,0)))</x:f>
        <x:v>46332</x:v>
      </x:c>
      <x:c r="L8" s="50" t="n">
        <x:v>0</x:v>
      </x:c>
      <x:c r="M8" s="2" t="str">
        <x:f>IF(OR(F8="",G8="",H8=""),"Missing input",IF(OR(F8&lt;1,G8&lt;1,I8&gt;Calendar!$B$9),"Outside calendar",IF(F8&lt;1,"Dependency conflict","Scheduled")))</x:f>
        <x:v>Scheduled</x:v>
      </x:c>
      <x:c r="N8" s="44" t="n">
        <x:f>IF(OR($J8="",$K8=""),"",IF(SUMIFS(Calendar!$C$16:$C$134,Calendar!$A$16:$A$134,"&gt;="&amp;MAX(N$7,$J8),Calendar!$A$16:$A$134,"&lt;="&amp;MIN(N$7+4,$K8))=0,0,IF($H8="","EXT",SUMIFS(Calendar!$C$16:$C$134,Calendar!$A$16:$A$134,"&gt;="&amp;MAX(N$7,$J8),Calendar!$A$16:$A$134,"&lt;="&amp;MIN(N$7+4,$K8))*$H8/$G8)))</x:f>
        <x:v>4</x:v>
      </x:c>
      <x:c r="O8" s="44" t="n">
        <x:f>IF(OR($J8="",$K8=""),"",IF(SUMIFS(Calendar!$C$16:$C$134,Calendar!$A$16:$A$134,"&gt;="&amp;MAX(O$7,$J8),Calendar!$A$16:$A$134,"&lt;="&amp;MIN(O$7+4,$K8))=0,0,IF($H8="","EXT",SUMIFS(Calendar!$C$16:$C$134,Calendar!$A$16:$A$134,"&gt;="&amp;MAX(O$7,$J8),Calendar!$A$16:$A$134,"&lt;="&amp;MIN(O$7+4,$K8))*$H8/$G8)))</x:f>
        <x:v>0</x:v>
      </x:c>
      <x:c r="P8" s="44" t="n">
        <x:f>IF(OR($J8="",$K8=""),"",IF(SUMIFS(Calendar!$C$16:$C$134,Calendar!$A$16:$A$134,"&gt;="&amp;MAX(P$7,$J8),Calendar!$A$16:$A$134,"&lt;="&amp;MIN(P$7+4,$K8))=0,0,IF($H8="","EXT",SUMIFS(Calendar!$C$16:$C$134,Calendar!$A$16:$A$134,"&gt;="&amp;MAX(P$7,$J8),Calendar!$A$16:$A$134,"&lt;="&amp;MIN(P$7+4,$K8))*$H8/$G8)))</x:f>
        <x:v>0</x:v>
      </x:c>
      <x:c r="Q8" s="44" t="n">
        <x:f>IF(OR($J8="",$K8=""),"",IF(SUMIFS(Calendar!$C$16:$C$134,Calendar!$A$16:$A$134,"&gt;="&amp;MAX(Q$7,$J8),Calendar!$A$16:$A$134,"&lt;="&amp;MIN(Q$7+4,$K8))=0,0,IF($H8="","EXT",SUMIFS(Calendar!$C$16:$C$134,Calendar!$A$16:$A$134,"&gt;="&amp;MAX(Q$7,$J8),Calendar!$A$16:$A$134,"&lt;="&amp;MIN(Q$7+4,$K8))*$H8/$G8)))</x:f>
        <x:v>0</x:v>
      </x:c>
      <x:c r="R8" s="44" t="n">
        <x:f>IF(OR($J8="",$K8=""),"",IF(SUMIFS(Calendar!$C$16:$C$134,Calendar!$A$16:$A$134,"&gt;="&amp;MAX(R$7,$J8),Calendar!$A$16:$A$134,"&lt;="&amp;MIN(R$7+4,$K8))=0,0,IF($H8="","EXT",SUMIFS(Calendar!$C$16:$C$134,Calendar!$A$16:$A$134,"&gt;="&amp;MAX(R$7,$J8),Calendar!$A$16:$A$134,"&lt;="&amp;MIN(R$7+4,$K8))*$H8/$G8)))</x:f>
        <x:v>0</x:v>
      </x:c>
      <x:c r="S8" s="44" t="n">
        <x:f>IF(OR($J8="",$K8=""),"",IF(SUMIFS(Calendar!$C$16:$C$134,Calendar!$A$16:$A$134,"&gt;="&amp;MAX(S$7,$J8),Calendar!$A$16:$A$134,"&lt;="&amp;MIN(S$7+4,$K8))=0,0,IF($H8="","EXT",SUMIFS(Calendar!$C$16:$C$134,Calendar!$A$16:$A$134,"&gt;="&amp;MAX(S$7,$J8),Calendar!$A$16:$A$134,"&lt;="&amp;MIN(S$7+4,$K8))*$H8/$G8)))</x:f>
        <x:v>0</x:v>
      </x:c>
      <x:c r="T8" s="44" t="n">
        <x:f>IF(OR($J8="",$K8=""),"",IF(SUMIFS(Calendar!$C$16:$C$134,Calendar!$A$16:$A$134,"&gt;="&amp;MAX(T$7,$J8),Calendar!$A$16:$A$134,"&lt;="&amp;MIN(T$7+4,$K8))=0,0,IF($H8="","EXT",SUMIFS(Calendar!$C$16:$C$134,Calendar!$A$16:$A$134,"&gt;="&amp;MAX(T$7,$J8),Calendar!$A$16:$A$134,"&lt;="&amp;MIN(T$7+4,$K8))*$H8/$G8)))</x:f>
        <x:v>0</x:v>
      </x:c>
      <x:c r="U8" s="44" t="n">
        <x:f>IF(OR($J8="",$K8=""),"",IF(SUMIFS(Calendar!$C$16:$C$134,Calendar!$A$16:$A$134,"&gt;="&amp;MAX(U$7,$J8),Calendar!$A$16:$A$134,"&lt;="&amp;MIN(U$7+4,$K8))=0,0,IF($H8="","EXT",SUMIFS(Calendar!$C$16:$C$134,Calendar!$A$16:$A$134,"&gt;="&amp;MAX(U$7,$J8),Calendar!$A$16:$A$134,"&lt;="&amp;MIN(U$7+4,$K8))*$H8/$G8)))</x:f>
        <x:v>0</x:v>
      </x:c>
      <x:c r="V8" s="44" t="n">
        <x:f>IF(OR($J8="",$K8=""),"",IF(SUMIFS(Calendar!$C$16:$C$134,Calendar!$A$16:$A$134,"&gt;="&amp;MAX(V$7,$J8),Calendar!$A$16:$A$134,"&lt;="&amp;MIN(V$7+4,$K8))=0,0,IF($H8="","EXT",SUMIFS(Calendar!$C$16:$C$134,Calendar!$A$16:$A$134,"&gt;="&amp;MAX(V$7,$J8),Calendar!$A$16:$A$134,"&lt;="&amp;MIN(V$7+4,$K8))*$H8/$G8)))</x:f>
        <x:v>0</x:v>
      </x:c>
      <x:c r="W8" s="44" t="n">
        <x:f>IF(OR($J8="",$K8=""),"",IF(SUMIFS(Calendar!$C$16:$C$134,Calendar!$A$16:$A$134,"&gt;="&amp;MAX(W$7,$J8),Calendar!$A$16:$A$134,"&lt;="&amp;MIN(W$7+4,$K8))=0,0,IF($H8="","EXT",SUMIFS(Calendar!$C$16:$C$134,Calendar!$A$16:$A$134,"&gt;="&amp;MAX(W$7,$J8),Calendar!$A$16:$A$134,"&lt;="&amp;MIN(W$7+4,$K8))*$H8/$G8)))</x:f>
        <x:v>0</x:v>
      </x:c>
      <x:c r="X8" s="44" t="n">
        <x:f>IF(OR($J8="",$K8=""),"",IF(SUMIFS(Calendar!$C$16:$C$134,Calendar!$A$16:$A$134,"&gt;="&amp;MAX(X$7,$J8),Calendar!$A$16:$A$134,"&lt;="&amp;MIN(X$7+4,$K8))=0,0,IF($H8="","EXT",SUMIFS(Calendar!$C$16:$C$134,Calendar!$A$16:$A$134,"&gt;="&amp;MAX(X$7,$J8),Calendar!$A$16:$A$134,"&lt;="&amp;MIN(X$7+4,$K8))*$H8/$G8)))</x:f>
        <x:v>0</x:v>
      </x:c>
      <x:c r="Y8" s="44" t="n">
        <x:f>IF(OR($J8="",$K8=""),"",IF(SUMIFS(Calendar!$C$16:$C$134,Calendar!$A$16:$A$134,"&gt;="&amp;MAX(Y$7,$J8),Calendar!$A$16:$A$134,"&lt;="&amp;MIN(Y$7+4,$K8))=0,0,IF($H8="","EXT",SUMIFS(Calendar!$C$16:$C$134,Calendar!$A$16:$A$134,"&gt;="&amp;MAX(Y$7,$J8),Calendar!$A$16:$A$134,"&lt;="&amp;MIN(Y$7+4,$K8))*$H8/$G8)))</x:f>
        <x:v>0</x:v>
      </x:c>
      <x:c r="Z8" s="44" t="n">
        <x:f>IF(OR($J8="",$K8=""),"",IF(SUMIFS(Calendar!$C$16:$C$134,Calendar!$A$16:$A$134,"&gt;="&amp;MAX(Z$7,$J8),Calendar!$A$16:$A$134,"&lt;="&amp;MIN(Z$7+4,$K8))=0,0,IF($H8="","EXT",SUMIFS(Calendar!$C$16:$C$134,Calendar!$A$16:$A$134,"&gt;="&amp;MAX(Z$7,$J8),Calendar!$A$16:$A$134,"&lt;="&amp;MIN(Z$7+4,$K8))*$H8/$G8)))</x:f>
        <x:v>0</x:v>
      </x:c>
      <x:c r="AA8" s="44" t="n">
        <x:f>IF(OR($J8="",$K8=""),"",IF(SUMIFS(Calendar!$C$16:$C$134,Calendar!$A$16:$A$134,"&gt;="&amp;MAX(AA$7,$J8),Calendar!$A$16:$A$134,"&lt;="&amp;MIN(AA$7+4,$K8))=0,0,IF($H8="","EXT",SUMIFS(Calendar!$C$16:$C$134,Calendar!$A$16:$A$134,"&gt;="&amp;MAX(AA$7,$J8),Calendar!$A$16:$A$134,"&lt;="&amp;MIN(AA$7+4,$K8))*$H8/$G8)))</x:f>
        <x:v>0</x:v>
      </x:c>
      <x:c r="AB8" s="44" t="n">
        <x:f>IF(OR($J8="",$K8=""),"",IF(SUMIFS(Calendar!$C$16:$C$134,Calendar!$A$16:$A$134,"&gt;="&amp;MAX(AB$7,$J8),Calendar!$A$16:$A$134,"&lt;="&amp;MIN(AB$7+4,$K8))=0,0,IF($H8="","EXT",SUMIFS(Calendar!$C$16:$C$134,Calendar!$A$16:$A$134,"&gt;="&amp;MAX(AB$7,$J8),Calendar!$A$16:$A$134,"&lt;="&amp;MIN(AB$7+4,$K8))*$H8/$G8)))</x:f>
        <x:v>0</x:v>
      </x:c>
      <x:c r="AC8" s="44" t="n">
        <x:f>IF(OR($J8="",$K8=""),"",IF(SUMIFS(Calendar!$C$16:$C$134,Calendar!$A$16:$A$134,"&gt;="&amp;MAX(AC$7,$J8),Calendar!$A$16:$A$134,"&lt;="&amp;MIN(AC$7+4,$K8))=0,0,IF($H8="","EXT",SUMIFS(Calendar!$C$16:$C$134,Calendar!$A$16:$A$134,"&gt;="&amp;MAX(AC$7,$J8),Calendar!$A$16:$A$134,"&lt;="&amp;MIN(AC$7+4,$K8))*$H8/$G8)))</x:f>
        <x:v>0</x:v>
      </x:c>
      <x:c r="AD8" s="44" t="n">
        <x:f>IF(OR($J8="",$K8=""),"",IF(SUMIFS(Calendar!$C$16:$C$134,Calendar!$A$16:$A$134,"&gt;="&amp;MAX(AD$7,$J8),Calendar!$A$16:$A$134,"&lt;="&amp;MIN(AD$7+4,$K8))=0,0,IF($H8="","EXT",SUMIFS(Calendar!$C$16:$C$134,Calendar!$A$16:$A$134,"&gt;="&amp;MAX(AD$7,$J8),Calendar!$A$16:$A$134,"&lt;="&amp;MIN(AD$7+4,$K8))*$H8/$G8)))</x:f>
        <x:v>0</x:v>
      </x:c>
      <x:c r="AE8" s="42" t="n">
        <x:f>IF(OR(M8&lt;&gt;"Scheduled",INDEX('Team and Gates'!$C$7:$C$11,MATCH($D8,'Team and Gates'!$A$7:$A$11,0))=""),"CHECK",SUM(N8:AD8)*INDEX('Team and Gates'!$C$7:$C$11,MATCH($D8,'Team and Gates'!$A$7:$A$11,0)))</x:f>
        <x:v>1440</x:v>
      </x:c>
      <x:c r="AF8" s="43" t="str">
        <x:v>Worker deploys independently; schema migration and Worker CI pass.</x:v>
      </x:c>
      <x:c r="AG8" s="43" t="str"/>
    </x:row>
    <x:row r="9" ht="36" customHeight="1">
      <x:c r="A9" s="35" t="str">
        <x:v>A02</x:v>
      </x:c>
      <x:c r="B9" s="35" t="str">
        <x:v>Worker / Azure</x:v>
      </x:c>
      <x:c r="C9" s="35" t="str">
        <x:v>Entra connection, token cache and Azure access</x:v>
      </x:c>
      <x:c r="D9" s="22" t="str">
        <x:v>Dev 2</x:v>
      </x:c>
      <x:c r="E9" s="35" t="str">
        <x:v>A01, E01</x:v>
      </x:c>
      <x:c r="F9" s="47" t="n">
        <x:v>6</x:v>
      </x:c>
      <x:c r="G9" s="47" t="n">
        <x:v>5</x:v>
      </x:c>
      <x:c r="H9" s="48" t="n">
        <x:v>4</x:v>
      </x:c>
      <x:c r="I9" s="35" t="n">
        <x:f>IF(OR(F9="",G9=""),"",F9+G9-1)</x:f>
        <x:v>10</x:v>
      </x:c>
      <x:c r="J9" s="37" t="n">
        <x:f>IF(OR(F9="",F9&lt;1,F9&gt;Calendar!$B$9),"",INDEX(Calendar!$A$16:$A$134,MATCH(F9,Calendar!$D$16:$D$134,0)))</x:f>
        <x:v>46335</x:v>
      </x:c>
      <x:c r="K9" s="37" t="n">
        <x:f>IF(OR(I9="",I9&lt;1,I9&gt;Calendar!$B$9),"",INDEX(Calendar!$A$16:$A$134,MATCH(I9,Calendar!$D$16:$D$134,0)))</x:f>
        <x:v>46339</x:v>
      </x:c>
      <x:c r="L9" s="50" t="n">
        <x:v>0</x:v>
      </x:c>
      <x:c r="M9" s="35" t="str">
        <x:f>IF(OR(F9="",G9="",H9=""),"Missing input",IF(OR(F9&lt;1,G9&lt;1,I9&gt;Calendar!$B$9),"Outside calendar",IF(F9&lt;MAX(INDEX($I$8:$I$85,MATCH("A01",$A$8:$A$85,0))+1,INDEX($I$8:$I$85,MATCH("E01",$A$8:$A$85,0))+1),"Dependency conflict","Scheduled")))</x:f>
        <x:v>Scheduled</x:v>
      </x:c>
      <x:c r="N9" s="44" t="n">
        <x:f>IF(OR($J9="",$K9=""),"",IF(SUMIFS(Calendar!$C$16:$C$134,Calendar!$A$16:$A$134,"&gt;="&amp;MAX(N$7,$J9),Calendar!$A$16:$A$134,"&lt;="&amp;MIN(N$7+4,$K9))=0,0,IF($H9="","EXT",SUMIFS(Calendar!$C$16:$C$134,Calendar!$A$16:$A$134,"&gt;="&amp;MAX(N$7,$J9),Calendar!$A$16:$A$134,"&lt;="&amp;MIN(N$7+4,$K9))*$H9/$G9)))</x:f>
        <x:v>0</x:v>
      </x:c>
      <x:c r="O9" s="44" t="n">
        <x:f>IF(OR($J9="",$K9=""),"",IF(SUMIFS(Calendar!$C$16:$C$134,Calendar!$A$16:$A$134,"&gt;="&amp;MAX(O$7,$J9),Calendar!$A$16:$A$134,"&lt;="&amp;MIN(O$7+4,$K9))=0,0,IF($H9="","EXT",SUMIFS(Calendar!$C$16:$C$134,Calendar!$A$16:$A$134,"&gt;="&amp;MAX(O$7,$J9),Calendar!$A$16:$A$134,"&lt;="&amp;MIN(O$7+4,$K9))*$H9/$G9)))</x:f>
        <x:v>4</x:v>
      </x:c>
      <x:c r="P9" s="44" t="n">
        <x:f>IF(OR($J9="",$K9=""),"",IF(SUMIFS(Calendar!$C$16:$C$134,Calendar!$A$16:$A$134,"&gt;="&amp;MAX(P$7,$J9),Calendar!$A$16:$A$134,"&lt;="&amp;MIN(P$7+4,$K9))=0,0,IF($H9="","EXT",SUMIFS(Calendar!$C$16:$C$134,Calendar!$A$16:$A$134,"&gt;="&amp;MAX(P$7,$J9),Calendar!$A$16:$A$134,"&lt;="&amp;MIN(P$7+4,$K9))*$H9/$G9)))</x:f>
        <x:v>0</x:v>
      </x:c>
      <x:c r="Q9" s="44" t="n">
        <x:f>IF(OR($J9="",$K9=""),"",IF(SUMIFS(Calendar!$C$16:$C$134,Calendar!$A$16:$A$134,"&gt;="&amp;MAX(Q$7,$J9),Calendar!$A$16:$A$134,"&lt;="&amp;MIN(Q$7+4,$K9))=0,0,IF($H9="","EXT",SUMIFS(Calendar!$C$16:$C$134,Calendar!$A$16:$A$134,"&gt;="&amp;MAX(Q$7,$J9),Calendar!$A$16:$A$134,"&lt;="&amp;MIN(Q$7+4,$K9))*$H9/$G9)))</x:f>
        <x:v>0</x:v>
      </x:c>
      <x:c r="R9" s="44" t="n">
        <x:f>IF(OR($J9="",$K9=""),"",IF(SUMIFS(Calendar!$C$16:$C$134,Calendar!$A$16:$A$134,"&gt;="&amp;MAX(R$7,$J9),Calendar!$A$16:$A$134,"&lt;="&amp;MIN(R$7+4,$K9))=0,0,IF($H9="","EXT",SUMIFS(Calendar!$C$16:$C$134,Calendar!$A$16:$A$134,"&gt;="&amp;MAX(R$7,$J9),Calendar!$A$16:$A$134,"&lt;="&amp;MIN(R$7+4,$K9))*$H9/$G9)))</x:f>
        <x:v>0</x:v>
      </x:c>
      <x:c r="S9" s="44" t="n">
        <x:f>IF(OR($J9="",$K9=""),"",IF(SUMIFS(Calendar!$C$16:$C$134,Calendar!$A$16:$A$134,"&gt;="&amp;MAX(S$7,$J9),Calendar!$A$16:$A$134,"&lt;="&amp;MIN(S$7+4,$K9))=0,0,IF($H9="","EXT",SUMIFS(Calendar!$C$16:$C$134,Calendar!$A$16:$A$134,"&gt;="&amp;MAX(S$7,$J9),Calendar!$A$16:$A$134,"&lt;="&amp;MIN(S$7+4,$K9))*$H9/$G9)))</x:f>
        <x:v>0</x:v>
      </x:c>
      <x:c r="T9" s="44" t="n">
        <x:f>IF(OR($J9="",$K9=""),"",IF(SUMIFS(Calendar!$C$16:$C$134,Calendar!$A$16:$A$134,"&gt;="&amp;MAX(T$7,$J9),Calendar!$A$16:$A$134,"&lt;="&amp;MIN(T$7+4,$K9))=0,0,IF($H9="","EXT",SUMIFS(Calendar!$C$16:$C$134,Calendar!$A$16:$A$134,"&gt;="&amp;MAX(T$7,$J9),Calendar!$A$16:$A$134,"&lt;="&amp;MIN(T$7+4,$K9))*$H9/$G9)))</x:f>
        <x:v>0</x:v>
      </x:c>
      <x:c r="U9" s="44" t="n">
        <x:f>IF(OR($J9="",$K9=""),"",IF(SUMIFS(Calendar!$C$16:$C$134,Calendar!$A$16:$A$134,"&gt;="&amp;MAX(U$7,$J9),Calendar!$A$16:$A$134,"&lt;="&amp;MIN(U$7+4,$K9))=0,0,IF($H9="","EXT",SUMIFS(Calendar!$C$16:$C$134,Calendar!$A$16:$A$134,"&gt;="&amp;MAX(U$7,$J9),Calendar!$A$16:$A$134,"&lt;="&amp;MIN(U$7+4,$K9))*$H9/$G9)))</x:f>
        <x:v>0</x:v>
      </x:c>
      <x:c r="V9" s="44" t="n">
        <x:f>IF(OR($J9="",$K9=""),"",IF(SUMIFS(Calendar!$C$16:$C$134,Calendar!$A$16:$A$134,"&gt;="&amp;MAX(V$7,$J9),Calendar!$A$16:$A$134,"&lt;="&amp;MIN(V$7+4,$K9))=0,0,IF($H9="","EXT",SUMIFS(Calendar!$C$16:$C$134,Calendar!$A$16:$A$134,"&gt;="&amp;MAX(V$7,$J9),Calendar!$A$16:$A$134,"&lt;="&amp;MIN(V$7+4,$K9))*$H9/$G9)))</x:f>
        <x:v>0</x:v>
      </x:c>
      <x:c r="W9" s="44" t="n">
        <x:f>IF(OR($J9="",$K9=""),"",IF(SUMIFS(Calendar!$C$16:$C$134,Calendar!$A$16:$A$134,"&gt;="&amp;MAX(W$7,$J9),Calendar!$A$16:$A$134,"&lt;="&amp;MIN(W$7+4,$K9))=0,0,IF($H9="","EXT",SUMIFS(Calendar!$C$16:$C$134,Calendar!$A$16:$A$134,"&gt;="&amp;MAX(W$7,$J9),Calendar!$A$16:$A$134,"&lt;="&amp;MIN(W$7+4,$K9))*$H9/$G9)))</x:f>
        <x:v>0</x:v>
      </x:c>
      <x:c r="X9" s="44" t="n">
        <x:f>IF(OR($J9="",$K9=""),"",IF(SUMIFS(Calendar!$C$16:$C$134,Calendar!$A$16:$A$134,"&gt;="&amp;MAX(X$7,$J9),Calendar!$A$16:$A$134,"&lt;="&amp;MIN(X$7+4,$K9))=0,0,IF($H9="","EXT",SUMIFS(Calendar!$C$16:$C$134,Calendar!$A$16:$A$134,"&gt;="&amp;MAX(X$7,$J9),Calendar!$A$16:$A$134,"&lt;="&amp;MIN(X$7+4,$K9))*$H9/$G9)))</x:f>
        <x:v>0</x:v>
      </x:c>
      <x:c r="Y9" s="44" t="n">
        <x:f>IF(OR($J9="",$K9=""),"",IF(SUMIFS(Calendar!$C$16:$C$134,Calendar!$A$16:$A$134,"&gt;="&amp;MAX(Y$7,$J9),Calendar!$A$16:$A$134,"&lt;="&amp;MIN(Y$7+4,$K9))=0,0,IF($H9="","EXT",SUMIFS(Calendar!$C$16:$C$134,Calendar!$A$16:$A$134,"&gt;="&amp;MAX(Y$7,$J9),Calendar!$A$16:$A$134,"&lt;="&amp;MIN(Y$7+4,$K9))*$H9/$G9)))</x:f>
        <x:v>0</x:v>
      </x:c>
      <x:c r="Z9" s="44" t="n">
        <x:f>IF(OR($J9="",$K9=""),"",IF(SUMIFS(Calendar!$C$16:$C$134,Calendar!$A$16:$A$134,"&gt;="&amp;MAX(Z$7,$J9),Calendar!$A$16:$A$134,"&lt;="&amp;MIN(Z$7+4,$K9))=0,0,IF($H9="","EXT",SUMIFS(Calendar!$C$16:$C$134,Calendar!$A$16:$A$134,"&gt;="&amp;MAX(Z$7,$J9),Calendar!$A$16:$A$134,"&lt;="&amp;MIN(Z$7+4,$K9))*$H9/$G9)))</x:f>
        <x:v>0</x:v>
      </x:c>
      <x:c r="AA9" s="44" t="n">
        <x:f>IF(OR($J9="",$K9=""),"",IF(SUMIFS(Calendar!$C$16:$C$134,Calendar!$A$16:$A$134,"&gt;="&amp;MAX(AA$7,$J9),Calendar!$A$16:$A$134,"&lt;="&amp;MIN(AA$7+4,$K9))=0,0,IF($H9="","EXT",SUMIFS(Calendar!$C$16:$C$134,Calendar!$A$16:$A$134,"&gt;="&amp;MAX(AA$7,$J9),Calendar!$A$16:$A$134,"&lt;="&amp;MIN(AA$7+4,$K9))*$H9/$G9)))</x:f>
        <x:v>0</x:v>
      </x:c>
      <x:c r="AB9" s="44" t="n">
        <x:f>IF(OR($J9="",$K9=""),"",IF(SUMIFS(Calendar!$C$16:$C$134,Calendar!$A$16:$A$134,"&gt;="&amp;MAX(AB$7,$J9),Calendar!$A$16:$A$134,"&lt;="&amp;MIN(AB$7+4,$K9))=0,0,IF($H9="","EXT",SUMIFS(Calendar!$C$16:$C$134,Calendar!$A$16:$A$134,"&gt;="&amp;MAX(AB$7,$J9),Calendar!$A$16:$A$134,"&lt;="&amp;MIN(AB$7+4,$K9))*$H9/$G9)))</x:f>
        <x:v>0</x:v>
      </x:c>
      <x:c r="AC9" s="44" t="n">
        <x:f>IF(OR($J9="",$K9=""),"",IF(SUMIFS(Calendar!$C$16:$C$134,Calendar!$A$16:$A$134,"&gt;="&amp;MAX(AC$7,$J9),Calendar!$A$16:$A$134,"&lt;="&amp;MIN(AC$7+4,$K9))=0,0,IF($H9="","EXT",SUMIFS(Calendar!$C$16:$C$134,Calendar!$A$16:$A$134,"&gt;="&amp;MAX(AC$7,$J9),Calendar!$A$16:$A$134,"&lt;="&amp;MIN(AC$7+4,$K9))*$H9/$G9)))</x:f>
        <x:v>0</x:v>
      </x:c>
      <x:c r="AD9" s="44" t="n">
        <x:f>IF(OR($J9="",$K9=""),"",IF(SUMIFS(Calendar!$C$16:$C$134,Calendar!$A$16:$A$134,"&gt;="&amp;MAX(AD$7,$J9),Calendar!$A$16:$A$134,"&lt;="&amp;MIN(AD$7+4,$K9))=0,0,IF($H9="","EXT",SUMIFS(Calendar!$C$16:$C$134,Calendar!$A$16:$A$134,"&gt;="&amp;MAX(AD$7,$J9),Calendar!$A$16:$A$134,"&lt;="&amp;MIN(AD$7+4,$K9))*$H9/$G9)))</x:f>
        <x:v>0</x:v>
      </x:c>
      <x:c r="AE9" s="42" t="n">
        <x:f>IF(OR(M9&lt;&gt;"Scheduled",INDEX('Team and Gates'!$C$7:$C$11,MATCH($D9,'Team and Gates'!$A$7:$A$11,0))=""),"CHECK",SUM(N9:AD9)*INDEX('Team and Gates'!$C$7:$C$11,MATCH($D9,'Team and Gates'!$A$7:$A$11,0)))</x:f>
        <x:v>1440</x:v>
      </x:c>
      <x:c r="AF9" s="43" t="str">
        <x:v>Graph renewal and Foundry smoke call work; secrets stay outside code.</x:v>
      </x:c>
      <x:c r="AG9" s="43" t="str"/>
    </x:row>
    <x:row r="10" ht="36" customHeight="1">
      <x:c r="A10" s="2" t="str">
        <x:v>A03</x:v>
      </x:c>
      <x:c r="B10" s="2" t="str">
        <x:v>Worker / Azure</x:v>
      </x:c>
      <x:c r="C10" s="2" t="str">
        <x:v>Inbox / Sent Items delta synchronization</x:v>
      </x:c>
      <x:c r="D10" s="22" t="str">
        <x:v>Dev 2</x:v>
      </x:c>
      <x:c r="E10" s="2" t="str">
        <x:v>A02</x:v>
      </x:c>
      <x:c r="F10" s="47" t="n">
        <x:v>11</x:v>
      </x:c>
      <x:c r="G10" s="47" t="n">
        <x:v>5</x:v>
      </x:c>
      <x:c r="H10" s="48" t="n">
        <x:v>4</x:v>
      </x:c>
      <x:c r="I10" s="2" t="n">
        <x:f>IF(OR(F10="",G10=""),"",F10+G10-1)</x:f>
        <x:v>15</x:v>
      </x:c>
      <x:c r="J10" s="5" t="n">
        <x:f>IF(OR(F10="",F10&lt;1,F10&gt;Calendar!$B$9),"",INDEX(Calendar!$A$16:$A$134,MATCH(F10,Calendar!$D$16:$D$134,0)))</x:f>
        <x:v>46342</x:v>
      </x:c>
      <x:c r="K10" s="5" t="n">
        <x:f>IF(OR(I10="",I10&lt;1,I10&gt;Calendar!$B$9),"",INDEX(Calendar!$A$16:$A$134,MATCH(I10,Calendar!$D$16:$D$134,0)))</x:f>
        <x:v>46346</x:v>
      </x:c>
      <x:c r="L10" s="50" t="n">
        <x:v>0</x:v>
      </x:c>
      <x:c r="M10" s="2" t="str">
        <x:f>IF(OR(F10="",G10="",H10=""),"Missing input",IF(OR(F10&lt;1,G10&lt;1,I10&gt;Calendar!$B$9),"Outside calendar",IF(F10&lt;MAX(INDEX($I$8:$I$85,MATCH("A02",$A$8:$A$85,0))+1),"Dependency conflict","Scheduled")))</x:f>
        <x:v>Scheduled</x:v>
      </x:c>
      <x:c r="N10" s="44" t="n">
        <x:f>IF(OR($J10="",$K10=""),"",IF(SUMIFS(Calendar!$C$16:$C$134,Calendar!$A$16:$A$134,"&gt;="&amp;MAX(N$7,$J10),Calendar!$A$16:$A$134,"&lt;="&amp;MIN(N$7+4,$K10))=0,0,IF($H10="","EXT",SUMIFS(Calendar!$C$16:$C$134,Calendar!$A$16:$A$134,"&gt;="&amp;MAX(N$7,$J10),Calendar!$A$16:$A$134,"&lt;="&amp;MIN(N$7+4,$K10))*$H10/$G10)))</x:f>
        <x:v>0</x:v>
      </x:c>
      <x:c r="O10" s="44" t="n">
        <x:f>IF(OR($J10="",$K10=""),"",IF(SUMIFS(Calendar!$C$16:$C$134,Calendar!$A$16:$A$134,"&gt;="&amp;MAX(O$7,$J10),Calendar!$A$16:$A$134,"&lt;="&amp;MIN(O$7+4,$K10))=0,0,IF($H10="","EXT",SUMIFS(Calendar!$C$16:$C$134,Calendar!$A$16:$A$134,"&gt;="&amp;MAX(O$7,$J10),Calendar!$A$16:$A$134,"&lt;="&amp;MIN(O$7+4,$K10))*$H10/$G10)))</x:f>
        <x:v>0</x:v>
      </x:c>
      <x:c r="P10" s="44" t="n">
        <x:f>IF(OR($J10="",$K10=""),"",IF(SUMIFS(Calendar!$C$16:$C$134,Calendar!$A$16:$A$134,"&gt;="&amp;MAX(P$7,$J10),Calendar!$A$16:$A$134,"&lt;="&amp;MIN(P$7+4,$K10))=0,0,IF($H10="","EXT",SUMIFS(Calendar!$C$16:$C$134,Calendar!$A$16:$A$134,"&gt;="&amp;MAX(P$7,$J10),Calendar!$A$16:$A$134,"&lt;="&amp;MIN(P$7+4,$K10))*$H10/$G10)))</x:f>
        <x:v>4</x:v>
      </x:c>
      <x:c r="Q10" s="44" t="n">
        <x:f>IF(OR($J10="",$K10=""),"",IF(SUMIFS(Calendar!$C$16:$C$134,Calendar!$A$16:$A$134,"&gt;="&amp;MAX(Q$7,$J10),Calendar!$A$16:$A$134,"&lt;="&amp;MIN(Q$7+4,$K10))=0,0,IF($H10="","EXT",SUMIFS(Calendar!$C$16:$C$134,Calendar!$A$16:$A$134,"&gt;="&amp;MAX(Q$7,$J10),Calendar!$A$16:$A$134,"&lt;="&amp;MIN(Q$7+4,$K10))*$H10/$G10)))</x:f>
        <x:v>0</x:v>
      </x:c>
      <x:c r="R10" s="44" t="n">
        <x:f>IF(OR($J10="",$K10=""),"",IF(SUMIFS(Calendar!$C$16:$C$134,Calendar!$A$16:$A$134,"&gt;="&amp;MAX(R$7,$J10),Calendar!$A$16:$A$134,"&lt;="&amp;MIN(R$7+4,$K10))=0,0,IF($H10="","EXT",SUMIFS(Calendar!$C$16:$C$134,Calendar!$A$16:$A$134,"&gt;="&amp;MAX(R$7,$J10),Calendar!$A$16:$A$134,"&lt;="&amp;MIN(R$7+4,$K10))*$H10/$G10)))</x:f>
        <x:v>0</x:v>
      </x:c>
      <x:c r="S10" s="44" t="n">
        <x:f>IF(OR($J10="",$K10=""),"",IF(SUMIFS(Calendar!$C$16:$C$134,Calendar!$A$16:$A$134,"&gt;="&amp;MAX(S$7,$J10),Calendar!$A$16:$A$134,"&lt;="&amp;MIN(S$7+4,$K10))=0,0,IF($H10="","EXT",SUMIFS(Calendar!$C$16:$C$134,Calendar!$A$16:$A$134,"&gt;="&amp;MAX(S$7,$J10),Calendar!$A$16:$A$134,"&lt;="&amp;MIN(S$7+4,$K10))*$H10/$G10)))</x:f>
        <x:v>0</x:v>
      </x:c>
      <x:c r="T10" s="44" t="n">
        <x:f>IF(OR($J10="",$K10=""),"",IF(SUMIFS(Calendar!$C$16:$C$134,Calendar!$A$16:$A$134,"&gt;="&amp;MAX(T$7,$J10),Calendar!$A$16:$A$134,"&lt;="&amp;MIN(T$7+4,$K10))=0,0,IF($H10="","EXT",SUMIFS(Calendar!$C$16:$C$134,Calendar!$A$16:$A$134,"&gt;="&amp;MAX(T$7,$J10),Calendar!$A$16:$A$134,"&lt;="&amp;MIN(T$7+4,$K10))*$H10/$G10)))</x:f>
        <x:v>0</x:v>
      </x:c>
      <x:c r="U10" s="44" t="n">
        <x:f>IF(OR($J10="",$K10=""),"",IF(SUMIFS(Calendar!$C$16:$C$134,Calendar!$A$16:$A$134,"&gt;="&amp;MAX(U$7,$J10),Calendar!$A$16:$A$134,"&lt;="&amp;MIN(U$7+4,$K10))=0,0,IF($H10="","EXT",SUMIFS(Calendar!$C$16:$C$134,Calendar!$A$16:$A$134,"&gt;="&amp;MAX(U$7,$J10),Calendar!$A$16:$A$134,"&lt;="&amp;MIN(U$7+4,$K10))*$H10/$G10)))</x:f>
        <x:v>0</x:v>
      </x:c>
      <x:c r="V10" s="44" t="n">
        <x:f>IF(OR($J10="",$K10=""),"",IF(SUMIFS(Calendar!$C$16:$C$134,Calendar!$A$16:$A$134,"&gt;="&amp;MAX(V$7,$J10),Calendar!$A$16:$A$134,"&lt;="&amp;MIN(V$7+4,$K10))=0,0,IF($H10="","EXT",SUMIFS(Calendar!$C$16:$C$134,Calendar!$A$16:$A$134,"&gt;="&amp;MAX(V$7,$J10),Calendar!$A$16:$A$134,"&lt;="&amp;MIN(V$7+4,$K10))*$H10/$G10)))</x:f>
        <x:v>0</x:v>
      </x:c>
      <x:c r="W10" s="44" t="n">
        <x:f>IF(OR($J10="",$K10=""),"",IF(SUMIFS(Calendar!$C$16:$C$134,Calendar!$A$16:$A$134,"&gt;="&amp;MAX(W$7,$J10),Calendar!$A$16:$A$134,"&lt;="&amp;MIN(W$7+4,$K10))=0,0,IF($H10="","EXT",SUMIFS(Calendar!$C$16:$C$134,Calendar!$A$16:$A$134,"&gt;="&amp;MAX(W$7,$J10),Calendar!$A$16:$A$134,"&lt;="&amp;MIN(W$7+4,$K10))*$H10/$G10)))</x:f>
        <x:v>0</x:v>
      </x:c>
      <x:c r="X10" s="44" t="n">
        <x:f>IF(OR($J10="",$K10=""),"",IF(SUMIFS(Calendar!$C$16:$C$134,Calendar!$A$16:$A$134,"&gt;="&amp;MAX(X$7,$J10),Calendar!$A$16:$A$134,"&lt;="&amp;MIN(X$7+4,$K10))=0,0,IF($H10="","EXT",SUMIFS(Calendar!$C$16:$C$134,Calendar!$A$16:$A$134,"&gt;="&amp;MAX(X$7,$J10),Calendar!$A$16:$A$134,"&lt;="&amp;MIN(X$7+4,$K10))*$H10/$G10)))</x:f>
        <x:v>0</x:v>
      </x:c>
      <x:c r="Y10" s="44" t="n">
        <x:f>IF(OR($J10="",$K10=""),"",IF(SUMIFS(Calendar!$C$16:$C$134,Calendar!$A$16:$A$134,"&gt;="&amp;MAX(Y$7,$J10),Calendar!$A$16:$A$134,"&lt;="&amp;MIN(Y$7+4,$K10))=0,0,IF($H10="","EXT",SUMIFS(Calendar!$C$16:$C$134,Calendar!$A$16:$A$134,"&gt;="&amp;MAX(Y$7,$J10),Calendar!$A$16:$A$134,"&lt;="&amp;MIN(Y$7+4,$K10))*$H10/$G10)))</x:f>
        <x:v>0</x:v>
      </x:c>
      <x:c r="Z10" s="44" t="n">
        <x:f>IF(OR($J10="",$K10=""),"",IF(SUMIFS(Calendar!$C$16:$C$134,Calendar!$A$16:$A$134,"&gt;="&amp;MAX(Z$7,$J10),Calendar!$A$16:$A$134,"&lt;="&amp;MIN(Z$7+4,$K10))=0,0,IF($H10="","EXT",SUMIFS(Calendar!$C$16:$C$134,Calendar!$A$16:$A$134,"&gt;="&amp;MAX(Z$7,$J10),Calendar!$A$16:$A$134,"&lt;="&amp;MIN(Z$7+4,$K10))*$H10/$G10)))</x:f>
        <x:v>0</x:v>
      </x:c>
      <x:c r="AA10" s="44" t="n">
        <x:f>IF(OR($J10="",$K10=""),"",IF(SUMIFS(Calendar!$C$16:$C$134,Calendar!$A$16:$A$134,"&gt;="&amp;MAX(AA$7,$J10),Calendar!$A$16:$A$134,"&lt;="&amp;MIN(AA$7+4,$K10))=0,0,IF($H10="","EXT",SUMIFS(Calendar!$C$16:$C$134,Calendar!$A$16:$A$134,"&gt;="&amp;MAX(AA$7,$J10),Calendar!$A$16:$A$134,"&lt;="&amp;MIN(AA$7+4,$K10))*$H10/$G10)))</x:f>
        <x:v>0</x:v>
      </x:c>
      <x:c r="AB10" s="44" t="n">
        <x:f>IF(OR($J10="",$K10=""),"",IF(SUMIFS(Calendar!$C$16:$C$134,Calendar!$A$16:$A$134,"&gt;="&amp;MAX(AB$7,$J10),Calendar!$A$16:$A$134,"&lt;="&amp;MIN(AB$7+4,$K10))=0,0,IF($H10="","EXT",SUMIFS(Calendar!$C$16:$C$134,Calendar!$A$16:$A$134,"&gt;="&amp;MAX(AB$7,$J10),Calendar!$A$16:$A$134,"&lt;="&amp;MIN(AB$7+4,$K10))*$H10/$G10)))</x:f>
        <x:v>0</x:v>
      </x:c>
      <x:c r="AC10" s="44" t="n">
        <x:f>IF(OR($J10="",$K10=""),"",IF(SUMIFS(Calendar!$C$16:$C$134,Calendar!$A$16:$A$134,"&gt;="&amp;MAX(AC$7,$J10),Calendar!$A$16:$A$134,"&lt;="&amp;MIN(AC$7+4,$K10))=0,0,IF($H10="","EXT",SUMIFS(Calendar!$C$16:$C$134,Calendar!$A$16:$A$134,"&gt;="&amp;MAX(AC$7,$J10),Calendar!$A$16:$A$134,"&lt;="&amp;MIN(AC$7+4,$K10))*$H10/$G10)))</x:f>
        <x:v>0</x:v>
      </x:c>
      <x:c r="AD10" s="44" t="n">
        <x:f>IF(OR($J10="",$K10=""),"",IF(SUMIFS(Calendar!$C$16:$C$134,Calendar!$A$16:$A$134,"&gt;="&amp;MAX(AD$7,$J10),Calendar!$A$16:$A$134,"&lt;="&amp;MIN(AD$7+4,$K10))=0,0,IF($H10="","EXT",SUMIFS(Calendar!$C$16:$C$134,Calendar!$A$16:$A$134,"&gt;="&amp;MAX(AD$7,$J10),Calendar!$A$16:$A$134,"&lt;="&amp;MIN(AD$7+4,$K10))*$H10/$G10)))</x:f>
        <x:v>0</x:v>
      </x:c>
      <x:c r="AE10" s="42" t="n">
        <x:f>IF(OR(M10&lt;&gt;"Scheduled",INDEX('Team and Gates'!$C$7:$C$11,MATCH($D10,'Team and Gates'!$A$7:$A$11,0))=""),"CHECK",SUM(N10:AD10)*INDEX('Team and Gates'!$C$7:$C$11,MATCH($D10,'Team and Gates'!$A$7:$A$11,0)))</x:f>
        <x:v>1440</x:v>
      </x:c>
      <x:c r="AF10" s="43" t="str">
        <x:v>Pagination, immutable IDs, duplicates and cursor recovery are verified.</x:v>
      </x:c>
      <x:c r="AG10" s="43" t="str"/>
    </x:row>
    <x:row r="11" ht="36" customHeight="1">
      <x:c r="A11" s="35" t="str">
        <x:v>A04</x:v>
      </x:c>
      <x:c r="B11" s="35" t="str">
        <x:v>Worker / Azure</x:v>
      </x:c>
      <x:c r="C11" s="35" t="str">
        <x:v>Persistent jobs, leases and Spring AI adapter</x:v>
      </x:c>
      <x:c r="D11" s="22" t="str">
        <x:v>Dev 2</x:v>
      </x:c>
      <x:c r="E11" s="35" t="str">
        <x:v>A03, S03</x:v>
      </x:c>
      <x:c r="F11" s="47" t="n">
        <x:v>16</x:v>
      </x:c>
      <x:c r="G11" s="47" t="n">
        <x:v>5</x:v>
      </x:c>
      <x:c r="H11" s="48" t="n">
        <x:v>4</x:v>
      </x:c>
      <x:c r="I11" s="35" t="n">
        <x:f>IF(OR(F11="",G11=""),"",F11+G11-1)</x:f>
        <x:v>20</x:v>
      </x:c>
      <x:c r="J11" s="37" t="n">
        <x:f>IF(OR(F11="",F11&lt;1,F11&gt;Calendar!$B$9),"",INDEX(Calendar!$A$16:$A$134,MATCH(F11,Calendar!$D$16:$D$134,0)))</x:f>
        <x:v>46349</x:v>
      </x:c>
      <x:c r="K11" s="37" t="n">
        <x:f>IF(OR(I11="",I11&lt;1,I11&gt;Calendar!$B$9),"",INDEX(Calendar!$A$16:$A$134,MATCH(I11,Calendar!$D$16:$D$134,0)))</x:f>
        <x:v>46353</x:v>
      </x:c>
      <x:c r="L11" s="50" t="n">
        <x:v>0</x:v>
      </x:c>
      <x:c r="M11" s="35" t="str">
        <x:f>IF(OR(F11="",G11="",H11=""),"Missing input",IF(OR(F11&lt;1,G11&lt;1,I11&gt;Calendar!$B$9),"Outside calendar",IF(F11&lt;MAX(INDEX($I$8:$I$85,MATCH("A03",$A$8:$A$85,0))+1,INDEX($I$8:$I$85,MATCH("S03",$A$8:$A$85,0))+1),"Dependency conflict","Scheduled")))</x:f>
        <x:v>Scheduled</x:v>
      </x:c>
      <x:c r="N11" s="44" t="n">
        <x:f>IF(OR($J11="",$K11=""),"",IF(SUMIFS(Calendar!$C$16:$C$134,Calendar!$A$16:$A$134,"&gt;="&amp;MAX(N$7,$J11),Calendar!$A$16:$A$134,"&lt;="&amp;MIN(N$7+4,$K11))=0,0,IF($H11="","EXT",SUMIFS(Calendar!$C$16:$C$134,Calendar!$A$16:$A$134,"&gt;="&amp;MAX(N$7,$J11),Calendar!$A$16:$A$134,"&lt;="&amp;MIN(N$7+4,$K11))*$H11/$G11)))</x:f>
        <x:v>0</x:v>
      </x:c>
      <x:c r="O11" s="44" t="n">
        <x:f>IF(OR($J11="",$K11=""),"",IF(SUMIFS(Calendar!$C$16:$C$134,Calendar!$A$16:$A$134,"&gt;="&amp;MAX(O$7,$J11),Calendar!$A$16:$A$134,"&lt;="&amp;MIN(O$7+4,$K11))=0,0,IF($H11="","EXT",SUMIFS(Calendar!$C$16:$C$134,Calendar!$A$16:$A$134,"&gt;="&amp;MAX(O$7,$J11),Calendar!$A$16:$A$134,"&lt;="&amp;MIN(O$7+4,$K11))*$H11/$G11)))</x:f>
        <x:v>0</x:v>
      </x:c>
      <x:c r="P11" s="44" t="n">
        <x:f>IF(OR($J11="",$K11=""),"",IF(SUMIFS(Calendar!$C$16:$C$134,Calendar!$A$16:$A$134,"&gt;="&amp;MAX(P$7,$J11),Calendar!$A$16:$A$134,"&lt;="&amp;MIN(P$7+4,$K11))=0,0,IF($H11="","EXT",SUMIFS(Calendar!$C$16:$C$134,Calendar!$A$16:$A$134,"&gt;="&amp;MAX(P$7,$J11),Calendar!$A$16:$A$134,"&lt;="&amp;MIN(P$7+4,$K11))*$H11/$G11)))</x:f>
        <x:v>0</x:v>
      </x:c>
      <x:c r="Q11" s="44" t="n">
        <x:f>IF(OR($J11="",$K11=""),"",IF(SUMIFS(Calendar!$C$16:$C$134,Calendar!$A$16:$A$134,"&gt;="&amp;MAX(Q$7,$J11),Calendar!$A$16:$A$134,"&lt;="&amp;MIN(Q$7+4,$K11))=0,0,IF($H11="","EXT",SUMIFS(Calendar!$C$16:$C$134,Calendar!$A$16:$A$134,"&gt;="&amp;MAX(Q$7,$J11),Calendar!$A$16:$A$134,"&lt;="&amp;MIN(Q$7+4,$K11))*$H11/$G11)))</x:f>
        <x:v>4</x:v>
      </x:c>
      <x:c r="R11" s="44" t="n">
        <x:f>IF(OR($J11="",$K11=""),"",IF(SUMIFS(Calendar!$C$16:$C$134,Calendar!$A$16:$A$134,"&gt;="&amp;MAX(R$7,$J11),Calendar!$A$16:$A$134,"&lt;="&amp;MIN(R$7+4,$K11))=0,0,IF($H11="","EXT",SUMIFS(Calendar!$C$16:$C$134,Calendar!$A$16:$A$134,"&gt;="&amp;MAX(R$7,$J11),Calendar!$A$16:$A$134,"&lt;="&amp;MIN(R$7+4,$K11))*$H11/$G11)))</x:f>
        <x:v>0</x:v>
      </x:c>
      <x:c r="S11" s="44" t="n">
        <x:f>IF(OR($J11="",$K11=""),"",IF(SUMIFS(Calendar!$C$16:$C$134,Calendar!$A$16:$A$134,"&gt;="&amp;MAX(S$7,$J11),Calendar!$A$16:$A$134,"&lt;="&amp;MIN(S$7+4,$K11))=0,0,IF($H11="","EXT",SUMIFS(Calendar!$C$16:$C$134,Calendar!$A$16:$A$134,"&gt;="&amp;MAX(S$7,$J11),Calendar!$A$16:$A$134,"&lt;="&amp;MIN(S$7+4,$K11))*$H11/$G11)))</x:f>
        <x:v>0</x:v>
      </x:c>
      <x:c r="T11" s="44" t="n">
        <x:f>IF(OR($J11="",$K11=""),"",IF(SUMIFS(Calendar!$C$16:$C$134,Calendar!$A$16:$A$134,"&gt;="&amp;MAX(T$7,$J11),Calendar!$A$16:$A$134,"&lt;="&amp;MIN(T$7+4,$K11))=0,0,IF($H11="","EXT",SUMIFS(Calendar!$C$16:$C$134,Calendar!$A$16:$A$134,"&gt;="&amp;MAX(T$7,$J11),Calendar!$A$16:$A$134,"&lt;="&amp;MIN(T$7+4,$K11))*$H11/$G11)))</x:f>
        <x:v>0</x:v>
      </x:c>
      <x:c r="U11" s="44" t="n">
        <x:f>IF(OR($J11="",$K11=""),"",IF(SUMIFS(Calendar!$C$16:$C$134,Calendar!$A$16:$A$134,"&gt;="&amp;MAX(U$7,$J11),Calendar!$A$16:$A$134,"&lt;="&amp;MIN(U$7+4,$K11))=0,0,IF($H11="","EXT",SUMIFS(Calendar!$C$16:$C$134,Calendar!$A$16:$A$134,"&gt;="&amp;MAX(U$7,$J11),Calendar!$A$16:$A$134,"&lt;="&amp;MIN(U$7+4,$K11))*$H11/$G11)))</x:f>
        <x:v>0</x:v>
      </x:c>
      <x:c r="V11" s="44" t="n">
        <x:f>IF(OR($J11="",$K11=""),"",IF(SUMIFS(Calendar!$C$16:$C$134,Calendar!$A$16:$A$134,"&gt;="&amp;MAX(V$7,$J11),Calendar!$A$16:$A$134,"&lt;="&amp;MIN(V$7+4,$K11))=0,0,IF($H11="","EXT",SUMIFS(Calendar!$C$16:$C$134,Calendar!$A$16:$A$134,"&gt;="&amp;MAX(V$7,$J11),Calendar!$A$16:$A$134,"&lt;="&amp;MIN(V$7+4,$K11))*$H11/$G11)))</x:f>
        <x:v>0</x:v>
      </x:c>
      <x:c r="W11" s="44" t="n">
        <x:f>IF(OR($J11="",$K11=""),"",IF(SUMIFS(Calendar!$C$16:$C$134,Calendar!$A$16:$A$134,"&gt;="&amp;MAX(W$7,$J11),Calendar!$A$16:$A$134,"&lt;="&amp;MIN(W$7+4,$K11))=0,0,IF($H11="","EXT",SUMIFS(Calendar!$C$16:$C$134,Calendar!$A$16:$A$134,"&gt;="&amp;MAX(W$7,$J11),Calendar!$A$16:$A$134,"&lt;="&amp;MIN(W$7+4,$K11))*$H11/$G11)))</x:f>
        <x:v>0</x:v>
      </x:c>
      <x:c r="X11" s="44" t="n">
        <x:f>IF(OR($J11="",$K11=""),"",IF(SUMIFS(Calendar!$C$16:$C$134,Calendar!$A$16:$A$134,"&gt;="&amp;MAX(X$7,$J11),Calendar!$A$16:$A$134,"&lt;="&amp;MIN(X$7+4,$K11))=0,0,IF($H11="","EXT",SUMIFS(Calendar!$C$16:$C$134,Calendar!$A$16:$A$134,"&gt;="&amp;MAX(X$7,$J11),Calendar!$A$16:$A$134,"&lt;="&amp;MIN(X$7+4,$K11))*$H11/$G11)))</x:f>
        <x:v>0</x:v>
      </x:c>
      <x:c r="Y11" s="44" t="n">
        <x:f>IF(OR($J11="",$K11=""),"",IF(SUMIFS(Calendar!$C$16:$C$134,Calendar!$A$16:$A$134,"&gt;="&amp;MAX(Y$7,$J11),Calendar!$A$16:$A$134,"&lt;="&amp;MIN(Y$7+4,$K11))=0,0,IF($H11="","EXT",SUMIFS(Calendar!$C$16:$C$134,Calendar!$A$16:$A$134,"&gt;="&amp;MAX(Y$7,$J11),Calendar!$A$16:$A$134,"&lt;="&amp;MIN(Y$7+4,$K11))*$H11/$G11)))</x:f>
        <x:v>0</x:v>
      </x:c>
      <x:c r="Z11" s="44" t="n">
        <x:f>IF(OR($J11="",$K11=""),"",IF(SUMIFS(Calendar!$C$16:$C$134,Calendar!$A$16:$A$134,"&gt;="&amp;MAX(Z$7,$J11),Calendar!$A$16:$A$134,"&lt;="&amp;MIN(Z$7+4,$K11))=0,0,IF($H11="","EXT",SUMIFS(Calendar!$C$16:$C$134,Calendar!$A$16:$A$134,"&gt;="&amp;MAX(Z$7,$J11),Calendar!$A$16:$A$134,"&lt;="&amp;MIN(Z$7+4,$K11))*$H11/$G11)))</x:f>
        <x:v>0</x:v>
      </x:c>
      <x:c r="AA11" s="44" t="n">
        <x:f>IF(OR($J11="",$K11=""),"",IF(SUMIFS(Calendar!$C$16:$C$134,Calendar!$A$16:$A$134,"&gt;="&amp;MAX(AA$7,$J11),Calendar!$A$16:$A$134,"&lt;="&amp;MIN(AA$7+4,$K11))=0,0,IF($H11="","EXT",SUMIFS(Calendar!$C$16:$C$134,Calendar!$A$16:$A$134,"&gt;="&amp;MAX(AA$7,$J11),Calendar!$A$16:$A$134,"&lt;="&amp;MIN(AA$7+4,$K11))*$H11/$G11)))</x:f>
        <x:v>0</x:v>
      </x:c>
      <x:c r="AB11" s="44" t="n">
        <x:f>IF(OR($J11="",$K11=""),"",IF(SUMIFS(Calendar!$C$16:$C$134,Calendar!$A$16:$A$134,"&gt;="&amp;MAX(AB$7,$J11),Calendar!$A$16:$A$134,"&lt;="&amp;MIN(AB$7+4,$K11))=0,0,IF($H11="","EXT",SUMIFS(Calendar!$C$16:$C$134,Calendar!$A$16:$A$134,"&gt;="&amp;MAX(AB$7,$J11),Calendar!$A$16:$A$134,"&lt;="&amp;MIN(AB$7+4,$K11))*$H11/$G11)))</x:f>
        <x:v>0</x:v>
      </x:c>
      <x:c r="AC11" s="44" t="n">
        <x:f>IF(OR($J11="",$K11=""),"",IF(SUMIFS(Calendar!$C$16:$C$134,Calendar!$A$16:$A$134,"&gt;="&amp;MAX(AC$7,$J11),Calendar!$A$16:$A$134,"&lt;="&amp;MIN(AC$7+4,$K11))=0,0,IF($H11="","EXT",SUMIFS(Calendar!$C$16:$C$134,Calendar!$A$16:$A$134,"&gt;="&amp;MAX(AC$7,$J11),Calendar!$A$16:$A$134,"&lt;="&amp;MIN(AC$7+4,$K11))*$H11/$G11)))</x:f>
        <x:v>0</x:v>
      </x:c>
      <x:c r="AD11" s="44" t="n">
        <x:f>IF(OR($J11="",$K11=""),"",IF(SUMIFS(Calendar!$C$16:$C$134,Calendar!$A$16:$A$134,"&gt;="&amp;MAX(AD$7,$J11),Calendar!$A$16:$A$134,"&lt;="&amp;MIN(AD$7+4,$K11))=0,0,IF($H11="","EXT",SUMIFS(Calendar!$C$16:$C$134,Calendar!$A$16:$A$134,"&gt;="&amp;MAX(AD$7,$J11),Calendar!$A$16:$A$134,"&lt;="&amp;MIN(AD$7+4,$K11))*$H11/$G11)))</x:f>
        <x:v>0</x:v>
      </x:c>
      <x:c r="AE11" s="42" t="n">
        <x:f>IF(OR(M11&lt;&gt;"Scheduled",INDEX('Team and Gates'!$C$7:$C$11,MATCH($D11,'Team and Gates'!$A$7:$A$11,0))=""),"CHECK",SUM(N11:AD11)*INDEX('Team and Gates'!$C$7:$C$11,MATCH($D11,'Team and Gates'!$A$7:$A$11,0)))</x:f>
        <x:v>1440</x:v>
      </x:c>
      <x:c r="AF11" s="43" t="str">
        <x:v>Atomic job claims, stale-result rejection and typed Foundry responses work.</x:v>
      </x:c>
      <x:c r="AG11" s="43" t="str"/>
    </x:row>
    <x:row r="12" ht="36" customHeight="1">
      <x:c r="A12" s="2" t="str">
        <x:v>A05</x:v>
      </x:c>
      <x:c r="B12" s="2" t="str">
        <x:v>Worker / Azure</x:v>
      </x:c>
      <x:c r="C12" s="2" t="str">
        <x:v>Intake and Case-matching orchestration</x:v>
      </x:c>
      <x:c r="D12" s="22" t="str">
        <x:v>Dev 2</x:v>
      </x:c>
      <x:c r="E12" s="2" t="str">
        <x:v>A04, B04, S04</x:v>
      </x:c>
      <x:c r="F12" s="47" t="n">
        <x:v>21</x:v>
      </x:c>
      <x:c r="G12" s="47" t="n">
        <x:v>5</x:v>
      </x:c>
      <x:c r="H12" s="48" t="n">
        <x:v>4</x:v>
      </x:c>
      <x:c r="I12" s="2" t="n">
        <x:f>IF(OR(F12="",G12=""),"",F12+G12-1)</x:f>
        <x:v>25</x:v>
      </x:c>
      <x:c r="J12" s="5" t="n">
        <x:f>IF(OR(F12="",F12&lt;1,F12&gt;Calendar!$B$9),"",INDEX(Calendar!$A$16:$A$134,MATCH(F12,Calendar!$D$16:$D$134,0)))</x:f>
        <x:v>46356</x:v>
      </x:c>
      <x:c r="K12" s="5" t="n">
        <x:f>IF(OR(I12="",I12&lt;1,I12&gt;Calendar!$B$9),"",INDEX(Calendar!$A$16:$A$134,MATCH(I12,Calendar!$D$16:$D$134,0)))</x:f>
        <x:v>46360</x:v>
      </x:c>
      <x:c r="L12" s="50" t="n">
        <x:v>0</x:v>
      </x:c>
      <x:c r="M12" s="2" t="str">
        <x:f>IF(OR(F12="",G12="",H12=""),"Missing input",IF(OR(F12&lt;1,G12&lt;1,I12&gt;Calendar!$B$9),"Outside calendar",IF(F12&lt;MAX(INDEX($I$8:$I$85,MATCH("A04",$A$8:$A$85,0))+1,INDEX($I$8:$I$85,MATCH("B04",$A$8:$A$85,0))+1,INDEX($I$8:$I$85,MATCH("S04",$A$8:$A$85,0))+1),"Dependency conflict","Scheduled")))</x:f>
        <x:v>Scheduled</x:v>
      </x:c>
      <x:c r="N12" s="44" t="n">
        <x:f>IF(OR($J12="",$K12=""),"",IF(SUMIFS(Calendar!$C$16:$C$134,Calendar!$A$16:$A$134,"&gt;="&amp;MAX(N$7,$J12),Calendar!$A$16:$A$134,"&lt;="&amp;MIN(N$7+4,$K12))=0,0,IF($H12="","EXT",SUMIFS(Calendar!$C$16:$C$134,Calendar!$A$16:$A$134,"&gt;="&amp;MAX(N$7,$J12),Calendar!$A$16:$A$134,"&lt;="&amp;MIN(N$7+4,$K12))*$H12/$G12)))</x:f>
        <x:v>0</x:v>
      </x:c>
      <x:c r="O12" s="44" t="n">
        <x:f>IF(OR($J12="",$K12=""),"",IF(SUMIFS(Calendar!$C$16:$C$134,Calendar!$A$16:$A$134,"&gt;="&amp;MAX(O$7,$J12),Calendar!$A$16:$A$134,"&lt;="&amp;MIN(O$7+4,$K12))=0,0,IF($H12="","EXT",SUMIFS(Calendar!$C$16:$C$134,Calendar!$A$16:$A$134,"&gt;="&amp;MAX(O$7,$J12),Calendar!$A$16:$A$134,"&lt;="&amp;MIN(O$7+4,$K12))*$H12/$G12)))</x:f>
        <x:v>0</x:v>
      </x:c>
      <x:c r="P12" s="44" t="n">
        <x:f>IF(OR($J12="",$K12=""),"",IF(SUMIFS(Calendar!$C$16:$C$134,Calendar!$A$16:$A$134,"&gt;="&amp;MAX(P$7,$J12),Calendar!$A$16:$A$134,"&lt;="&amp;MIN(P$7+4,$K12))=0,0,IF($H12="","EXT",SUMIFS(Calendar!$C$16:$C$134,Calendar!$A$16:$A$134,"&gt;="&amp;MAX(P$7,$J12),Calendar!$A$16:$A$134,"&lt;="&amp;MIN(P$7+4,$K12))*$H12/$G12)))</x:f>
        <x:v>0</x:v>
      </x:c>
      <x:c r="Q12" s="44" t="n">
        <x:f>IF(OR($J12="",$K12=""),"",IF(SUMIFS(Calendar!$C$16:$C$134,Calendar!$A$16:$A$134,"&gt;="&amp;MAX(Q$7,$J12),Calendar!$A$16:$A$134,"&lt;="&amp;MIN(Q$7+4,$K12))=0,0,IF($H12="","EXT",SUMIFS(Calendar!$C$16:$C$134,Calendar!$A$16:$A$134,"&gt;="&amp;MAX(Q$7,$J12),Calendar!$A$16:$A$134,"&lt;="&amp;MIN(Q$7+4,$K12))*$H12/$G12)))</x:f>
        <x:v>0</x:v>
      </x:c>
      <x:c r="R12" s="44" t="n">
        <x:f>IF(OR($J12="",$K12=""),"",IF(SUMIFS(Calendar!$C$16:$C$134,Calendar!$A$16:$A$134,"&gt;="&amp;MAX(R$7,$J12),Calendar!$A$16:$A$134,"&lt;="&amp;MIN(R$7+4,$K12))=0,0,IF($H12="","EXT",SUMIFS(Calendar!$C$16:$C$134,Calendar!$A$16:$A$134,"&gt;="&amp;MAX(R$7,$J12),Calendar!$A$16:$A$134,"&lt;="&amp;MIN(R$7+4,$K12))*$H12/$G12)))</x:f>
        <x:v>4</x:v>
      </x:c>
      <x:c r="S12" s="44" t="n">
        <x:f>IF(OR($J12="",$K12=""),"",IF(SUMIFS(Calendar!$C$16:$C$134,Calendar!$A$16:$A$134,"&gt;="&amp;MAX(S$7,$J12),Calendar!$A$16:$A$134,"&lt;="&amp;MIN(S$7+4,$K12))=0,0,IF($H12="","EXT",SUMIFS(Calendar!$C$16:$C$134,Calendar!$A$16:$A$134,"&gt;="&amp;MAX(S$7,$J12),Calendar!$A$16:$A$134,"&lt;="&amp;MIN(S$7+4,$K12))*$H12/$G12)))</x:f>
        <x:v>0</x:v>
      </x:c>
      <x:c r="T12" s="44" t="n">
        <x:f>IF(OR($J12="",$K12=""),"",IF(SUMIFS(Calendar!$C$16:$C$134,Calendar!$A$16:$A$134,"&gt;="&amp;MAX(T$7,$J12),Calendar!$A$16:$A$134,"&lt;="&amp;MIN(T$7+4,$K12))=0,0,IF($H12="","EXT",SUMIFS(Calendar!$C$16:$C$134,Calendar!$A$16:$A$134,"&gt;="&amp;MAX(T$7,$J12),Calendar!$A$16:$A$134,"&lt;="&amp;MIN(T$7+4,$K12))*$H12/$G12)))</x:f>
        <x:v>0</x:v>
      </x:c>
      <x:c r="U12" s="44" t="n">
        <x:f>IF(OR($J12="",$K12=""),"",IF(SUMIFS(Calendar!$C$16:$C$134,Calendar!$A$16:$A$134,"&gt;="&amp;MAX(U$7,$J12),Calendar!$A$16:$A$134,"&lt;="&amp;MIN(U$7+4,$K12))=0,0,IF($H12="","EXT",SUMIFS(Calendar!$C$16:$C$134,Calendar!$A$16:$A$134,"&gt;="&amp;MAX(U$7,$J12),Calendar!$A$16:$A$134,"&lt;="&amp;MIN(U$7+4,$K12))*$H12/$G12)))</x:f>
        <x:v>0</x:v>
      </x:c>
      <x:c r="V12" s="44" t="n">
        <x:f>IF(OR($J12="",$K12=""),"",IF(SUMIFS(Calendar!$C$16:$C$134,Calendar!$A$16:$A$134,"&gt;="&amp;MAX(V$7,$J12),Calendar!$A$16:$A$134,"&lt;="&amp;MIN(V$7+4,$K12))=0,0,IF($H12="","EXT",SUMIFS(Calendar!$C$16:$C$134,Calendar!$A$16:$A$134,"&gt;="&amp;MAX(V$7,$J12),Calendar!$A$16:$A$134,"&lt;="&amp;MIN(V$7+4,$K12))*$H12/$G12)))</x:f>
        <x:v>0</x:v>
      </x:c>
      <x:c r="W12" s="44" t="n">
        <x:f>IF(OR($J12="",$K12=""),"",IF(SUMIFS(Calendar!$C$16:$C$134,Calendar!$A$16:$A$134,"&gt;="&amp;MAX(W$7,$J12),Calendar!$A$16:$A$134,"&lt;="&amp;MIN(W$7+4,$K12))=0,0,IF($H12="","EXT",SUMIFS(Calendar!$C$16:$C$134,Calendar!$A$16:$A$134,"&gt;="&amp;MAX(W$7,$J12),Calendar!$A$16:$A$134,"&lt;="&amp;MIN(W$7+4,$K12))*$H12/$G12)))</x:f>
        <x:v>0</x:v>
      </x:c>
      <x:c r="X12" s="44" t="n">
        <x:f>IF(OR($J12="",$K12=""),"",IF(SUMIFS(Calendar!$C$16:$C$134,Calendar!$A$16:$A$134,"&gt;="&amp;MAX(X$7,$J12),Calendar!$A$16:$A$134,"&lt;="&amp;MIN(X$7+4,$K12))=0,0,IF($H12="","EXT",SUMIFS(Calendar!$C$16:$C$134,Calendar!$A$16:$A$134,"&gt;="&amp;MAX(X$7,$J12),Calendar!$A$16:$A$134,"&lt;="&amp;MIN(X$7+4,$K12))*$H12/$G12)))</x:f>
        <x:v>0</x:v>
      </x:c>
      <x:c r="Y12" s="44" t="n">
        <x:f>IF(OR($J12="",$K12=""),"",IF(SUMIFS(Calendar!$C$16:$C$134,Calendar!$A$16:$A$134,"&gt;="&amp;MAX(Y$7,$J12),Calendar!$A$16:$A$134,"&lt;="&amp;MIN(Y$7+4,$K12))=0,0,IF($H12="","EXT",SUMIFS(Calendar!$C$16:$C$134,Calendar!$A$16:$A$134,"&gt;="&amp;MAX(Y$7,$J12),Calendar!$A$16:$A$134,"&lt;="&amp;MIN(Y$7+4,$K12))*$H12/$G12)))</x:f>
        <x:v>0</x:v>
      </x:c>
      <x:c r="Z12" s="44" t="n">
        <x:f>IF(OR($J12="",$K12=""),"",IF(SUMIFS(Calendar!$C$16:$C$134,Calendar!$A$16:$A$134,"&gt;="&amp;MAX(Z$7,$J12),Calendar!$A$16:$A$134,"&lt;="&amp;MIN(Z$7+4,$K12))=0,0,IF($H12="","EXT",SUMIFS(Calendar!$C$16:$C$134,Calendar!$A$16:$A$134,"&gt;="&amp;MAX(Z$7,$J12),Calendar!$A$16:$A$134,"&lt;="&amp;MIN(Z$7+4,$K12))*$H12/$G12)))</x:f>
        <x:v>0</x:v>
      </x:c>
      <x:c r="AA12" s="44" t="n">
        <x:f>IF(OR($J12="",$K12=""),"",IF(SUMIFS(Calendar!$C$16:$C$134,Calendar!$A$16:$A$134,"&gt;="&amp;MAX(AA$7,$J12),Calendar!$A$16:$A$134,"&lt;="&amp;MIN(AA$7+4,$K12))=0,0,IF($H12="","EXT",SUMIFS(Calendar!$C$16:$C$134,Calendar!$A$16:$A$134,"&gt;="&amp;MAX(AA$7,$J12),Calendar!$A$16:$A$134,"&lt;="&amp;MIN(AA$7+4,$K12))*$H12/$G12)))</x:f>
        <x:v>0</x:v>
      </x:c>
      <x:c r="AB12" s="44" t="n">
        <x:f>IF(OR($J12="",$K12=""),"",IF(SUMIFS(Calendar!$C$16:$C$134,Calendar!$A$16:$A$134,"&gt;="&amp;MAX(AB$7,$J12),Calendar!$A$16:$A$134,"&lt;="&amp;MIN(AB$7+4,$K12))=0,0,IF($H12="","EXT",SUMIFS(Calendar!$C$16:$C$134,Calendar!$A$16:$A$134,"&gt;="&amp;MAX(AB$7,$J12),Calendar!$A$16:$A$134,"&lt;="&amp;MIN(AB$7+4,$K12))*$H12/$G12)))</x:f>
        <x:v>0</x:v>
      </x:c>
      <x:c r="AC12" s="44" t="n">
        <x:f>IF(OR($J12="",$K12=""),"",IF(SUMIFS(Calendar!$C$16:$C$134,Calendar!$A$16:$A$134,"&gt;="&amp;MAX(AC$7,$J12),Calendar!$A$16:$A$134,"&lt;="&amp;MIN(AC$7+4,$K12))=0,0,IF($H12="","EXT",SUMIFS(Calendar!$C$16:$C$134,Calendar!$A$16:$A$134,"&gt;="&amp;MAX(AC$7,$J12),Calendar!$A$16:$A$134,"&lt;="&amp;MIN(AC$7+4,$K12))*$H12/$G12)))</x:f>
        <x:v>0</x:v>
      </x:c>
      <x:c r="AD12" s="44" t="n">
        <x:f>IF(OR($J12="",$K12=""),"",IF(SUMIFS(Calendar!$C$16:$C$134,Calendar!$A$16:$A$134,"&gt;="&amp;MAX(AD$7,$J12),Calendar!$A$16:$A$134,"&lt;="&amp;MIN(AD$7+4,$K12))=0,0,IF($H12="","EXT",SUMIFS(Calendar!$C$16:$C$134,Calendar!$A$16:$A$134,"&gt;="&amp;MAX(AD$7,$J12),Calendar!$A$16:$A$134,"&lt;="&amp;MIN(AD$7+4,$K12))*$H12/$G12)))</x:f>
        <x:v>0</x:v>
      </x:c>
      <x:c r="AE12" s="42" t="n">
        <x:f>IF(OR(M12&lt;&gt;"Scheduled",INDEX('Team and Gates'!$C$7:$C$11,MATCH($D12,'Team and Gates'!$A$7:$A$11,0))=""),"CHECK",SUM(N12:AD12)*INDEX('Team and Gates'!$C$7:$C$11,MATCH($D12,'Team and Gates'!$A$7:$A$11,0)))</x:f>
        <x:v>1440</x:v>
      </x:c>
      <x:c r="AF12" s="43" t="str">
        <x:v>Real test mail produces traceable Create / Link / Ignore proposals.</x:v>
      </x:c>
      <x:c r="AG12" s="43" t="str"/>
    </x:row>
    <x:row r="13" ht="36" customHeight="1">
      <x:c r="A13" s="35" t="str">
        <x:v>A06</x:v>
      </x:c>
      <x:c r="B13" s="35" t="str">
        <x:v>Worker / Azure</x:v>
      </x:c>
      <x:c r="C13" s="35" t="str">
        <x:v>Graph sending after AM approval</x:v>
      </x:c>
      <x:c r="D13" s="22" t="str">
        <x:v>Dev 2</x:v>
      </x:c>
      <x:c r="E13" s="35" t="str">
        <x:v>A05, B05</x:v>
      </x:c>
      <x:c r="F13" s="47" t="n">
        <x:v>26</x:v>
      </x:c>
      <x:c r="G13" s="47" t="n">
        <x:v>5</x:v>
      </x:c>
      <x:c r="H13" s="48" t="n">
        <x:v>4</x:v>
      </x:c>
      <x:c r="I13" s="35" t="n">
        <x:f>IF(OR(F13="",G13=""),"",F13+G13-1)</x:f>
        <x:v>30</x:v>
      </x:c>
      <x:c r="J13" s="37" t="n">
        <x:f>IF(OR(F13="",F13&lt;1,F13&gt;Calendar!$B$9),"",INDEX(Calendar!$A$16:$A$134,MATCH(F13,Calendar!$D$16:$D$134,0)))</x:f>
        <x:v>46363</x:v>
      </x:c>
      <x:c r="K13" s="37" t="n">
        <x:f>IF(OR(I13="",I13&lt;1,I13&gt;Calendar!$B$9),"",INDEX(Calendar!$A$16:$A$134,MATCH(I13,Calendar!$D$16:$D$134,0)))</x:f>
        <x:v>46367</x:v>
      </x:c>
      <x:c r="L13" s="50" t="n">
        <x:v>0</x:v>
      </x:c>
      <x:c r="M13" s="35" t="str">
        <x:f>IF(OR(F13="",G13="",H13=""),"Missing input",IF(OR(F13&lt;1,G13&lt;1,I13&gt;Calendar!$B$9),"Outside calendar",IF(F13&lt;MAX(INDEX($I$8:$I$85,MATCH("A05",$A$8:$A$85,0))+1,INDEX($I$8:$I$85,MATCH("B05",$A$8:$A$85,0))+1),"Dependency conflict","Scheduled")))</x:f>
        <x:v>Scheduled</x:v>
      </x:c>
      <x:c r="N13" s="44" t="n">
        <x:f>IF(OR($J13="",$K13=""),"",IF(SUMIFS(Calendar!$C$16:$C$134,Calendar!$A$16:$A$134,"&gt;="&amp;MAX(N$7,$J13),Calendar!$A$16:$A$134,"&lt;="&amp;MIN(N$7+4,$K13))=0,0,IF($H13="","EXT",SUMIFS(Calendar!$C$16:$C$134,Calendar!$A$16:$A$134,"&gt;="&amp;MAX(N$7,$J13),Calendar!$A$16:$A$134,"&lt;="&amp;MIN(N$7+4,$K13))*$H13/$G13)))</x:f>
        <x:v>0</x:v>
      </x:c>
      <x:c r="O13" s="44" t="n">
        <x:f>IF(OR($J13="",$K13=""),"",IF(SUMIFS(Calendar!$C$16:$C$134,Calendar!$A$16:$A$134,"&gt;="&amp;MAX(O$7,$J13),Calendar!$A$16:$A$134,"&lt;="&amp;MIN(O$7+4,$K13))=0,0,IF($H13="","EXT",SUMIFS(Calendar!$C$16:$C$134,Calendar!$A$16:$A$134,"&gt;="&amp;MAX(O$7,$J13),Calendar!$A$16:$A$134,"&lt;="&amp;MIN(O$7+4,$K13))*$H13/$G13)))</x:f>
        <x:v>0</x:v>
      </x:c>
      <x:c r="P13" s="44" t="n">
        <x:f>IF(OR($J13="",$K13=""),"",IF(SUMIFS(Calendar!$C$16:$C$134,Calendar!$A$16:$A$134,"&gt;="&amp;MAX(P$7,$J13),Calendar!$A$16:$A$134,"&lt;="&amp;MIN(P$7+4,$K13))=0,0,IF($H13="","EXT",SUMIFS(Calendar!$C$16:$C$134,Calendar!$A$16:$A$134,"&gt;="&amp;MAX(P$7,$J13),Calendar!$A$16:$A$134,"&lt;="&amp;MIN(P$7+4,$K13))*$H13/$G13)))</x:f>
        <x:v>0</x:v>
      </x:c>
      <x:c r="Q13" s="44" t="n">
        <x:f>IF(OR($J13="",$K13=""),"",IF(SUMIFS(Calendar!$C$16:$C$134,Calendar!$A$16:$A$134,"&gt;="&amp;MAX(Q$7,$J13),Calendar!$A$16:$A$134,"&lt;="&amp;MIN(Q$7+4,$K13))=0,0,IF($H13="","EXT",SUMIFS(Calendar!$C$16:$C$134,Calendar!$A$16:$A$134,"&gt;="&amp;MAX(Q$7,$J13),Calendar!$A$16:$A$134,"&lt;="&amp;MIN(Q$7+4,$K13))*$H13/$G13)))</x:f>
        <x:v>0</x:v>
      </x:c>
      <x:c r="R13" s="44" t="n">
        <x:f>IF(OR($J13="",$K13=""),"",IF(SUMIFS(Calendar!$C$16:$C$134,Calendar!$A$16:$A$134,"&gt;="&amp;MAX(R$7,$J13),Calendar!$A$16:$A$134,"&lt;="&amp;MIN(R$7+4,$K13))=0,0,IF($H13="","EXT",SUMIFS(Calendar!$C$16:$C$134,Calendar!$A$16:$A$134,"&gt;="&amp;MAX(R$7,$J13),Calendar!$A$16:$A$134,"&lt;="&amp;MIN(R$7+4,$K13))*$H13/$G13)))</x:f>
        <x:v>0</x:v>
      </x:c>
      <x:c r="S13" s="44" t="n">
        <x:f>IF(OR($J13="",$K13=""),"",IF(SUMIFS(Calendar!$C$16:$C$134,Calendar!$A$16:$A$134,"&gt;="&amp;MAX(S$7,$J13),Calendar!$A$16:$A$134,"&lt;="&amp;MIN(S$7+4,$K13))=0,0,IF($H13="","EXT",SUMIFS(Calendar!$C$16:$C$134,Calendar!$A$16:$A$134,"&gt;="&amp;MAX(S$7,$J13),Calendar!$A$16:$A$134,"&lt;="&amp;MIN(S$7+4,$K13))*$H13/$G13)))</x:f>
        <x:v>4</x:v>
      </x:c>
      <x:c r="T13" s="44" t="n">
        <x:f>IF(OR($J13="",$K13=""),"",IF(SUMIFS(Calendar!$C$16:$C$134,Calendar!$A$16:$A$134,"&gt;="&amp;MAX(T$7,$J13),Calendar!$A$16:$A$134,"&lt;="&amp;MIN(T$7+4,$K13))=0,0,IF($H13="","EXT",SUMIFS(Calendar!$C$16:$C$134,Calendar!$A$16:$A$134,"&gt;="&amp;MAX(T$7,$J13),Calendar!$A$16:$A$134,"&lt;="&amp;MIN(T$7+4,$K13))*$H13/$G13)))</x:f>
        <x:v>0</x:v>
      </x:c>
      <x:c r="U13" s="44" t="n">
        <x:f>IF(OR($J13="",$K13=""),"",IF(SUMIFS(Calendar!$C$16:$C$134,Calendar!$A$16:$A$134,"&gt;="&amp;MAX(U$7,$J13),Calendar!$A$16:$A$134,"&lt;="&amp;MIN(U$7+4,$K13))=0,0,IF($H13="","EXT",SUMIFS(Calendar!$C$16:$C$134,Calendar!$A$16:$A$134,"&gt;="&amp;MAX(U$7,$J13),Calendar!$A$16:$A$134,"&lt;="&amp;MIN(U$7+4,$K13))*$H13/$G13)))</x:f>
        <x:v>0</x:v>
      </x:c>
      <x:c r="V13" s="44" t="n">
        <x:f>IF(OR($J13="",$K13=""),"",IF(SUMIFS(Calendar!$C$16:$C$134,Calendar!$A$16:$A$134,"&gt;="&amp;MAX(V$7,$J13),Calendar!$A$16:$A$134,"&lt;="&amp;MIN(V$7+4,$K13))=0,0,IF($H13="","EXT",SUMIFS(Calendar!$C$16:$C$134,Calendar!$A$16:$A$134,"&gt;="&amp;MAX(V$7,$J13),Calendar!$A$16:$A$134,"&lt;="&amp;MIN(V$7+4,$K13))*$H13/$G13)))</x:f>
        <x:v>0</x:v>
      </x:c>
      <x:c r="W13" s="44" t="n">
        <x:f>IF(OR($J13="",$K13=""),"",IF(SUMIFS(Calendar!$C$16:$C$134,Calendar!$A$16:$A$134,"&gt;="&amp;MAX(W$7,$J13),Calendar!$A$16:$A$134,"&lt;="&amp;MIN(W$7+4,$K13))=0,0,IF($H13="","EXT",SUMIFS(Calendar!$C$16:$C$134,Calendar!$A$16:$A$134,"&gt;="&amp;MAX(W$7,$J13),Calendar!$A$16:$A$134,"&lt;="&amp;MIN(W$7+4,$K13))*$H13/$G13)))</x:f>
        <x:v>0</x:v>
      </x:c>
      <x:c r="X13" s="44" t="n">
        <x:f>IF(OR($J13="",$K13=""),"",IF(SUMIFS(Calendar!$C$16:$C$134,Calendar!$A$16:$A$134,"&gt;="&amp;MAX(X$7,$J13),Calendar!$A$16:$A$134,"&lt;="&amp;MIN(X$7+4,$K13))=0,0,IF($H13="","EXT",SUMIFS(Calendar!$C$16:$C$134,Calendar!$A$16:$A$134,"&gt;="&amp;MAX(X$7,$J13),Calendar!$A$16:$A$134,"&lt;="&amp;MIN(X$7+4,$K13))*$H13/$G13)))</x:f>
        <x:v>0</x:v>
      </x:c>
      <x:c r="Y13" s="44" t="n">
        <x:f>IF(OR($J13="",$K13=""),"",IF(SUMIFS(Calendar!$C$16:$C$134,Calendar!$A$16:$A$134,"&gt;="&amp;MAX(Y$7,$J13),Calendar!$A$16:$A$134,"&lt;="&amp;MIN(Y$7+4,$K13))=0,0,IF($H13="","EXT",SUMIFS(Calendar!$C$16:$C$134,Calendar!$A$16:$A$134,"&gt;="&amp;MAX(Y$7,$J13),Calendar!$A$16:$A$134,"&lt;="&amp;MIN(Y$7+4,$K13))*$H13/$G13)))</x:f>
        <x:v>0</x:v>
      </x:c>
      <x:c r="Z13" s="44" t="n">
        <x:f>IF(OR($J13="",$K13=""),"",IF(SUMIFS(Calendar!$C$16:$C$134,Calendar!$A$16:$A$134,"&gt;="&amp;MAX(Z$7,$J13),Calendar!$A$16:$A$134,"&lt;="&amp;MIN(Z$7+4,$K13))=0,0,IF($H13="","EXT",SUMIFS(Calendar!$C$16:$C$134,Calendar!$A$16:$A$134,"&gt;="&amp;MAX(Z$7,$J13),Calendar!$A$16:$A$134,"&lt;="&amp;MIN(Z$7+4,$K13))*$H13/$G13)))</x:f>
        <x:v>0</x:v>
      </x:c>
      <x:c r="AA13" s="44" t="n">
        <x:f>IF(OR($J13="",$K13=""),"",IF(SUMIFS(Calendar!$C$16:$C$134,Calendar!$A$16:$A$134,"&gt;="&amp;MAX(AA$7,$J13),Calendar!$A$16:$A$134,"&lt;="&amp;MIN(AA$7+4,$K13))=0,0,IF($H13="","EXT",SUMIFS(Calendar!$C$16:$C$134,Calendar!$A$16:$A$134,"&gt;="&amp;MAX(AA$7,$J13),Calendar!$A$16:$A$134,"&lt;="&amp;MIN(AA$7+4,$K13))*$H13/$G13)))</x:f>
        <x:v>0</x:v>
      </x:c>
      <x:c r="AB13" s="44" t="n">
        <x:f>IF(OR($J13="",$K13=""),"",IF(SUMIFS(Calendar!$C$16:$C$134,Calendar!$A$16:$A$134,"&gt;="&amp;MAX(AB$7,$J13),Calendar!$A$16:$A$134,"&lt;="&amp;MIN(AB$7+4,$K13))=0,0,IF($H13="","EXT",SUMIFS(Calendar!$C$16:$C$134,Calendar!$A$16:$A$134,"&gt;="&amp;MAX(AB$7,$J13),Calendar!$A$16:$A$134,"&lt;="&amp;MIN(AB$7+4,$K13))*$H13/$G13)))</x:f>
        <x:v>0</x:v>
      </x:c>
      <x:c r="AC13" s="44" t="n">
        <x:f>IF(OR($J13="",$K13=""),"",IF(SUMIFS(Calendar!$C$16:$C$134,Calendar!$A$16:$A$134,"&gt;="&amp;MAX(AC$7,$J13),Calendar!$A$16:$A$134,"&lt;="&amp;MIN(AC$7+4,$K13))=0,0,IF($H13="","EXT",SUMIFS(Calendar!$C$16:$C$134,Calendar!$A$16:$A$134,"&gt;="&amp;MAX(AC$7,$J13),Calendar!$A$16:$A$134,"&lt;="&amp;MIN(AC$7+4,$K13))*$H13/$G13)))</x:f>
        <x:v>0</x:v>
      </x:c>
      <x:c r="AD13" s="44" t="n">
        <x:f>IF(OR($J13="",$K13=""),"",IF(SUMIFS(Calendar!$C$16:$C$134,Calendar!$A$16:$A$134,"&gt;="&amp;MAX(AD$7,$J13),Calendar!$A$16:$A$134,"&lt;="&amp;MIN(AD$7+4,$K13))=0,0,IF($H13="","EXT",SUMIFS(Calendar!$C$16:$C$134,Calendar!$A$16:$A$134,"&gt;="&amp;MAX(AD$7,$J13),Calendar!$A$16:$A$134,"&lt;="&amp;MIN(AD$7+4,$K13))*$H13/$G13)))</x:f>
        <x:v>0</x:v>
      </x:c>
      <x:c r="AE13" s="42" t="n">
        <x:f>IF(OR(M13&lt;&gt;"Scheduled",INDEX('Team and Gates'!$C$7:$C$11,MATCH($D13,'Team and Gates'!$A$7:$A$11,0))=""),"CHECK",SUM(N13:AD13)*INDEX('Team and Gates'!$C$7:$C$11,MATCH($D13,'Team and Gates'!$A$7:$A$11,0)))</x:f>
        <x:v>1440</x:v>
      </x:c>
      <x:c r="AF13" s="43" t="str">
        <x:v>Approved content is persisted before send; duplicate approval cannot resend.</x:v>
      </x:c>
      <x:c r="AG13" s="43" t="str"/>
    </x:row>
    <x:row r="14" ht="36" customHeight="1">
      <x:c r="A14" s="2" t="str">
        <x:v>A07</x:v>
      </x:c>
      <x:c r="B14" s="2" t="str">
        <x:v>Worker / Azure</x:v>
      </x:c>
      <x:c r="C14" s="2" t="str">
        <x:v>Uncertain sends and Sent Items reconciliation</x:v>
      </x:c>
      <x:c r="D14" s="22" t="str">
        <x:v>Dev 2</x:v>
      </x:c>
      <x:c r="E14" s="2" t="str">
        <x:v>A06</x:v>
      </x:c>
      <x:c r="F14" s="47" t="n">
        <x:v>31</x:v>
      </x:c>
      <x:c r="G14" s="47" t="n">
        <x:v>5</x:v>
      </x:c>
      <x:c r="H14" s="48" t="n">
        <x:v>4</x:v>
      </x:c>
      <x:c r="I14" s="2" t="n">
        <x:f>IF(OR(F14="",G14=""),"",F14+G14-1)</x:f>
        <x:v>35</x:v>
      </x:c>
      <x:c r="J14" s="5" t="n">
        <x:f>IF(OR(F14="",F14&lt;1,F14&gt;Calendar!$B$9),"",INDEX(Calendar!$A$16:$A$134,MATCH(F14,Calendar!$D$16:$D$134,0)))</x:f>
        <x:v>46370</x:v>
      </x:c>
      <x:c r="K14" s="5" t="n">
        <x:f>IF(OR(I14="",I14&lt;1,I14&gt;Calendar!$B$9),"",INDEX(Calendar!$A$16:$A$134,MATCH(I14,Calendar!$D$16:$D$134,0)))</x:f>
        <x:v>46374</x:v>
      </x:c>
      <x:c r="L14" s="50" t="n">
        <x:v>0</x:v>
      </x:c>
      <x:c r="M14" s="2" t="str">
        <x:f>IF(OR(F14="",G14="",H14=""),"Missing input",IF(OR(F14&lt;1,G14&lt;1,I14&gt;Calendar!$B$9),"Outside calendar",IF(F14&lt;MAX(INDEX($I$8:$I$85,MATCH("A06",$A$8:$A$85,0))+1),"Dependency conflict","Scheduled")))</x:f>
        <x:v>Scheduled</x:v>
      </x:c>
      <x:c r="N14" s="44" t="n">
        <x:f>IF(OR($J14="",$K14=""),"",IF(SUMIFS(Calendar!$C$16:$C$134,Calendar!$A$16:$A$134,"&gt;="&amp;MAX(N$7,$J14),Calendar!$A$16:$A$134,"&lt;="&amp;MIN(N$7+4,$K14))=0,0,IF($H14="","EXT",SUMIFS(Calendar!$C$16:$C$134,Calendar!$A$16:$A$134,"&gt;="&amp;MAX(N$7,$J14),Calendar!$A$16:$A$134,"&lt;="&amp;MIN(N$7+4,$K14))*$H14/$G14)))</x:f>
        <x:v>0</x:v>
      </x:c>
      <x:c r="O14" s="44" t="n">
        <x:f>IF(OR($J14="",$K14=""),"",IF(SUMIFS(Calendar!$C$16:$C$134,Calendar!$A$16:$A$134,"&gt;="&amp;MAX(O$7,$J14),Calendar!$A$16:$A$134,"&lt;="&amp;MIN(O$7+4,$K14))=0,0,IF($H14="","EXT",SUMIFS(Calendar!$C$16:$C$134,Calendar!$A$16:$A$134,"&gt;="&amp;MAX(O$7,$J14),Calendar!$A$16:$A$134,"&lt;="&amp;MIN(O$7+4,$K14))*$H14/$G14)))</x:f>
        <x:v>0</x:v>
      </x:c>
      <x:c r="P14" s="44" t="n">
        <x:f>IF(OR($J14="",$K14=""),"",IF(SUMIFS(Calendar!$C$16:$C$134,Calendar!$A$16:$A$134,"&gt;="&amp;MAX(P$7,$J14),Calendar!$A$16:$A$134,"&lt;="&amp;MIN(P$7+4,$K14))=0,0,IF($H14="","EXT",SUMIFS(Calendar!$C$16:$C$134,Calendar!$A$16:$A$134,"&gt;="&amp;MAX(P$7,$J14),Calendar!$A$16:$A$134,"&lt;="&amp;MIN(P$7+4,$K14))*$H14/$G14)))</x:f>
        <x:v>0</x:v>
      </x:c>
      <x:c r="Q14" s="44" t="n">
        <x:f>IF(OR($J14="",$K14=""),"",IF(SUMIFS(Calendar!$C$16:$C$134,Calendar!$A$16:$A$134,"&gt;="&amp;MAX(Q$7,$J14),Calendar!$A$16:$A$134,"&lt;="&amp;MIN(Q$7+4,$K14))=0,0,IF($H14="","EXT",SUMIFS(Calendar!$C$16:$C$134,Calendar!$A$16:$A$134,"&gt;="&amp;MAX(Q$7,$J14),Calendar!$A$16:$A$134,"&lt;="&amp;MIN(Q$7+4,$K14))*$H14/$G14)))</x:f>
        <x:v>0</x:v>
      </x:c>
      <x:c r="R14" s="44" t="n">
        <x:f>IF(OR($J14="",$K14=""),"",IF(SUMIFS(Calendar!$C$16:$C$134,Calendar!$A$16:$A$134,"&gt;="&amp;MAX(R$7,$J14),Calendar!$A$16:$A$134,"&lt;="&amp;MIN(R$7+4,$K14))=0,0,IF($H14="","EXT",SUMIFS(Calendar!$C$16:$C$134,Calendar!$A$16:$A$134,"&gt;="&amp;MAX(R$7,$J14),Calendar!$A$16:$A$134,"&lt;="&amp;MIN(R$7+4,$K14))*$H14/$G14)))</x:f>
        <x:v>0</x:v>
      </x:c>
      <x:c r="S14" s="44" t="n">
        <x:f>IF(OR($J14="",$K14=""),"",IF(SUMIFS(Calendar!$C$16:$C$134,Calendar!$A$16:$A$134,"&gt;="&amp;MAX(S$7,$J14),Calendar!$A$16:$A$134,"&lt;="&amp;MIN(S$7+4,$K14))=0,0,IF($H14="","EXT",SUMIFS(Calendar!$C$16:$C$134,Calendar!$A$16:$A$134,"&gt;="&amp;MAX(S$7,$J14),Calendar!$A$16:$A$134,"&lt;="&amp;MIN(S$7+4,$K14))*$H14/$G14)))</x:f>
        <x:v>0</x:v>
      </x:c>
      <x:c r="T14" s="44" t="n">
        <x:f>IF(OR($J14="",$K14=""),"",IF(SUMIFS(Calendar!$C$16:$C$134,Calendar!$A$16:$A$134,"&gt;="&amp;MAX(T$7,$J14),Calendar!$A$16:$A$134,"&lt;="&amp;MIN(T$7+4,$K14))=0,0,IF($H14="","EXT",SUMIFS(Calendar!$C$16:$C$134,Calendar!$A$16:$A$134,"&gt;="&amp;MAX(T$7,$J14),Calendar!$A$16:$A$134,"&lt;="&amp;MIN(T$7+4,$K14))*$H14/$G14)))</x:f>
        <x:v>4</x:v>
      </x:c>
      <x:c r="U14" s="44" t="n">
        <x:f>IF(OR($J14="",$K14=""),"",IF(SUMIFS(Calendar!$C$16:$C$134,Calendar!$A$16:$A$134,"&gt;="&amp;MAX(U$7,$J14),Calendar!$A$16:$A$134,"&lt;="&amp;MIN(U$7+4,$K14))=0,0,IF($H14="","EXT",SUMIFS(Calendar!$C$16:$C$134,Calendar!$A$16:$A$134,"&gt;="&amp;MAX(U$7,$J14),Calendar!$A$16:$A$134,"&lt;="&amp;MIN(U$7+4,$K14))*$H14/$G14)))</x:f>
        <x:v>0</x:v>
      </x:c>
      <x:c r="V14" s="44" t="n">
        <x:f>IF(OR($J14="",$K14=""),"",IF(SUMIFS(Calendar!$C$16:$C$134,Calendar!$A$16:$A$134,"&gt;="&amp;MAX(V$7,$J14),Calendar!$A$16:$A$134,"&lt;="&amp;MIN(V$7+4,$K14))=0,0,IF($H14="","EXT",SUMIFS(Calendar!$C$16:$C$134,Calendar!$A$16:$A$134,"&gt;="&amp;MAX(V$7,$J14),Calendar!$A$16:$A$134,"&lt;="&amp;MIN(V$7+4,$K14))*$H14/$G14)))</x:f>
        <x:v>0</x:v>
      </x:c>
      <x:c r="W14" s="44" t="n">
        <x:f>IF(OR($J14="",$K14=""),"",IF(SUMIFS(Calendar!$C$16:$C$134,Calendar!$A$16:$A$134,"&gt;="&amp;MAX(W$7,$J14),Calendar!$A$16:$A$134,"&lt;="&amp;MIN(W$7+4,$K14))=0,0,IF($H14="","EXT",SUMIFS(Calendar!$C$16:$C$134,Calendar!$A$16:$A$134,"&gt;="&amp;MAX(W$7,$J14),Calendar!$A$16:$A$134,"&lt;="&amp;MIN(W$7+4,$K14))*$H14/$G14)))</x:f>
        <x:v>0</x:v>
      </x:c>
      <x:c r="X14" s="44" t="n">
        <x:f>IF(OR($J14="",$K14=""),"",IF(SUMIFS(Calendar!$C$16:$C$134,Calendar!$A$16:$A$134,"&gt;="&amp;MAX(X$7,$J14),Calendar!$A$16:$A$134,"&lt;="&amp;MIN(X$7+4,$K14))=0,0,IF($H14="","EXT",SUMIFS(Calendar!$C$16:$C$134,Calendar!$A$16:$A$134,"&gt;="&amp;MAX(X$7,$J14),Calendar!$A$16:$A$134,"&lt;="&amp;MIN(X$7+4,$K14))*$H14/$G14)))</x:f>
        <x:v>0</x:v>
      </x:c>
      <x:c r="Y14" s="44" t="n">
        <x:f>IF(OR($J14="",$K14=""),"",IF(SUMIFS(Calendar!$C$16:$C$134,Calendar!$A$16:$A$134,"&gt;="&amp;MAX(Y$7,$J14),Calendar!$A$16:$A$134,"&lt;="&amp;MIN(Y$7+4,$K14))=0,0,IF($H14="","EXT",SUMIFS(Calendar!$C$16:$C$134,Calendar!$A$16:$A$134,"&gt;="&amp;MAX(Y$7,$J14),Calendar!$A$16:$A$134,"&lt;="&amp;MIN(Y$7+4,$K14))*$H14/$G14)))</x:f>
        <x:v>0</x:v>
      </x:c>
      <x:c r="Z14" s="44" t="n">
        <x:f>IF(OR($J14="",$K14=""),"",IF(SUMIFS(Calendar!$C$16:$C$134,Calendar!$A$16:$A$134,"&gt;="&amp;MAX(Z$7,$J14),Calendar!$A$16:$A$134,"&lt;="&amp;MIN(Z$7+4,$K14))=0,0,IF($H14="","EXT",SUMIFS(Calendar!$C$16:$C$134,Calendar!$A$16:$A$134,"&gt;="&amp;MAX(Z$7,$J14),Calendar!$A$16:$A$134,"&lt;="&amp;MIN(Z$7+4,$K14))*$H14/$G14)))</x:f>
        <x:v>0</x:v>
      </x:c>
      <x:c r="AA14" s="44" t="n">
        <x:f>IF(OR($J14="",$K14=""),"",IF(SUMIFS(Calendar!$C$16:$C$134,Calendar!$A$16:$A$134,"&gt;="&amp;MAX(AA$7,$J14),Calendar!$A$16:$A$134,"&lt;="&amp;MIN(AA$7+4,$K14))=0,0,IF($H14="","EXT",SUMIFS(Calendar!$C$16:$C$134,Calendar!$A$16:$A$134,"&gt;="&amp;MAX(AA$7,$J14),Calendar!$A$16:$A$134,"&lt;="&amp;MIN(AA$7+4,$K14))*$H14/$G14)))</x:f>
        <x:v>0</x:v>
      </x:c>
      <x:c r="AB14" s="44" t="n">
        <x:f>IF(OR($J14="",$K14=""),"",IF(SUMIFS(Calendar!$C$16:$C$134,Calendar!$A$16:$A$134,"&gt;="&amp;MAX(AB$7,$J14),Calendar!$A$16:$A$134,"&lt;="&amp;MIN(AB$7+4,$K14))=0,0,IF($H14="","EXT",SUMIFS(Calendar!$C$16:$C$134,Calendar!$A$16:$A$134,"&gt;="&amp;MAX(AB$7,$J14),Calendar!$A$16:$A$134,"&lt;="&amp;MIN(AB$7+4,$K14))*$H14/$G14)))</x:f>
        <x:v>0</x:v>
      </x:c>
      <x:c r="AC14" s="44" t="n">
        <x:f>IF(OR($J14="",$K14=""),"",IF(SUMIFS(Calendar!$C$16:$C$134,Calendar!$A$16:$A$134,"&gt;="&amp;MAX(AC$7,$J14),Calendar!$A$16:$A$134,"&lt;="&amp;MIN(AC$7+4,$K14))=0,0,IF($H14="","EXT",SUMIFS(Calendar!$C$16:$C$134,Calendar!$A$16:$A$134,"&gt;="&amp;MAX(AC$7,$J14),Calendar!$A$16:$A$134,"&lt;="&amp;MIN(AC$7+4,$K14))*$H14/$G14)))</x:f>
        <x:v>0</x:v>
      </x:c>
      <x:c r="AD14" s="44" t="n">
        <x:f>IF(OR($J14="",$K14=""),"",IF(SUMIFS(Calendar!$C$16:$C$134,Calendar!$A$16:$A$134,"&gt;="&amp;MAX(AD$7,$J14),Calendar!$A$16:$A$134,"&lt;="&amp;MIN(AD$7+4,$K14))=0,0,IF($H14="","EXT",SUMIFS(Calendar!$C$16:$C$134,Calendar!$A$16:$A$134,"&gt;="&amp;MAX(AD$7,$J14),Calendar!$A$16:$A$134,"&lt;="&amp;MIN(AD$7+4,$K14))*$H14/$G14)))</x:f>
        <x:v>0</x:v>
      </x:c>
      <x:c r="AE14" s="42" t="n">
        <x:f>IF(OR(M14&lt;&gt;"Scheduled",INDEX('Team and Gates'!$C$7:$C$11,MATCH($D14,'Team and Gates'!$A$7:$A$11,0))=""),"CHECK",SUM(N14:AD14)*INDEX('Team and Gates'!$C$7:$C$11,MATCH($D14,'Team and Gates'!$A$7:$A$11,0)))</x:f>
        <x:v>1440</x:v>
      </x:c>
      <x:c r="AF14" s="43" t="str">
        <x:v>Lost responses and delayed sent copies reconcile without blind retries.</x:v>
      </x:c>
      <x:c r="AG14" s="43" t="str"/>
    </x:row>
    <x:row r="15" ht="36" customHeight="1">
      <x:c r="A15" s="35" t="str">
        <x:v>A08</x:v>
      </x:c>
      <x:c r="B15" s="35" t="str">
        <x:v>Worker / Azure</x:v>
      </x:c>
      <x:c r="C15" s="35" t="str">
        <x:v>Worker replicas, backlog telemetry and alerts</x:v>
      </x:c>
      <x:c r="D15" s="22" t="str">
        <x:v>Dev 2</x:v>
      </x:c>
      <x:c r="E15" s="35" t="str">
        <x:v>A07</x:v>
      </x:c>
      <x:c r="F15" s="47" t="n">
        <x:v>36</x:v>
      </x:c>
      <x:c r="G15" s="47" t="n">
        <x:v>10</x:v>
      </x:c>
      <x:c r="H15" s="48" t="n">
        <x:v>8</x:v>
      </x:c>
      <x:c r="I15" s="35" t="n">
        <x:f>IF(OR(F15="",G15=""),"",F15+G15-1)</x:f>
        <x:v>45</x:v>
      </x:c>
      <x:c r="J15" s="37" t="n">
        <x:f>IF(OR(F15="",F15&lt;1,F15&gt;Calendar!$B$9),"",INDEX(Calendar!$A$16:$A$134,MATCH(F15,Calendar!$D$16:$D$134,0)))</x:f>
        <x:v>46377</x:v>
      </x:c>
      <x:c r="K15" s="37" t="n">
        <x:f>IF(OR(I15="",I15&lt;1,I15&gt;Calendar!$B$9),"",INDEX(Calendar!$A$16:$A$134,MATCH(I15,Calendar!$D$16:$D$134,0)))</x:f>
        <x:v>46388</x:v>
      </x:c>
      <x:c r="L15" s="50" t="n">
        <x:v>0</x:v>
      </x:c>
      <x:c r="M15" s="35" t="str">
        <x:f>IF(OR(F15="",G15="",H15=""),"Missing input",IF(OR(F15&lt;1,G15&lt;1,I15&gt;Calendar!$B$9),"Outside calendar",IF(F15&lt;MAX(INDEX($I$8:$I$85,MATCH("A07",$A$8:$A$85,0))+1),"Dependency conflict","Scheduled")))</x:f>
        <x:v>Scheduled</x:v>
      </x:c>
      <x:c r="N15" s="44" t="n">
        <x:f>IF(OR($J15="",$K15=""),"",IF(SUMIFS(Calendar!$C$16:$C$134,Calendar!$A$16:$A$134,"&gt;="&amp;MAX(N$7,$J15),Calendar!$A$16:$A$134,"&lt;="&amp;MIN(N$7+4,$K15))=0,0,IF($H15="","EXT",SUMIFS(Calendar!$C$16:$C$134,Calendar!$A$16:$A$134,"&gt;="&amp;MAX(N$7,$J15),Calendar!$A$16:$A$134,"&lt;="&amp;MIN(N$7+4,$K15))*$H15/$G15)))</x:f>
        <x:v>0</x:v>
      </x:c>
      <x:c r="O15" s="44" t="n">
        <x:f>IF(OR($J15="",$K15=""),"",IF(SUMIFS(Calendar!$C$16:$C$134,Calendar!$A$16:$A$134,"&gt;="&amp;MAX(O$7,$J15),Calendar!$A$16:$A$134,"&lt;="&amp;MIN(O$7+4,$K15))=0,0,IF($H15="","EXT",SUMIFS(Calendar!$C$16:$C$134,Calendar!$A$16:$A$134,"&gt;="&amp;MAX(O$7,$J15),Calendar!$A$16:$A$134,"&lt;="&amp;MIN(O$7+4,$K15))*$H15/$G15)))</x:f>
        <x:v>0</x:v>
      </x:c>
      <x:c r="P15" s="44" t="n">
        <x:f>IF(OR($J15="",$K15=""),"",IF(SUMIFS(Calendar!$C$16:$C$134,Calendar!$A$16:$A$134,"&gt;="&amp;MAX(P$7,$J15),Calendar!$A$16:$A$134,"&lt;="&amp;MIN(P$7+4,$K15))=0,0,IF($H15="","EXT",SUMIFS(Calendar!$C$16:$C$134,Calendar!$A$16:$A$134,"&gt;="&amp;MAX(P$7,$J15),Calendar!$A$16:$A$134,"&lt;="&amp;MIN(P$7+4,$K15))*$H15/$G15)))</x:f>
        <x:v>0</x:v>
      </x:c>
      <x:c r="Q15" s="44" t="n">
        <x:f>IF(OR($J15="",$K15=""),"",IF(SUMIFS(Calendar!$C$16:$C$134,Calendar!$A$16:$A$134,"&gt;="&amp;MAX(Q$7,$J15),Calendar!$A$16:$A$134,"&lt;="&amp;MIN(Q$7+4,$K15))=0,0,IF($H15="","EXT",SUMIFS(Calendar!$C$16:$C$134,Calendar!$A$16:$A$134,"&gt;="&amp;MAX(Q$7,$J15),Calendar!$A$16:$A$134,"&lt;="&amp;MIN(Q$7+4,$K15))*$H15/$G15)))</x:f>
        <x:v>0</x:v>
      </x:c>
      <x:c r="R15" s="44" t="n">
        <x:f>IF(OR($J15="",$K15=""),"",IF(SUMIFS(Calendar!$C$16:$C$134,Calendar!$A$16:$A$134,"&gt;="&amp;MAX(R$7,$J15),Calendar!$A$16:$A$134,"&lt;="&amp;MIN(R$7+4,$K15))=0,0,IF($H15="","EXT",SUMIFS(Calendar!$C$16:$C$134,Calendar!$A$16:$A$134,"&gt;="&amp;MAX(R$7,$J15),Calendar!$A$16:$A$134,"&lt;="&amp;MIN(R$7+4,$K15))*$H15/$G15)))</x:f>
        <x:v>0</x:v>
      </x:c>
      <x:c r="S15" s="44" t="n">
        <x:f>IF(OR($J15="",$K15=""),"",IF(SUMIFS(Calendar!$C$16:$C$134,Calendar!$A$16:$A$134,"&gt;="&amp;MAX(S$7,$J15),Calendar!$A$16:$A$134,"&lt;="&amp;MIN(S$7+4,$K15))=0,0,IF($H15="","EXT",SUMIFS(Calendar!$C$16:$C$134,Calendar!$A$16:$A$134,"&gt;="&amp;MAX(S$7,$J15),Calendar!$A$16:$A$134,"&lt;="&amp;MIN(S$7+4,$K15))*$H15/$G15)))</x:f>
        <x:v>0</x:v>
      </x:c>
      <x:c r="T15" s="44" t="n">
        <x:f>IF(OR($J15="",$K15=""),"",IF(SUMIFS(Calendar!$C$16:$C$134,Calendar!$A$16:$A$134,"&gt;="&amp;MAX(T$7,$J15),Calendar!$A$16:$A$134,"&lt;="&amp;MIN(T$7+4,$K15))=0,0,IF($H15="","EXT",SUMIFS(Calendar!$C$16:$C$134,Calendar!$A$16:$A$134,"&gt;="&amp;MAX(T$7,$J15),Calendar!$A$16:$A$134,"&lt;="&amp;MIN(T$7+4,$K15))*$H15/$G15)))</x:f>
        <x:v>0</x:v>
      </x:c>
      <x:c r="U15" s="44" t="n">
        <x:f>IF(OR($J15="",$K15=""),"",IF(SUMIFS(Calendar!$C$16:$C$134,Calendar!$A$16:$A$134,"&gt;="&amp;MAX(U$7,$J15),Calendar!$A$16:$A$134,"&lt;="&amp;MIN(U$7+4,$K15))=0,0,IF($H15="","EXT",SUMIFS(Calendar!$C$16:$C$134,Calendar!$A$16:$A$134,"&gt;="&amp;MAX(U$7,$J15),Calendar!$A$16:$A$134,"&lt;="&amp;MIN(U$7+4,$K15))*$H15/$G15)))</x:f>
        <x:v>4</x:v>
      </x:c>
      <x:c r="V15" s="44" t="n">
        <x:f>IF(OR($J15="",$K15=""),"",IF(SUMIFS(Calendar!$C$16:$C$134,Calendar!$A$16:$A$134,"&gt;="&amp;MAX(V$7,$J15),Calendar!$A$16:$A$134,"&lt;="&amp;MIN(V$7+4,$K15))=0,0,IF($H15="","EXT",SUMIFS(Calendar!$C$16:$C$134,Calendar!$A$16:$A$134,"&gt;="&amp;MAX(V$7,$J15),Calendar!$A$16:$A$134,"&lt;="&amp;MIN(V$7+4,$K15))*$H15/$G15)))</x:f>
        <x:v>4</x:v>
      </x:c>
      <x:c r="W15" s="44" t="n">
        <x:f>IF(OR($J15="",$K15=""),"",IF(SUMIFS(Calendar!$C$16:$C$134,Calendar!$A$16:$A$134,"&gt;="&amp;MAX(W$7,$J15),Calendar!$A$16:$A$134,"&lt;="&amp;MIN(W$7+4,$K15))=0,0,IF($H15="","EXT",SUMIFS(Calendar!$C$16:$C$134,Calendar!$A$16:$A$134,"&gt;="&amp;MAX(W$7,$J15),Calendar!$A$16:$A$134,"&lt;="&amp;MIN(W$7+4,$K15))*$H15/$G15)))</x:f>
        <x:v>0</x:v>
      </x:c>
      <x:c r="X15" s="44" t="n">
        <x:f>IF(OR($J15="",$K15=""),"",IF(SUMIFS(Calendar!$C$16:$C$134,Calendar!$A$16:$A$134,"&gt;="&amp;MAX(X$7,$J15),Calendar!$A$16:$A$134,"&lt;="&amp;MIN(X$7+4,$K15))=0,0,IF($H15="","EXT",SUMIFS(Calendar!$C$16:$C$134,Calendar!$A$16:$A$134,"&gt;="&amp;MAX(X$7,$J15),Calendar!$A$16:$A$134,"&lt;="&amp;MIN(X$7+4,$K15))*$H15/$G15)))</x:f>
        <x:v>0</x:v>
      </x:c>
      <x:c r="Y15" s="44" t="n">
        <x:f>IF(OR($J15="",$K15=""),"",IF(SUMIFS(Calendar!$C$16:$C$134,Calendar!$A$16:$A$134,"&gt;="&amp;MAX(Y$7,$J15),Calendar!$A$16:$A$134,"&lt;="&amp;MIN(Y$7+4,$K15))=0,0,IF($H15="","EXT",SUMIFS(Calendar!$C$16:$C$134,Calendar!$A$16:$A$134,"&gt;="&amp;MAX(Y$7,$J15),Calendar!$A$16:$A$134,"&lt;="&amp;MIN(Y$7+4,$K15))*$H15/$G15)))</x:f>
        <x:v>0</x:v>
      </x:c>
      <x:c r="Z15" s="44" t="n">
        <x:f>IF(OR($J15="",$K15=""),"",IF(SUMIFS(Calendar!$C$16:$C$134,Calendar!$A$16:$A$134,"&gt;="&amp;MAX(Z$7,$J15),Calendar!$A$16:$A$134,"&lt;="&amp;MIN(Z$7+4,$K15))=0,0,IF($H15="","EXT",SUMIFS(Calendar!$C$16:$C$134,Calendar!$A$16:$A$134,"&gt;="&amp;MAX(Z$7,$J15),Calendar!$A$16:$A$134,"&lt;="&amp;MIN(Z$7+4,$K15))*$H15/$G15)))</x:f>
        <x:v>0</x:v>
      </x:c>
      <x:c r="AA15" s="44" t="n">
        <x:f>IF(OR($J15="",$K15=""),"",IF(SUMIFS(Calendar!$C$16:$C$134,Calendar!$A$16:$A$134,"&gt;="&amp;MAX(AA$7,$J15),Calendar!$A$16:$A$134,"&lt;="&amp;MIN(AA$7+4,$K15))=0,0,IF($H15="","EXT",SUMIFS(Calendar!$C$16:$C$134,Calendar!$A$16:$A$134,"&gt;="&amp;MAX(AA$7,$J15),Calendar!$A$16:$A$134,"&lt;="&amp;MIN(AA$7+4,$K15))*$H15/$G15)))</x:f>
        <x:v>0</x:v>
      </x:c>
      <x:c r="AB15" s="44" t="n">
        <x:f>IF(OR($J15="",$K15=""),"",IF(SUMIFS(Calendar!$C$16:$C$134,Calendar!$A$16:$A$134,"&gt;="&amp;MAX(AB$7,$J15),Calendar!$A$16:$A$134,"&lt;="&amp;MIN(AB$7+4,$K15))=0,0,IF($H15="","EXT",SUMIFS(Calendar!$C$16:$C$134,Calendar!$A$16:$A$134,"&gt;="&amp;MAX(AB$7,$J15),Calendar!$A$16:$A$134,"&lt;="&amp;MIN(AB$7+4,$K15))*$H15/$G15)))</x:f>
        <x:v>0</x:v>
      </x:c>
      <x:c r="AC15" s="44" t="n">
        <x:f>IF(OR($J15="",$K15=""),"",IF(SUMIFS(Calendar!$C$16:$C$134,Calendar!$A$16:$A$134,"&gt;="&amp;MAX(AC$7,$J15),Calendar!$A$16:$A$134,"&lt;="&amp;MIN(AC$7+4,$K15))=0,0,IF($H15="","EXT",SUMIFS(Calendar!$C$16:$C$134,Calendar!$A$16:$A$134,"&gt;="&amp;MAX(AC$7,$J15),Calendar!$A$16:$A$134,"&lt;="&amp;MIN(AC$7+4,$K15))*$H15/$G15)))</x:f>
        <x:v>0</x:v>
      </x:c>
      <x:c r="AD15" s="44" t="n">
        <x:f>IF(OR($J15="",$K15=""),"",IF(SUMIFS(Calendar!$C$16:$C$134,Calendar!$A$16:$A$134,"&gt;="&amp;MAX(AD$7,$J15),Calendar!$A$16:$A$134,"&lt;="&amp;MIN(AD$7+4,$K15))=0,0,IF($H15="","EXT",SUMIFS(Calendar!$C$16:$C$134,Calendar!$A$16:$A$134,"&gt;="&amp;MAX(AD$7,$J15),Calendar!$A$16:$A$134,"&lt;="&amp;MIN(AD$7+4,$K15))*$H15/$G15)))</x:f>
        <x:v>0</x:v>
      </x:c>
      <x:c r="AE15" s="42" t="n">
        <x:f>IF(OR(M15&lt;&gt;"Scheduled",INDEX('Team and Gates'!$C$7:$C$11,MATCH($D15,'Team and Gates'!$A$7:$A$11,0))=""),"CHECK",SUM(N15:AD15)*INDEX('Team and Gates'!$C$7:$C$11,MATCH($D15,'Team and Gates'!$A$7:$A$11,0)))</x:f>
        <x:v>2880</x:v>
      </x:c>
      <x:c r="AF15" s="43" t="str">
        <x:v>Worker scaling, lease expiry, sync lag and dependency alerts are observable.</x:v>
      </x:c>
      <x:c r="AG15" s="43" t="str">
        <x:v>Dec 21–Jan 1: implementation, load checks and fault-finding fixes.</x:v>
      </x:c>
    </x:row>
    <x:row r="16" ht="36" customHeight="1">
      <x:c r="A16" s="2" t="str">
        <x:v>A09</x:v>
      </x:c>
      <x:c r="B16" s="2" t="str">
        <x:v>Worker / Azure</x:v>
      </x:c>
      <x:c r="C16" s="2" t="str">
        <x:v>Concurrency, JVM loss and database failover fixes</x:v>
      </x:c>
      <x:c r="D16" s="22" t="str">
        <x:v>Dev 2</x:v>
      </x:c>
      <x:c r="E16" s="2" t="str">
        <x:v>A08, Q08</x:v>
      </x:c>
      <x:c r="F16" s="47" t="n">
        <x:v>46</x:v>
      </x:c>
      <x:c r="G16" s="47" t="n">
        <x:v>5</x:v>
      </x:c>
      <x:c r="H16" s="48" t="n">
        <x:v>4</x:v>
      </x:c>
      <x:c r="I16" s="2" t="n">
        <x:f>IF(OR(F16="",G16=""),"",F16+G16-1)</x:f>
        <x:v>50</x:v>
      </x:c>
      <x:c r="J16" s="5" t="n">
        <x:f>IF(OR(F16="",F16&lt;1,F16&gt;Calendar!$B$9),"",INDEX(Calendar!$A$16:$A$134,MATCH(F16,Calendar!$D$16:$D$134,0)))</x:f>
        <x:v>46391</x:v>
      </x:c>
      <x:c r="K16" s="5" t="n">
        <x:f>IF(OR(I16="",I16&lt;1,I16&gt;Calendar!$B$9),"",INDEX(Calendar!$A$16:$A$134,MATCH(I16,Calendar!$D$16:$D$134,0)))</x:f>
        <x:v>46395</x:v>
      </x:c>
      <x:c r="L16" s="50" t="n">
        <x:v>0</x:v>
      </x:c>
      <x:c r="M16" s="2" t="str">
        <x:f>IF(OR(F16="",G16="",H16=""),"Missing input",IF(OR(F16&lt;1,G16&lt;1,I16&gt;Calendar!$B$9),"Outside calendar",IF(F16&lt;MAX(INDEX($I$8:$I$85,MATCH("A08",$A$8:$A$85,0))+1,INDEX($I$8:$I$85,MATCH("Q08",$A$8:$A$85,0))+1),"Dependency conflict","Scheduled")))</x:f>
        <x:v>Scheduled</x:v>
      </x:c>
      <x:c r="N16" s="44" t="n">
        <x:f>IF(OR($J16="",$K16=""),"",IF(SUMIFS(Calendar!$C$16:$C$134,Calendar!$A$16:$A$134,"&gt;="&amp;MAX(N$7,$J16),Calendar!$A$16:$A$134,"&lt;="&amp;MIN(N$7+4,$K16))=0,0,IF($H16="","EXT",SUMIFS(Calendar!$C$16:$C$134,Calendar!$A$16:$A$134,"&gt;="&amp;MAX(N$7,$J16),Calendar!$A$16:$A$134,"&lt;="&amp;MIN(N$7+4,$K16))*$H16/$G16)))</x:f>
        <x:v>0</x:v>
      </x:c>
      <x:c r="O16" s="44" t="n">
        <x:f>IF(OR($J16="",$K16=""),"",IF(SUMIFS(Calendar!$C$16:$C$134,Calendar!$A$16:$A$134,"&gt;="&amp;MAX(O$7,$J16),Calendar!$A$16:$A$134,"&lt;="&amp;MIN(O$7+4,$K16))=0,0,IF($H16="","EXT",SUMIFS(Calendar!$C$16:$C$134,Calendar!$A$16:$A$134,"&gt;="&amp;MAX(O$7,$J16),Calendar!$A$16:$A$134,"&lt;="&amp;MIN(O$7+4,$K16))*$H16/$G16)))</x:f>
        <x:v>0</x:v>
      </x:c>
      <x:c r="P16" s="44" t="n">
        <x:f>IF(OR($J16="",$K16=""),"",IF(SUMIFS(Calendar!$C$16:$C$134,Calendar!$A$16:$A$134,"&gt;="&amp;MAX(P$7,$J16),Calendar!$A$16:$A$134,"&lt;="&amp;MIN(P$7+4,$K16))=0,0,IF($H16="","EXT",SUMIFS(Calendar!$C$16:$C$134,Calendar!$A$16:$A$134,"&gt;="&amp;MAX(P$7,$J16),Calendar!$A$16:$A$134,"&lt;="&amp;MIN(P$7+4,$K16))*$H16/$G16)))</x:f>
        <x:v>0</x:v>
      </x:c>
      <x:c r="Q16" s="44" t="n">
        <x:f>IF(OR($J16="",$K16=""),"",IF(SUMIFS(Calendar!$C$16:$C$134,Calendar!$A$16:$A$134,"&gt;="&amp;MAX(Q$7,$J16),Calendar!$A$16:$A$134,"&lt;="&amp;MIN(Q$7+4,$K16))=0,0,IF($H16="","EXT",SUMIFS(Calendar!$C$16:$C$134,Calendar!$A$16:$A$134,"&gt;="&amp;MAX(Q$7,$J16),Calendar!$A$16:$A$134,"&lt;="&amp;MIN(Q$7+4,$K16))*$H16/$G16)))</x:f>
        <x:v>0</x:v>
      </x:c>
      <x:c r="R16" s="44" t="n">
        <x:f>IF(OR($J16="",$K16=""),"",IF(SUMIFS(Calendar!$C$16:$C$134,Calendar!$A$16:$A$134,"&gt;="&amp;MAX(R$7,$J16),Calendar!$A$16:$A$134,"&lt;="&amp;MIN(R$7+4,$K16))=0,0,IF($H16="","EXT",SUMIFS(Calendar!$C$16:$C$134,Calendar!$A$16:$A$134,"&gt;="&amp;MAX(R$7,$J16),Calendar!$A$16:$A$134,"&lt;="&amp;MIN(R$7+4,$K16))*$H16/$G16)))</x:f>
        <x:v>0</x:v>
      </x:c>
      <x:c r="S16" s="44" t="n">
        <x:f>IF(OR($J16="",$K16=""),"",IF(SUMIFS(Calendar!$C$16:$C$134,Calendar!$A$16:$A$134,"&gt;="&amp;MAX(S$7,$J16),Calendar!$A$16:$A$134,"&lt;="&amp;MIN(S$7+4,$K16))=0,0,IF($H16="","EXT",SUMIFS(Calendar!$C$16:$C$134,Calendar!$A$16:$A$134,"&gt;="&amp;MAX(S$7,$J16),Calendar!$A$16:$A$134,"&lt;="&amp;MIN(S$7+4,$K16))*$H16/$G16)))</x:f>
        <x:v>0</x:v>
      </x:c>
      <x:c r="T16" s="44" t="n">
        <x:f>IF(OR($J16="",$K16=""),"",IF(SUMIFS(Calendar!$C$16:$C$134,Calendar!$A$16:$A$134,"&gt;="&amp;MAX(T$7,$J16),Calendar!$A$16:$A$134,"&lt;="&amp;MIN(T$7+4,$K16))=0,0,IF($H16="","EXT",SUMIFS(Calendar!$C$16:$C$134,Calendar!$A$16:$A$134,"&gt;="&amp;MAX(T$7,$J16),Calendar!$A$16:$A$134,"&lt;="&amp;MIN(T$7+4,$K16))*$H16/$G16)))</x:f>
        <x:v>0</x:v>
      </x:c>
      <x:c r="U16" s="44" t="n">
        <x:f>IF(OR($J16="",$K16=""),"",IF(SUMIFS(Calendar!$C$16:$C$134,Calendar!$A$16:$A$134,"&gt;="&amp;MAX(U$7,$J16),Calendar!$A$16:$A$134,"&lt;="&amp;MIN(U$7+4,$K16))=0,0,IF($H16="","EXT",SUMIFS(Calendar!$C$16:$C$134,Calendar!$A$16:$A$134,"&gt;="&amp;MAX(U$7,$J16),Calendar!$A$16:$A$134,"&lt;="&amp;MIN(U$7+4,$K16))*$H16/$G16)))</x:f>
        <x:v>0</x:v>
      </x:c>
      <x:c r="V16" s="44" t="n">
        <x:f>IF(OR($J16="",$K16=""),"",IF(SUMIFS(Calendar!$C$16:$C$134,Calendar!$A$16:$A$134,"&gt;="&amp;MAX(V$7,$J16),Calendar!$A$16:$A$134,"&lt;="&amp;MIN(V$7+4,$K16))=0,0,IF($H16="","EXT",SUMIFS(Calendar!$C$16:$C$134,Calendar!$A$16:$A$134,"&gt;="&amp;MAX(V$7,$J16),Calendar!$A$16:$A$134,"&lt;="&amp;MIN(V$7+4,$K16))*$H16/$G16)))</x:f>
        <x:v>0</x:v>
      </x:c>
      <x:c r="W16" s="44" t="n">
        <x:f>IF(OR($J16="",$K16=""),"",IF(SUMIFS(Calendar!$C$16:$C$134,Calendar!$A$16:$A$134,"&gt;="&amp;MAX(W$7,$J16),Calendar!$A$16:$A$134,"&lt;="&amp;MIN(W$7+4,$K16))=0,0,IF($H16="","EXT",SUMIFS(Calendar!$C$16:$C$134,Calendar!$A$16:$A$134,"&gt;="&amp;MAX(W$7,$J16),Calendar!$A$16:$A$134,"&lt;="&amp;MIN(W$7+4,$K16))*$H16/$G16)))</x:f>
        <x:v>4</x:v>
      </x:c>
      <x:c r="X16" s="44" t="n">
        <x:f>IF(OR($J16="",$K16=""),"",IF(SUMIFS(Calendar!$C$16:$C$134,Calendar!$A$16:$A$134,"&gt;="&amp;MAX(X$7,$J16),Calendar!$A$16:$A$134,"&lt;="&amp;MIN(X$7+4,$K16))=0,0,IF($H16="","EXT",SUMIFS(Calendar!$C$16:$C$134,Calendar!$A$16:$A$134,"&gt;="&amp;MAX(X$7,$J16),Calendar!$A$16:$A$134,"&lt;="&amp;MIN(X$7+4,$K16))*$H16/$G16)))</x:f>
        <x:v>0</x:v>
      </x:c>
      <x:c r="Y16" s="44" t="n">
        <x:f>IF(OR($J16="",$K16=""),"",IF(SUMIFS(Calendar!$C$16:$C$134,Calendar!$A$16:$A$134,"&gt;="&amp;MAX(Y$7,$J16),Calendar!$A$16:$A$134,"&lt;="&amp;MIN(Y$7+4,$K16))=0,0,IF($H16="","EXT",SUMIFS(Calendar!$C$16:$C$134,Calendar!$A$16:$A$134,"&gt;="&amp;MAX(Y$7,$J16),Calendar!$A$16:$A$134,"&lt;="&amp;MIN(Y$7+4,$K16))*$H16/$G16)))</x:f>
        <x:v>0</x:v>
      </x:c>
      <x:c r="Z16" s="44" t="n">
        <x:f>IF(OR($J16="",$K16=""),"",IF(SUMIFS(Calendar!$C$16:$C$134,Calendar!$A$16:$A$134,"&gt;="&amp;MAX(Z$7,$J16),Calendar!$A$16:$A$134,"&lt;="&amp;MIN(Z$7+4,$K16))=0,0,IF($H16="","EXT",SUMIFS(Calendar!$C$16:$C$134,Calendar!$A$16:$A$134,"&gt;="&amp;MAX(Z$7,$J16),Calendar!$A$16:$A$134,"&lt;="&amp;MIN(Z$7+4,$K16))*$H16/$G16)))</x:f>
        <x:v>0</x:v>
      </x:c>
      <x:c r="AA16" s="44" t="n">
        <x:f>IF(OR($J16="",$K16=""),"",IF(SUMIFS(Calendar!$C$16:$C$134,Calendar!$A$16:$A$134,"&gt;="&amp;MAX(AA$7,$J16),Calendar!$A$16:$A$134,"&lt;="&amp;MIN(AA$7+4,$K16))=0,0,IF($H16="","EXT",SUMIFS(Calendar!$C$16:$C$134,Calendar!$A$16:$A$134,"&gt;="&amp;MAX(AA$7,$J16),Calendar!$A$16:$A$134,"&lt;="&amp;MIN(AA$7+4,$K16))*$H16/$G16)))</x:f>
        <x:v>0</x:v>
      </x:c>
      <x:c r="AB16" s="44" t="n">
        <x:f>IF(OR($J16="",$K16=""),"",IF(SUMIFS(Calendar!$C$16:$C$134,Calendar!$A$16:$A$134,"&gt;="&amp;MAX(AB$7,$J16),Calendar!$A$16:$A$134,"&lt;="&amp;MIN(AB$7+4,$K16))=0,0,IF($H16="","EXT",SUMIFS(Calendar!$C$16:$C$134,Calendar!$A$16:$A$134,"&gt;="&amp;MAX(AB$7,$J16),Calendar!$A$16:$A$134,"&lt;="&amp;MIN(AB$7+4,$K16))*$H16/$G16)))</x:f>
        <x:v>0</x:v>
      </x:c>
      <x:c r="AC16" s="44" t="n">
        <x:f>IF(OR($J16="",$K16=""),"",IF(SUMIFS(Calendar!$C$16:$C$134,Calendar!$A$16:$A$134,"&gt;="&amp;MAX(AC$7,$J16),Calendar!$A$16:$A$134,"&lt;="&amp;MIN(AC$7+4,$K16))=0,0,IF($H16="","EXT",SUMIFS(Calendar!$C$16:$C$134,Calendar!$A$16:$A$134,"&gt;="&amp;MAX(AC$7,$J16),Calendar!$A$16:$A$134,"&lt;="&amp;MIN(AC$7+4,$K16))*$H16/$G16)))</x:f>
        <x:v>0</x:v>
      </x:c>
      <x:c r="AD16" s="44" t="n">
        <x:f>IF(OR($J16="",$K16=""),"",IF(SUMIFS(Calendar!$C$16:$C$134,Calendar!$A$16:$A$134,"&gt;="&amp;MAX(AD$7,$J16),Calendar!$A$16:$A$134,"&lt;="&amp;MIN(AD$7+4,$K16))=0,0,IF($H16="","EXT",SUMIFS(Calendar!$C$16:$C$134,Calendar!$A$16:$A$134,"&gt;="&amp;MAX(AD$7,$J16),Calendar!$A$16:$A$134,"&lt;="&amp;MIN(AD$7+4,$K16))*$H16/$G16)))</x:f>
        <x:v>0</x:v>
      </x:c>
      <x:c r="AE16" s="42" t="n">
        <x:f>IF(OR(M16&lt;&gt;"Scheduled",INDEX('Team and Gates'!$C$7:$C$11,MATCH($D16,'Team and Gates'!$A$7:$A$11,0))=""),"CHECK",SUM(N16:AD16)*INDEX('Team and Gates'!$C$7:$C$11,MATCH($D16,'Team and Gates'!$A$7:$A$11,0)))</x:f>
        <x:v>1440</x:v>
      </x:c>
      <x:c r="AF16" s="43" t="str">
        <x:v>Restart, duplicate work and stale-worker fault findings are closed.</x:v>
      </x:c>
      <x:c r="AG16" s="43" t="str"/>
    </x:row>
    <x:row r="17" ht="36" customHeight="1">
      <x:c r="A17" s="35" t="str">
        <x:v>A10</x:v>
      </x:c>
      <x:c r="B17" s="35" t="str">
        <x:v>Worker / Azure</x:v>
      </x:c>
      <x:c r="C17" s="35" t="str">
        <x:v>Preproduction, backups and deployment recovery</x:v>
      </x:c>
      <x:c r="D17" s="22" t="str">
        <x:v>Dev 2</x:v>
      </x:c>
      <x:c r="E17" s="35" t="str">
        <x:v>A09, E03</x:v>
      </x:c>
      <x:c r="F17" s="47" t="n">
        <x:v>51</x:v>
      </x:c>
      <x:c r="G17" s="47" t="n">
        <x:v>5</x:v>
      </x:c>
      <x:c r="H17" s="48" t="n">
        <x:v>4</x:v>
      </x:c>
      <x:c r="I17" s="35" t="n">
        <x:f>IF(OR(F17="",G17=""),"",F17+G17-1)</x:f>
        <x:v>55</x:v>
      </x:c>
      <x:c r="J17" s="37" t="n">
        <x:f>IF(OR(F17="",F17&lt;1,F17&gt;Calendar!$B$9),"",INDEX(Calendar!$A$16:$A$134,MATCH(F17,Calendar!$D$16:$D$134,0)))</x:f>
        <x:v>46398</x:v>
      </x:c>
      <x:c r="K17" s="37" t="n">
        <x:f>IF(OR(I17="",I17&lt;1,I17&gt;Calendar!$B$9),"",INDEX(Calendar!$A$16:$A$134,MATCH(I17,Calendar!$D$16:$D$134,0)))</x:f>
        <x:v>46402</x:v>
      </x:c>
      <x:c r="L17" s="50" t="n">
        <x:v>0</x:v>
      </x:c>
      <x:c r="M17" s="35" t="str">
        <x:f>IF(OR(F17="",G17="",H17=""),"Missing input",IF(OR(F17&lt;1,G17&lt;1,I17&gt;Calendar!$B$9),"Outside calendar",IF(F17&lt;MAX(INDEX($I$8:$I$85,MATCH("A09",$A$8:$A$85,0))+1,INDEX($I$8:$I$85,MATCH("E03",$A$8:$A$85,0))+1),"Dependency conflict","Scheduled")))</x:f>
        <x:v>Scheduled</x:v>
      </x:c>
      <x:c r="N17" s="44" t="n">
        <x:f>IF(OR($J17="",$K17=""),"",IF(SUMIFS(Calendar!$C$16:$C$134,Calendar!$A$16:$A$134,"&gt;="&amp;MAX(N$7,$J17),Calendar!$A$16:$A$134,"&lt;="&amp;MIN(N$7+4,$K17))=0,0,IF($H17="","EXT",SUMIFS(Calendar!$C$16:$C$134,Calendar!$A$16:$A$134,"&gt;="&amp;MAX(N$7,$J17),Calendar!$A$16:$A$134,"&lt;="&amp;MIN(N$7+4,$K17))*$H17/$G17)))</x:f>
        <x:v>0</x:v>
      </x:c>
      <x:c r="O17" s="44" t="n">
        <x:f>IF(OR($J17="",$K17=""),"",IF(SUMIFS(Calendar!$C$16:$C$134,Calendar!$A$16:$A$134,"&gt;="&amp;MAX(O$7,$J17),Calendar!$A$16:$A$134,"&lt;="&amp;MIN(O$7+4,$K17))=0,0,IF($H17="","EXT",SUMIFS(Calendar!$C$16:$C$134,Calendar!$A$16:$A$134,"&gt;="&amp;MAX(O$7,$J17),Calendar!$A$16:$A$134,"&lt;="&amp;MIN(O$7+4,$K17))*$H17/$G17)))</x:f>
        <x:v>0</x:v>
      </x:c>
      <x:c r="P17" s="44" t="n">
        <x:f>IF(OR($J17="",$K17=""),"",IF(SUMIFS(Calendar!$C$16:$C$134,Calendar!$A$16:$A$134,"&gt;="&amp;MAX(P$7,$J17),Calendar!$A$16:$A$134,"&lt;="&amp;MIN(P$7+4,$K17))=0,0,IF($H17="","EXT",SUMIFS(Calendar!$C$16:$C$134,Calendar!$A$16:$A$134,"&gt;="&amp;MAX(P$7,$J17),Calendar!$A$16:$A$134,"&lt;="&amp;MIN(P$7+4,$K17))*$H17/$G17)))</x:f>
        <x:v>0</x:v>
      </x:c>
      <x:c r="Q17" s="44" t="n">
        <x:f>IF(OR($J17="",$K17=""),"",IF(SUMIFS(Calendar!$C$16:$C$134,Calendar!$A$16:$A$134,"&gt;="&amp;MAX(Q$7,$J17),Calendar!$A$16:$A$134,"&lt;="&amp;MIN(Q$7+4,$K17))=0,0,IF($H17="","EXT",SUMIFS(Calendar!$C$16:$C$134,Calendar!$A$16:$A$134,"&gt;="&amp;MAX(Q$7,$J17),Calendar!$A$16:$A$134,"&lt;="&amp;MIN(Q$7+4,$K17))*$H17/$G17)))</x:f>
        <x:v>0</x:v>
      </x:c>
      <x:c r="R17" s="44" t="n">
        <x:f>IF(OR($J17="",$K17=""),"",IF(SUMIFS(Calendar!$C$16:$C$134,Calendar!$A$16:$A$134,"&gt;="&amp;MAX(R$7,$J17),Calendar!$A$16:$A$134,"&lt;="&amp;MIN(R$7+4,$K17))=0,0,IF($H17="","EXT",SUMIFS(Calendar!$C$16:$C$134,Calendar!$A$16:$A$134,"&gt;="&amp;MAX(R$7,$J17),Calendar!$A$16:$A$134,"&lt;="&amp;MIN(R$7+4,$K17))*$H17/$G17)))</x:f>
        <x:v>0</x:v>
      </x:c>
      <x:c r="S17" s="44" t="n">
        <x:f>IF(OR($J17="",$K17=""),"",IF(SUMIFS(Calendar!$C$16:$C$134,Calendar!$A$16:$A$134,"&gt;="&amp;MAX(S$7,$J17),Calendar!$A$16:$A$134,"&lt;="&amp;MIN(S$7+4,$K17))=0,0,IF($H17="","EXT",SUMIFS(Calendar!$C$16:$C$134,Calendar!$A$16:$A$134,"&gt;="&amp;MAX(S$7,$J17),Calendar!$A$16:$A$134,"&lt;="&amp;MIN(S$7+4,$K17))*$H17/$G17)))</x:f>
        <x:v>0</x:v>
      </x:c>
      <x:c r="T17" s="44" t="n">
        <x:f>IF(OR($J17="",$K17=""),"",IF(SUMIFS(Calendar!$C$16:$C$134,Calendar!$A$16:$A$134,"&gt;="&amp;MAX(T$7,$J17),Calendar!$A$16:$A$134,"&lt;="&amp;MIN(T$7+4,$K17))=0,0,IF($H17="","EXT",SUMIFS(Calendar!$C$16:$C$134,Calendar!$A$16:$A$134,"&gt;="&amp;MAX(T$7,$J17),Calendar!$A$16:$A$134,"&lt;="&amp;MIN(T$7+4,$K17))*$H17/$G17)))</x:f>
        <x:v>0</x:v>
      </x:c>
      <x:c r="U17" s="44" t="n">
        <x:f>IF(OR($J17="",$K17=""),"",IF(SUMIFS(Calendar!$C$16:$C$134,Calendar!$A$16:$A$134,"&gt;="&amp;MAX(U$7,$J17),Calendar!$A$16:$A$134,"&lt;="&amp;MIN(U$7+4,$K17))=0,0,IF($H17="","EXT",SUMIFS(Calendar!$C$16:$C$134,Calendar!$A$16:$A$134,"&gt;="&amp;MAX(U$7,$J17),Calendar!$A$16:$A$134,"&lt;="&amp;MIN(U$7+4,$K17))*$H17/$G17)))</x:f>
        <x:v>0</x:v>
      </x:c>
      <x:c r="V17" s="44" t="n">
        <x:f>IF(OR($J17="",$K17=""),"",IF(SUMIFS(Calendar!$C$16:$C$134,Calendar!$A$16:$A$134,"&gt;="&amp;MAX(V$7,$J17),Calendar!$A$16:$A$134,"&lt;="&amp;MIN(V$7+4,$K17))=0,0,IF($H17="","EXT",SUMIFS(Calendar!$C$16:$C$134,Calendar!$A$16:$A$134,"&gt;="&amp;MAX(V$7,$J17),Calendar!$A$16:$A$134,"&lt;="&amp;MIN(V$7+4,$K17))*$H17/$G17)))</x:f>
        <x:v>0</x:v>
      </x:c>
      <x:c r="W17" s="44" t="n">
        <x:f>IF(OR($J17="",$K17=""),"",IF(SUMIFS(Calendar!$C$16:$C$134,Calendar!$A$16:$A$134,"&gt;="&amp;MAX(W$7,$J17),Calendar!$A$16:$A$134,"&lt;="&amp;MIN(W$7+4,$K17))=0,0,IF($H17="","EXT",SUMIFS(Calendar!$C$16:$C$134,Calendar!$A$16:$A$134,"&gt;="&amp;MAX(W$7,$J17),Calendar!$A$16:$A$134,"&lt;="&amp;MIN(W$7+4,$K17))*$H17/$G17)))</x:f>
        <x:v>0</x:v>
      </x:c>
      <x:c r="X17" s="44" t="n">
        <x:f>IF(OR($J17="",$K17=""),"",IF(SUMIFS(Calendar!$C$16:$C$134,Calendar!$A$16:$A$134,"&gt;="&amp;MAX(X$7,$J17),Calendar!$A$16:$A$134,"&lt;="&amp;MIN(X$7+4,$K17))=0,0,IF($H17="","EXT",SUMIFS(Calendar!$C$16:$C$134,Calendar!$A$16:$A$134,"&gt;="&amp;MAX(X$7,$J17),Calendar!$A$16:$A$134,"&lt;="&amp;MIN(X$7+4,$K17))*$H17/$G17)))</x:f>
        <x:v>4</x:v>
      </x:c>
      <x:c r="Y17" s="44" t="n">
        <x:f>IF(OR($J17="",$K17=""),"",IF(SUMIFS(Calendar!$C$16:$C$134,Calendar!$A$16:$A$134,"&gt;="&amp;MAX(Y$7,$J17),Calendar!$A$16:$A$134,"&lt;="&amp;MIN(Y$7+4,$K17))=0,0,IF($H17="","EXT",SUMIFS(Calendar!$C$16:$C$134,Calendar!$A$16:$A$134,"&gt;="&amp;MAX(Y$7,$J17),Calendar!$A$16:$A$134,"&lt;="&amp;MIN(Y$7+4,$K17))*$H17/$G17)))</x:f>
        <x:v>0</x:v>
      </x:c>
      <x:c r="Z17" s="44" t="n">
        <x:f>IF(OR($J17="",$K17=""),"",IF(SUMIFS(Calendar!$C$16:$C$134,Calendar!$A$16:$A$134,"&gt;="&amp;MAX(Z$7,$J17),Calendar!$A$16:$A$134,"&lt;="&amp;MIN(Z$7+4,$K17))=0,0,IF($H17="","EXT",SUMIFS(Calendar!$C$16:$C$134,Calendar!$A$16:$A$134,"&gt;="&amp;MAX(Z$7,$J17),Calendar!$A$16:$A$134,"&lt;="&amp;MIN(Z$7+4,$K17))*$H17/$G17)))</x:f>
        <x:v>0</x:v>
      </x:c>
      <x:c r="AA17" s="44" t="n">
        <x:f>IF(OR($J17="",$K17=""),"",IF(SUMIFS(Calendar!$C$16:$C$134,Calendar!$A$16:$A$134,"&gt;="&amp;MAX(AA$7,$J17),Calendar!$A$16:$A$134,"&lt;="&amp;MIN(AA$7+4,$K17))=0,0,IF($H17="","EXT",SUMIFS(Calendar!$C$16:$C$134,Calendar!$A$16:$A$134,"&gt;="&amp;MAX(AA$7,$J17),Calendar!$A$16:$A$134,"&lt;="&amp;MIN(AA$7+4,$K17))*$H17/$G17)))</x:f>
        <x:v>0</x:v>
      </x:c>
      <x:c r="AB17" s="44" t="n">
        <x:f>IF(OR($J17="",$K17=""),"",IF(SUMIFS(Calendar!$C$16:$C$134,Calendar!$A$16:$A$134,"&gt;="&amp;MAX(AB$7,$J17),Calendar!$A$16:$A$134,"&lt;="&amp;MIN(AB$7+4,$K17))=0,0,IF($H17="","EXT",SUMIFS(Calendar!$C$16:$C$134,Calendar!$A$16:$A$134,"&gt;="&amp;MAX(AB$7,$J17),Calendar!$A$16:$A$134,"&lt;="&amp;MIN(AB$7+4,$K17))*$H17/$G17)))</x:f>
        <x:v>0</x:v>
      </x:c>
      <x:c r="AC17" s="44" t="n">
        <x:f>IF(OR($J17="",$K17=""),"",IF(SUMIFS(Calendar!$C$16:$C$134,Calendar!$A$16:$A$134,"&gt;="&amp;MAX(AC$7,$J17),Calendar!$A$16:$A$134,"&lt;="&amp;MIN(AC$7+4,$K17))=0,0,IF($H17="","EXT",SUMIFS(Calendar!$C$16:$C$134,Calendar!$A$16:$A$134,"&gt;="&amp;MAX(AC$7,$J17),Calendar!$A$16:$A$134,"&lt;="&amp;MIN(AC$7+4,$K17))*$H17/$G17)))</x:f>
        <x:v>0</x:v>
      </x:c>
      <x:c r="AD17" s="44" t="n">
        <x:f>IF(OR($J17="",$K17=""),"",IF(SUMIFS(Calendar!$C$16:$C$134,Calendar!$A$16:$A$134,"&gt;="&amp;MAX(AD$7,$J17),Calendar!$A$16:$A$134,"&lt;="&amp;MIN(AD$7+4,$K17))=0,0,IF($H17="","EXT",SUMIFS(Calendar!$C$16:$C$134,Calendar!$A$16:$A$134,"&gt;="&amp;MAX(AD$7,$J17),Calendar!$A$16:$A$134,"&lt;="&amp;MIN(AD$7+4,$K17))*$H17/$G17)))</x:f>
        <x:v>0</x:v>
      </x:c>
      <x:c r="AE17" s="42" t="n">
        <x:f>IF(OR(M17&lt;&gt;"Scheduled",INDEX('Team and Gates'!$C$7:$C$11,MATCH($D17,'Team and Gates'!$A$7:$A$11,0))=""),"CHECK",SUM(N17:AD17)*INDEX('Team and Gates'!$C$7:$C$11,MATCH($D17,'Team and Gates'!$A$7:$A$11,0)))</x:f>
        <x:v>1440</x:v>
      </x:c>
      <x:c r="AF17" s="43" t="str">
        <x:v>Clean deployment, DB/Blob restore and provider quotas are qualified.</x:v>
      </x:c>
      <x:c r="AG17" s="43" t="str"/>
    </x:row>
    <x:row r="18" ht="36" customHeight="1">
      <x:c r="A18" s="2" t="str">
        <x:v>A11</x:v>
      </x:c>
      <x:c r="B18" s="2" t="str">
        <x:v>Worker / Azure</x:v>
      </x:c>
      <x:c r="C18" s="2" t="str">
        <x:v>UAT integration fixes and sender retesting</x:v>
      </x:c>
      <x:c r="D18" s="22" t="str">
        <x:v>Dev 2</x:v>
      </x:c>
      <x:c r="E18" s="2" t="str">
        <x:v>A10</x:v>
      </x:c>
      <x:c r="F18" s="47" t="n">
        <x:v>56</x:v>
      </x:c>
      <x:c r="G18" s="47" t="n">
        <x:v>5</x:v>
      </x:c>
      <x:c r="H18" s="48" t="n">
        <x:v>4</x:v>
      </x:c>
      <x:c r="I18" s="2" t="n">
        <x:f>IF(OR(F18="",G18=""),"",F18+G18-1)</x:f>
        <x:v>60</x:v>
      </x:c>
      <x:c r="J18" s="5" t="n">
        <x:f>IF(OR(F18="",F18&lt;1,F18&gt;Calendar!$B$9),"",INDEX(Calendar!$A$16:$A$134,MATCH(F18,Calendar!$D$16:$D$134,0)))</x:f>
        <x:v>46405</x:v>
      </x:c>
      <x:c r="K18" s="5" t="n">
        <x:f>IF(OR(I18="",I18&lt;1,I18&gt;Calendar!$B$9),"",INDEX(Calendar!$A$16:$A$134,MATCH(I18,Calendar!$D$16:$D$134,0)))</x:f>
        <x:v>46409</x:v>
      </x:c>
      <x:c r="L18" s="50" t="n">
        <x:v>0</x:v>
      </x:c>
      <x:c r="M18" s="2" t="str">
        <x:f>IF(OR(F18="",G18="",H18=""),"Missing input",IF(OR(F18&lt;1,G18&lt;1,I18&gt;Calendar!$B$9),"Outside calendar",IF(F18&lt;MAX(INDEX($I$8:$I$85,MATCH("A10",$A$8:$A$85,0))+1),"Dependency conflict","Scheduled")))</x:f>
        <x:v>Scheduled</x:v>
      </x:c>
      <x:c r="N18" s="44" t="n">
        <x:f>IF(OR($J18="",$K18=""),"",IF(SUMIFS(Calendar!$C$16:$C$134,Calendar!$A$16:$A$134,"&gt;="&amp;MAX(N$7,$J18),Calendar!$A$16:$A$134,"&lt;="&amp;MIN(N$7+4,$K18))=0,0,IF($H18="","EXT",SUMIFS(Calendar!$C$16:$C$134,Calendar!$A$16:$A$134,"&gt;="&amp;MAX(N$7,$J18),Calendar!$A$16:$A$134,"&lt;="&amp;MIN(N$7+4,$K18))*$H18/$G18)))</x:f>
        <x:v>0</x:v>
      </x:c>
      <x:c r="O18" s="44" t="n">
        <x:f>IF(OR($J18="",$K18=""),"",IF(SUMIFS(Calendar!$C$16:$C$134,Calendar!$A$16:$A$134,"&gt;="&amp;MAX(O$7,$J18),Calendar!$A$16:$A$134,"&lt;="&amp;MIN(O$7+4,$K18))=0,0,IF($H18="","EXT",SUMIFS(Calendar!$C$16:$C$134,Calendar!$A$16:$A$134,"&gt;="&amp;MAX(O$7,$J18),Calendar!$A$16:$A$134,"&lt;="&amp;MIN(O$7+4,$K18))*$H18/$G18)))</x:f>
        <x:v>0</x:v>
      </x:c>
      <x:c r="P18" s="44" t="n">
        <x:f>IF(OR($J18="",$K18=""),"",IF(SUMIFS(Calendar!$C$16:$C$134,Calendar!$A$16:$A$134,"&gt;="&amp;MAX(P$7,$J18),Calendar!$A$16:$A$134,"&lt;="&amp;MIN(P$7+4,$K18))=0,0,IF($H18="","EXT",SUMIFS(Calendar!$C$16:$C$134,Calendar!$A$16:$A$134,"&gt;="&amp;MAX(P$7,$J18),Calendar!$A$16:$A$134,"&lt;="&amp;MIN(P$7+4,$K18))*$H18/$G18)))</x:f>
        <x:v>0</x:v>
      </x:c>
      <x:c r="Q18" s="44" t="n">
        <x:f>IF(OR($J18="",$K18=""),"",IF(SUMIFS(Calendar!$C$16:$C$134,Calendar!$A$16:$A$134,"&gt;="&amp;MAX(Q$7,$J18),Calendar!$A$16:$A$134,"&lt;="&amp;MIN(Q$7+4,$K18))=0,0,IF($H18="","EXT",SUMIFS(Calendar!$C$16:$C$134,Calendar!$A$16:$A$134,"&gt;="&amp;MAX(Q$7,$J18),Calendar!$A$16:$A$134,"&lt;="&amp;MIN(Q$7+4,$K18))*$H18/$G18)))</x:f>
        <x:v>0</x:v>
      </x:c>
      <x:c r="R18" s="44" t="n">
        <x:f>IF(OR($J18="",$K18=""),"",IF(SUMIFS(Calendar!$C$16:$C$134,Calendar!$A$16:$A$134,"&gt;="&amp;MAX(R$7,$J18),Calendar!$A$16:$A$134,"&lt;="&amp;MIN(R$7+4,$K18))=0,0,IF($H18="","EXT",SUMIFS(Calendar!$C$16:$C$134,Calendar!$A$16:$A$134,"&gt;="&amp;MAX(R$7,$J18),Calendar!$A$16:$A$134,"&lt;="&amp;MIN(R$7+4,$K18))*$H18/$G18)))</x:f>
        <x:v>0</x:v>
      </x:c>
      <x:c r="S18" s="44" t="n">
        <x:f>IF(OR($J18="",$K18=""),"",IF(SUMIFS(Calendar!$C$16:$C$134,Calendar!$A$16:$A$134,"&gt;="&amp;MAX(S$7,$J18),Calendar!$A$16:$A$134,"&lt;="&amp;MIN(S$7+4,$K18))=0,0,IF($H18="","EXT",SUMIFS(Calendar!$C$16:$C$134,Calendar!$A$16:$A$134,"&gt;="&amp;MAX(S$7,$J18),Calendar!$A$16:$A$134,"&lt;="&amp;MIN(S$7+4,$K18))*$H18/$G18)))</x:f>
        <x:v>0</x:v>
      </x:c>
      <x:c r="T18" s="44" t="n">
        <x:f>IF(OR($J18="",$K18=""),"",IF(SUMIFS(Calendar!$C$16:$C$134,Calendar!$A$16:$A$134,"&gt;="&amp;MAX(T$7,$J18),Calendar!$A$16:$A$134,"&lt;="&amp;MIN(T$7+4,$K18))=0,0,IF($H18="","EXT",SUMIFS(Calendar!$C$16:$C$134,Calendar!$A$16:$A$134,"&gt;="&amp;MAX(T$7,$J18),Calendar!$A$16:$A$134,"&lt;="&amp;MIN(T$7+4,$K18))*$H18/$G18)))</x:f>
        <x:v>0</x:v>
      </x:c>
      <x:c r="U18" s="44" t="n">
        <x:f>IF(OR($J18="",$K18=""),"",IF(SUMIFS(Calendar!$C$16:$C$134,Calendar!$A$16:$A$134,"&gt;="&amp;MAX(U$7,$J18),Calendar!$A$16:$A$134,"&lt;="&amp;MIN(U$7+4,$K18))=0,0,IF($H18="","EXT",SUMIFS(Calendar!$C$16:$C$134,Calendar!$A$16:$A$134,"&gt;="&amp;MAX(U$7,$J18),Calendar!$A$16:$A$134,"&lt;="&amp;MIN(U$7+4,$K18))*$H18/$G18)))</x:f>
        <x:v>0</x:v>
      </x:c>
      <x:c r="V18" s="44" t="n">
        <x:f>IF(OR($J18="",$K18=""),"",IF(SUMIFS(Calendar!$C$16:$C$134,Calendar!$A$16:$A$134,"&gt;="&amp;MAX(V$7,$J18),Calendar!$A$16:$A$134,"&lt;="&amp;MIN(V$7+4,$K18))=0,0,IF($H18="","EXT",SUMIFS(Calendar!$C$16:$C$134,Calendar!$A$16:$A$134,"&gt;="&amp;MAX(V$7,$J18),Calendar!$A$16:$A$134,"&lt;="&amp;MIN(V$7+4,$K18))*$H18/$G18)))</x:f>
        <x:v>0</x:v>
      </x:c>
      <x:c r="W18" s="44" t="n">
        <x:f>IF(OR($J18="",$K18=""),"",IF(SUMIFS(Calendar!$C$16:$C$134,Calendar!$A$16:$A$134,"&gt;="&amp;MAX(W$7,$J18),Calendar!$A$16:$A$134,"&lt;="&amp;MIN(W$7+4,$K18))=0,0,IF($H18="","EXT",SUMIFS(Calendar!$C$16:$C$134,Calendar!$A$16:$A$134,"&gt;="&amp;MAX(W$7,$J18),Calendar!$A$16:$A$134,"&lt;="&amp;MIN(W$7+4,$K18))*$H18/$G18)))</x:f>
        <x:v>0</x:v>
      </x:c>
      <x:c r="X18" s="44" t="n">
        <x:f>IF(OR($J18="",$K18=""),"",IF(SUMIFS(Calendar!$C$16:$C$134,Calendar!$A$16:$A$134,"&gt;="&amp;MAX(X$7,$J18),Calendar!$A$16:$A$134,"&lt;="&amp;MIN(X$7+4,$K18))=0,0,IF($H18="","EXT",SUMIFS(Calendar!$C$16:$C$134,Calendar!$A$16:$A$134,"&gt;="&amp;MAX(X$7,$J18),Calendar!$A$16:$A$134,"&lt;="&amp;MIN(X$7+4,$K18))*$H18/$G18)))</x:f>
        <x:v>0</x:v>
      </x:c>
      <x:c r="Y18" s="44" t="n">
        <x:f>IF(OR($J18="",$K18=""),"",IF(SUMIFS(Calendar!$C$16:$C$134,Calendar!$A$16:$A$134,"&gt;="&amp;MAX(Y$7,$J18),Calendar!$A$16:$A$134,"&lt;="&amp;MIN(Y$7+4,$K18))=0,0,IF($H18="","EXT",SUMIFS(Calendar!$C$16:$C$134,Calendar!$A$16:$A$134,"&gt;="&amp;MAX(Y$7,$J18),Calendar!$A$16:$A$134,"&lt;="&amp;MIN(Y$7+4,$K18))*$H18/$G18)))</x:f>
        <x:v>4</x:v>
      </x:c>
      <x:c r="Z18" s="44" t="n">
        <x:f>IF(OR($J18="",$K18=""),"",IF(SUMIFS(Calendar!$C$16:$C$134,Calendar!$A$16:$A$134,"&gt;="&amp;MAX(Z$7,$J18),Calendar!$A$16:$A$134,"&lt;="&amp;MIN(Z$7+4,$K18))=0,0,IF($H18="","EXT",SUMIFS(Calendar!$C$16:$C$134,Calendar!$A$16:$A$134,"&gt;="&amp;MAX(Z$7,$J18),Calendar!$A$16:$A$134,"&lt;="&amp;MIN(Z$7+4,$K18))*$H18/$G18)))</x:f>
        <x:v>0</x:v>
      </x:c>
      <x:c r="AA18" s="44" t="n">
        <x:f>IF(OR($J18="",$K18=""),"",IF(SUMIFS(Calendar!$C$16:$C$134,Calendar!$A$16:$A$134,"&gt;="&amp;MAX(AA$7,$J18),Calendar!$A$16:$A$134,"&lt;="&amp;MIN(AA$7+4,$K18))=0,0,IF($H18="","EXT",SUMIFS(Calendar!$C$16:$C$134,Calendar!$A$16:$A$134,"&gt;="&amp;MAX(AA$7,$J18),Calendar!$A$16:$A$134,"&lt;="&amp;MIN(AA$7+4,$K18))*$H18/$G18)))</x:f>
        <x:v>0</x:v>
      </x:c>
      <x:c r="AB18" s="44" t="n">
        <x:f>IF(OR($J18="",$K18=""),"",IF(SUMIFS(Calendar!$C$16:$C$134,Calendar!$A$16:$A$134,"&gt;="&amp;MAX(AB$7,$J18),Calendar!$A$16:$A$134,"&lt;="&amp;MIN(AB$7+4,$K18))=0,0,IF($H18="","EXT",SUMIFS(Calendar!$C$16:$C$134,Calendar!$A$16:$A$134,"&gt;="&amp;MAX(AB$7,$J18),Calendar!$A$16:$A$134,"&lt;="&amp;MIN(AB$7+4,$K18))*$H18/$G18)))</x:f>
        <x:v>0</x:v>
      </x:c>
      <x:c r="AC18" s="44" t="n">
        <x:f>IF(OR($J18="",$K18=""),"",IF(SUMIFS(Calendar!$C$16:$C$134,Calendar!$A$16:$A$134,"&gt;="&amp;MAX(AC$7,$J18),Calendar!$A$16:$A$134,"&lt;="&amp;MIN(AC$7+4,$K18))=0,0,IF($H18="","EXT",SUMIFS(Calendar!$C$16:$C$134,Calendar!$A$16:$A$134,"&gt;="&amp;MAX(AC$7,$J18),Calendar!$A$16:$A$134,"&lt;="&amp;MIN(AC$7+4,$K18))*$H18/$G18)))</x:f>
        <x:v>0</x:v>
      </x:c>
      <x:c r="AD18" s="44" t="n">
        <x:f>IF(OR($J18="",$K18=""),"",IF(SUMIFS(Calendar!$C$16:$C$134,Calendar!$A$16:$A$134,"&gt;="&amp;MAX(AD$7,$J18),Calendar!$A$16:$A$134,"&lt;="&amp;MIN(AD$7+4,$K18))=0,0,IF($H18="","EXT",SUMIFS(Calendar!$C$16:$C$134,Calendar!$A$16:$A$134,"&gt;="&amp;MAX(AD$7,$J18),Calendar!$A$16:$A$134,"&lt;="&amp;MIN(AD$7+4,$K18))*$H18/$G18)))</x:f>
        <x:v>0</x:v>
      </x:c>
      <x:c r="AE18" s="42" t="n">
        <x:f>IF(OR(M18&lt;&gt;"Scheduled",INDEX('Team and Gates'!$C$7:$C$11,MATCH($D18,'Team and Gates'!$A$7:$A$11,0))=""),"CHECK",SUM(N18:AD18)*INDEX('Team and Gates'!$C$7:$C$11,MATCH($D18,'Team and Gates'!$A$7:$A$11,0)))</x:f>
        <x:v>1440</x:v>
      </x:c>
      <x:c r="AF18" s="43" t="str">
        <x:v>Integration issues are closed and impacted send/recovery paths retested.</x:v>
      </x:c>
      <x:c r="AG18" s="43" t="str"/>
    </x:row>
    <x:row r="19" ht="36" customHeight="1">
      <x:c r="A19" s="35" t="str">
        <x:v>A12</x:v>
      </x:c>
      <x:c r="B19" s="35" t="str">
        <x:v>Worker / Azure</x:v>
      </x:c>
      <x:c r="C19" s="35" t="str">
        <x:v>Release branch and Worker rollback rehearsal</x:v>
      </x:c>
      <x:c r="D19" s="22" t="str">
        <x:v>Dev 2</x:v>
      </x:c>
      <x:c r="E19" s="35" t="str">
        <x:v>A11, Q11</x:v>
      </x:c>
      <x:c r="F19" s="47" t="n">
        <x:v>61</x:v>
      </x:c>
      <x:c r="G19" s="47" t="n">
        <x:v>5</x:v>
      </x:c>
      <x:c r="H19" s="48" t="n">
        <x:v>4</x:v>
      </x:c>
      <x:c r="I19" s="35" t="n">
        <x:f>IF(OR(F19="",G19=""),"",F19+G19-1)</x:f>
        <x:v>65</x:v>
      </x:c>
      <x:c r="J19" s="37" t="n">
        <x:f>IF(OR(F19="",F19&lt;1,F19&gt;Calendar!$B$9),"",INDEX(Calendar!$A$16:$A$134,MATCH(F19,Calendar!$D$16:$D$134,0)))</x:f>
        <x:v>46412</x:v>
      </x:c>
      <x:c r="K19" s="37" t="n">
        <x:f>IF(OR(I19="",I19&lt;1,I19&gt;Calendar!$B$9),"",INDEX(Calendar!$A$16:$A$134,MATCH(I19,Calendar!$D$16:$D$134,0)))</x:f>
        <x:v>46416</x:v>
      </x:c>
      <x:c r="L19" s="50" t="n">
        <x:v>0</x:v>
      </x:c>
      <x:c r="M19" s="35" t="str">
        <x:f>IF(OR(F19="",G19="",H19=""),"Missing input",IF(OR(F19&lt;1,G19&lt;1,I19&gt;Calendar!$B$9),"Outside calendar",IF(F19&lt;MAX(INDEX($I$8:$I$85,MATCH("A11",$A$8:$A$85,0))+1,INDEX($I$8:$I$85,MATCH("Q11",$A$8:$A$85,0))+1),"Dependency conflict","Scheduled")))</x:f>
        <x:v>Scheduled</x:v>
      </x:c>
      <x:c r="N19" s="44" t="n">
        <x:f>IF(OR($J19="",$K19=""),"",IF(SUMIFS(Calendar!$C$16:$C$134,Calendar!$A$16:$A$134,"&gt;="&amp;MAX(N$7,$J19),Calendar!$A$16:$A$134,"&lt;="&amp;MIN(N$7+4,$K19))=0,0,IF($H19="","EXT",SUMIFS(Calendar!$C$16:$C$134,Calendar!$A$16:$A$134,"&gt;="&amp;MAX(N$7,$J19),Calendar!$A$16:$A$134,"&lt;="&amp;MIN(N$7+4,$K19))*$H19/$G19)))</x:f>
        <x:v>0</x:v>
      </x:c>
      <x:c r="O19" s="44" t="n">
        <x:f>IF(OR($J19="",$K19=""),"",IF(SUMIFS(Calendar!$C$16:$C$134,Calendar!$A$16:$A$134,"&gt;="&amp;MAX(O$7,$J19),Calendar!$A$16:$A$134,"&lt;="&amp;MIN(O$7+4,$K19))=0,0,IF($H19="","EXT",SUMIFS(Calendar!$C$16:$C$134,Calendar!$A$16:$A$134,"&gt;="&amp;MAX(O$7,$J19),Calendar!$A$16:$A$134,"&lt;="&amp;MIN(O$7+4,$K19))*$H19/$G19)))</x:f>
        <x:v>0</x:v>
      </x:c>
      <x:c r="P19" s="44" t="n">
        <x:f>IF(OR($J19="",$K19=""),"",IF(SUMIFS(Calendar!$C$16:$C$134,Calendar!$A$16:$A$134,"&gt;="&amp;MAX(P$7,$J19),Calendar!$A$16:$A$134,"&lt;="&amp;MIN(P$7+4,$K19))=0,0,IF($H19="","EXT",SUMIFS(Calendar!$C$16:$C$134,Calendar!$A$16:$A$134,"&gt;="&amp;MAX(P$7,$J19),Calendar!$A$16:$A$134,"&lt;="&amp;MIN(P$7+4,$K19))*$H19/$G19)))</x:f>
        <x:v>0</x:v>
      </x:c>
      <x:c r="Q19" s="44" t="n">
        <x:f>IF(OR($J19="",$K19=""),"",IF(SUMIFS(Calendar!$C$16:$C$134,Calendar!$A$16:$A$134,"&gt;="&amp;MAX(Q$7,$J19),Calendar!$A$16:$A$134,"&lt;="&amp;MIN(Q$7+4,$K19))=0,0,IF($H19="","EXT",SUMIFS(Calendar!$C$16:$C$134,Calendar!$A$16:$A$134,"&gt;="&amp;MAX(Q$7,$J19),Calendar!$A$16:$A$134,"&lt;="&amp;MIN(Q$7+4,$K19))*$H19/$G19)))</x:f>
        <x:v>0</x:v>
      </x:c>
      <x:c r="R19" s="44" t="n">
        <x:f>IF(OR($J19="",$K19=""),"",IF(SUMIFS(Calendar!$C$16:$C$134,Calendar!$A$16:$A$134,"&gt;="&amp;MAX(R$7,$J19),Calendar!$A$16:$A$134,"&lt;="&amp;MIN(R$7+4,$K19))=0,0,IF($H19="","EXT",SUMIFS(Calendar!$C$16:$C$134,Calendar!$A$16:$A$134,"&gt;="&amp;MAX(R$7,$J19),Calendar!$A$16:$A$134,"&lt;="&amp;MIN(R$7+4,$K19))*$H19/$G19)))</x:f>
        <x:v>0</x:v>
      </x:c>
      <x:c r="S19" s="44" t="n">
        <x:f>IF(OR($J19="",$K19=""),"",IF(SUMIFS(Calendar!$C$16:$C$134,Calendar!$A$16:$A$134,"&gt;="&amp;MAX(S$7,$J19),Calendar!$A$16:$A$134,"&lt;="&amp;MIN(S$7+4,$K19))=0,0,IF($H19="","EXT",SUMIFS(Calendar!$C$16:$C$134,Calendar!$A$16:$A$134,"&gt;="&amp;MAX(S$7,$J19),Calendar!$A$16:$A$134,"&lt;="&amp;MIN(S$7+4,$K19))*$H19/$G19)))</x:f>
        <x:v>0</x:v>
      </x:c>
      <x:c r="T19" s="44" t="n">
        <x:f>IF(OR($J19="",$K19=""),"",IF(SUMIFS(Calendar!$C$16:$C$134,Calendar!$A$16:$A$134,"&gt;="&amp;MAX(T$7,$J19),Calendar!$A$16:$A$134,"&lt;="&amp;MIN(T$7+4,$K19))=0,0,IF($H19="","EXT",SUMIFS(Calendar!$C$16:$C$134,Calendar!$A$16:$A$134,"&gt;="&amp;MAX(T$7,$J19),Calendar!$A$16:$A$134,"&lt;="&amp;MIN(T$7+4,$K19))*$H19/$G19)))</x:f>
        <x:v>0</x:v>
      </x:c>
      <x:c r="U19" s="44" t="n">
        <x:f>IF(OR($J19="",$K19=""),"",IF(SUMIFS(Calendar!$C$16:$C$134,Calendar!$A$16:$A$134,"&gt;="&amp;MAX(U$7,$J19),Calendar!$A$16:$A$134,"&lt;="&amp;MIN(U$7+4,$K19))=0,0,IF($H19="","EXT",SUMIFS(Calendar!$C$16:$C$134,Calendar!$A$16:$A$134,"&gt;="&amp;MAX(U$7,$J19),Calendar!$A$16:$A$134,"&lt;="&amp;MIN(U$7+4,$K19))*$H19/$G19)))</x:f>
        <x:v>0</x:v>
      </x:c>
      <x:c r="V19" s="44" t="n">
        <x:f>IF(OR($J19="",$K19=""),"",IF(SUMIFS(Calendar!$C$16:$C$134,Calendar!$A$16:$A$134,"&gt;="&amp;MAX(V$7,$J19),Calendar!$A$16:$A$134,"&lt;="&amp;MIN(V$7+4,$K19))=0,0,IF($H19="","EXT",SUMIFS(Calendar!$C$16:$C$134,Calendar!$A$16:$A$134,"&gt;="&amp;MAX(V$7,$J19),Calendar!$A$16:$A$134,"&lt;="&amp;MIN(V$7+4,$K19))*$H19/$G19)))</x:f>
        <x:v>0</x:v>
      </x:c>
      <x:c r="W19" s="44" t="n">
        <x:f>IF(OR($J19="",$K19=""),"",IF(SUMIFS(Calendar!$C$16:$C$134,Calendar!$A$16:$A$134,"&gt;="&amp;MAX(W$7,$J19),Calendar!$A$16:$A$134,"&lt;="&amp;MIN(W$7+4,$K19))=0,0,IF($H19="","EXT",SUMIFS(Calendar!$C$16:$C$134,Calendar!$A$16:$A$134,"&gt;="&amp;MAX(W$7,$J19),Calendar!$A$16:$A$134,"&lt;="&amp;MIN(W$7+4,$K19))*$H19/$G19)))</x:f>
        <x:v>0</x:v>
      </x:c>
      <x:c r="X19" s="44" t="n">
        <x:f>IF(OR($J19="",$K19=""),"",IF(SUMIFS(Calendar!$C$16:$C$134,Calendar!$A$16:$A$134,"&gt;="&amp;MAX(X$7,$J19),Calendar!$A$16:$A$134,"&lt;="&amp;MIN(X$7+4,$K19))=0,0,IF($H19="","EXT",SUMIFS(Calendar!$C$16:$C$134,Calendar!$A$16:$A$134,"&gt;="&amp;MAX(X$7,$J19),Calendar!$A$16:$A$134,"&lt;="&amp;MIN(X$7+4,$K19))*$H19/$G19)))</x:f>
        <x:v>0</x:v>
      </x:c>
      <x:c r="Y19" s="44" t="n">
        <x:f>IF(OR($J19="",$K19=""),"",IF(SUMIFS(Calendar!$C$16:$C$134,Calendar!$A$16:$A$134,"&gt;="&amp;MAX(Y$7,$J19),Calendar!$A$16:$A$134,"&lt;="&amp;MIN(Y$7+4,$K19))=0,0,IF($H19="","EXT",SUMIFS(Calendar!$C$16:$C$134,Calendar!$A$16:$A$134,"&gt;="&amp;MAX(Y$7,$J19),Calendar!$A$16:$A$134,"&lt;="&amp;MIN(Y$7+4,$K19))*$H19/$G19)))</x:f>
        <x:v>0</x:v>
      </x:c>
      <x:c r="Z19" s="44" t="n">
        <x:f>IF(OR($J19="",$K19=""),"",IF(SUMIFS(Calendar!$C$16:$C$134,Calendar!$A$16:$A$134,"&gt;="&amp;MAX(Z$7,$J19),Calendar!$A$16:$A$134,"&lt;="&amp;MIN(Z$7+4,$K19))=0,0,IF($H19="","EXT",SUMIFS(Calendar!$C$16:$C$134,Calendar!$A$16:$A$134,"&gt;="&amp;MAX(Z$7,$J19),Calendar!$A$16:$A$134,"&lt;="&amp;MIN(Z$7+4,$K19))*$H19/$G19)))</x:f>
        <x:v>4</x:v>
      </x:c>
      <x:c r="AA19" s="44" t="n">
        <x:f>IF(OR($J19="",$K19=""),"",IF(SUMIFS(Calendar!$C$16:$C$134,Calendar!$A$16:$A$134,"&gt;="&amp;MAX(AA$7,$J19),Calendar!$A$16:$A$134,"&lt;="&amp;MIN(AA$7+4,$K19))=0,0,IF($H19="","EXT",SUMIFS(Calendar!$C$16:$C$134,Calendar!$A$16:$A$134,"&gt;="&amp;MAX(AA$7,$J19),Calendar!$A$16:$A$134,"&lt;="&amp;MIN(AA$7+4,$K19))*$H19/$G19)))</x:f>
        <x:v>0</x:v>
      </x:c>
      <x:c r="AB19" s="44" t="n">
        <x:f>IF(OR($J19="",$K19=""),"",IF(SUMIFS(Calendar!$C$16:$C$134,Calendar!$A$16:$A$134,"&gt;="&amp;MAX(AB$7,$J19),Calendar!$A$16:$A$134,"&lt;="&amp;MIN(AB$7+4,$K19))=0,0,IF($H19="","EXT",SUMIFS(Calendar!$C$16:$C$134,Calendar!$A$16:$A$134,"&gt;="&amp;MAX(AB$7,$J19),Calendar!$A$16:$A$134,"&lt;="&amp;MIN(AB$7+4,$K19))*$H19/$G19)))</x:f>
        <x:v>0</x:v>
      </x:c>
      <x:c r="AC19" s="44" t="n">
        <x:f>IF(OR($J19="",$K19=""),"",IF(SUMIFS(Calendar!$C$16:$C$134,Calendar!$A$16:$A$134,"&gt;="&amp;MAX(AC$7,$J19),Calendar!$A$16:$A$134,"&lt;="&amp;MIN(AC$7+4,$K19))=0,0,IF($H19="","EXT",SUMIFS(Calendar!$C$16:$C$134,Calendar!$A$16:$A$134,"&gt;="&amp;MAX(AC$7,$J19),Calendar!$A$16:$A$134,"&lt;="&amp;MIN(AC$7+4,$K19))*$H19/$G19)))</x:f>
        <x:v>0</x:v>
      </x:c>
      <x:c r="AD19" s="44" t="n">
        <x:f>IF(OR($J19="",$K19=""),"",IF(SUMIFS(Calendar!$C$16:$C$134,Calendar!$A$16:$A$134,"&gt;="&amp;MAX(AD$7,$J19),Calendar!$A$16:$A$134,"&lt;="&amp;MIN(AD$7+4,$K19))=0,0,IF($H19="","EXT",SUMIFS(Calendar!$C$16:$C$134,Calendar!$A$16:$A$134,"&gt;="&amp;MAX(AD$7,$J19),Calendar!$A$16:$A$134,"&lt;="&amp;MIN(AD$7+4,$K19))*$H19/$G19)))</x:f>
        <x:v>0</x:v>
      </x:c>
      <x:c r="AE19" s="42" t="n">
        <x:f>IF(OR(M19&lt;&gt;"Scheduled",INDEX('Team and Gates'!$C$7:$C$11,MATCH($D19,'Team and Gates'!$A$7:$A$11,0))=""),"CHECK",SUM(N19:AD19)*INDEX('Team and Gates'!$C$7:$C$11,MATCH($D19,'Team and Gates'!$A$7:$A$11,0)))</x:f>
        <x:v>1440</x:v>
      </x:c>
      <x:c r="AF19" s="43" t="str">
        <x:v>Worker rollout, fencing and rollback runbook have execution evidence.</x:v>
      </x:c>
      <x:c r="AG19" s="43" t="str"/>
    </x:row>
    <x:row r="20" ht="36" customHeight="1">
      <x:c r="A20" s="2" t="str">
        <x:v>A13</x:v>
      </x:c>
      <x:c r="B20" s="2" t="str">
        <x:v>Worker / Azure</x:v>
      </x:c>
      <x:c r="C20" s="2" t="str">
        <x:v>Pre-holiday deployment and recovery checkpoint</x:v>
      </x:c>
      <x:c r="D20" s="22" t="str">
        <x:v>Dev 2</x:v>
      </x:c>
      <x:c r="E20" s="2" t="str">
        <x:v>A12, Q12</x:v>
      </x:c>
      <x:c r="F20" s="47" t="n">
        <x:v>66</x:v>
      </x:c>
      <x:c r="G20" s="47" t="n">
        <x:v>2</x:v>
      </x:c>
      <x:c r="H20" s="48" t="n">
        <x:v>1.5</x:v>
      </x:c>
      <x:c r="I20" s="2" t="n">
        <x:f>IF(OR(F20="",G20=""),"",F20+G20-1)</x:f>
        <x:v>67</x:v>
      </x:c>
      <x:c r="J20" s="5" t="n">
        <x:f>IF(OR(F20="",F20&lt;1,F20&gt;Calendar!$B$9),"",INDEX(Calendar!$A$16:$A$134,MATCH(F20,Calendar!$D$16:$D$134,0)))</x:f>
        <x:v>46419</x:v>
      </x:c>
      <x:c r="K20" s="5" t="n">
        <x:f>IF(OR(I20="",I20&lt;1,I20&gt;Calendar!$B$9),"",INDEX(Calendar!$A$16:$A$134,MATCH(I20,Calendar!$D$16:$D$134,0)))</x:f>
        <x:v>46420</x:v>
      </x:c>
      <x:c r="L20" s="50" t="n">
        <x:v>0</x:v>
      </x:c>
      <x:c r="M20" s="2" t="str">
        <x:f>IF(OR(F20="",G20="",H20=""),"Missing input",IF(OR(F20&lt;1,G20&lt;1,I20&gt;Calendar!$B$9),"Outside calendar",IF(F20&lt;MAX(INDEX($I$8:$I$85,MATCH("A12",$A$8:$A$85,0))+1,INDEX($I$8:$I$85,MATCH("Q12",$A$8:$A$85,0))+1),"Dependency conflict","Scheduled")))</x:f>
        <x:v>Scheduled</x:v>
      </x:c>
      <x:c r="N20" s="44" t="n">
        <x:f>IF(OR($J20="",$K20=""),"",IF(SUMIFS(Calendar!$C$16:$C$134,Calendar!$A$16:$A$134,"&gt;="&amp;MAX(N$7,$J20),Calendar!$A$16:$A$134,"&lt;="&amp;MIN(N$7+4,$K20))=0,0,IF($H20="","EXT",SUMIFS(Calendar!$C$16:$C$134,Calendar!$A$16:$A$134,"&gt;="&amp;MAX(N$7,$J20),Calendar!$A$16:$A$134,"&lt;="&amp;MIN(N$7+4,$K20))*$H20/$G20)))</x:f>
        <x:v>0</x:v>
      </x:c>
      <x:c r="O20" s="44" t="n">
        <x:f>IF(OR($J20="",$K20=""),"",IF(SUMIFS(Calendar!$C$16:$C$134,Calendar!$A$16:$A$134,"&gt;="&amp;MAX(O$7,$J20),Calendar!$A$16:$A$134,"&lt;="&amp;MIN(O$7+4,$K20))=0,0,IF($H20="","EXT",SUMIFS(Calendar!$C$16:$C$134,Calendar!$A$16:$A$134,"&gt;="&amp;MAX(O$7,$J20),Calendar!$A$16:$A$134,"&lt;="&amp;MIN(O$7+4,$K20))*$H20/$G20)))</x:f>
        <x:v>0</x:v>
      </x:c>
      <x:c r="P20" s="44" t="n">
        <x:f>IF(OR($J20="",$K20=""),"",IF(SUMIFS(Calendar!$C$16:$C$134,Calendar!$A$16:$A$134,"&gt;="&amp;MAX(P$7,$J20),Calendar!$A$16:$A$134,"&lt;="&amp;MIN(P$7+4,$K20))=0,0,IF($H20="","EXT",SUMIFS(Calendar!$C$16:$C$134,Calendar!$A$16:$A$134,"&gt;="&amp;MAX(P$7,$J20),Calendar!$A$16:$A$134,"&lt;="&amp;MIN(P$7+4,$K20))*$H20/$G20)))</x:f>
        <x:v>0</x:v>
      </x:c>
      <x:c r="Q20" s="44" t="n">
        <x:f>IF(OR($J20="",$K20=""),"",IF(SUMIFS(Calendar!$C$16:$C$134,Calendar!$A$16:$A$134,"&gt;="&amp;MAX(Q$7,$J20),Calendar!$A$16:$A$134,"&lt;="&amp;MIN(Q$7+4,$K20))=0,0,IF($H20="","EXT",SUMIFS(Calendar!$C$16:$C$134,Calendar!$A$16:$A$134,"&gt;="&amp;MAX(Q$7,$J20),Calendar!$A$16:$A$134,"&lt;="&amp;MIN(Q$7+4,$K20))*$H20/$G20)))</x:f>
        <x:v>0</x:v>
      </x:c>
      <x:c r="R20" s="44" t="n">
        <x:f>IF(OR($J20="",$K20=""),"",IF(SUMIFS(Calendar!$C$16:$C$134,Calendar!$A$16:$A$134,"&gt;="&amp;MAX(R$7,$J20),Calendar!$A$16:$A$134,"&lt;="&amp;MIN(R$7+4,$K20))=0,0,IF($H20="","EXT",SUMIFS(Calendar!$C$16:$C$134,Calendar!$A$16:$A$134,"&gt;="&amp;MAX(R$7,$J20),Calendar!$A$16:$A$134,"&lt;="&amp;MIN(R$7+4,$K20))*$H20/$G20)))</x:f>
        <x:v>0</x:v>
      </x:c>
      <x:c r="S20" s="44" t="n">
        <x:f>IF(OR($J20="",$K20=""),"",IF(SUMIFS(Calendar!$C$16:$C$134,Calendar!$A$16:$A$134,"&gt;="&amp;MAX(S$7,$J20),Calendar!$A$16:$A$134,"&lt;="&amp;MIN(S$7+4,$K20))=0,0,IF($H20="","EXT",SUMIFS(Calendar!$C$16:$C$134,Calendar!$A$16:$A$134,"&gt;="&amp;MAX(S$7,$J20),Calendar!$A$16:$A$134,"&lt;="&amp;MIN(S$7+4,$K20))*$H20/$G20)))</x:f>
        <x:v>0</x:v>
      </x:c>
      <x:c r="T20" s="44" t="n">
        <x:f>IF(OR($J20="",$K20=""),"",IF(SUMIFS(Calendar!$C$16:$C$134,Calendar!$A$16:$A$134,"&gt;="&amp;MAX(T$7,$J20),Calendar!$A$16:$A$134,"&lt;="&amp;MIN(T$7+4,$K20))=0,0,IF($H20="","EXT",SUMIFS(Calendar!$C$16:$C$134,Calendar!$A$16:$A$134,"&gt;="&amp;MAX(T$7,$J20),Calendar!$A$16:$A$134,"&lt;="&amp;MIN(T$7+4,$K20))*$H20/$G20)))</x:f>
        <x:v>0</x:v>
      </x:c>
      <x:c r="U20" s="44" t="n">
        <x:f>IF(OR($J20="",$K20=""),"",IF(SUMIFS(Calendar!$C$16:$C$134,Calendar!$A$16:$A$134,"&gt;="&amp;MAX(U$7,$J20),Calendar!$A$16:$A$134,"&lt;="&amp;MIN(U$7+4,$K20))=0,0,IF($H20="","EXT",SUMIFS(Calendar!$C$16:$C$134,Calendar!$A$16:$A$134,"&gt;="&amp;MAX(U$7,$J20),Calendar!$A$16:$A$134,"&lt;="&amp;MIN(U$7+4,$K20))*$H20/$G20)))</x:f>
        <x:v>0</x:v>
      </x:c>
      <x:c r="V20" s="44" t="n">
        <x:f>IF(OR($J20="",$K20=""),"",IF(SUMIFS(Calendar!$C$16:$C$134,Calendar!$A$16:$A$134,"&gt;="&amp;MAX(V$7,$J20),Calendar!$A$16:$A$134,"&lt;="&amp;MIN(V$7+4,$K20))=0,0,IF($H20="","EXT",SUMIFS(Calendar!$C$16:$C$134,Calendar!$A$16:$A$134,"&gt;="&amp;MAX(V$7,$J20),Calendar!$A$16:$A$134,"&lt;="&amp;MIN(V$7+4,$K20))*$H20/$G20)))</x:f>
        <x:v>0</x:v>
      </x:c>
      <x:c r="W20" s="44" t="n">
        <x:f>IF(OR($J20="",$K20=""),"",IF(SUMIFS(Calendar!$C$16:$C$134,Calendar!$A$16:$A$134,"&gt;="&amp;MAX(W$7,$J20),Calendar!$A$16:$A$134,"&lt;="&amp;MIN(W$7+4,$K20))=0,0,IF($H20="","EXT",SUMIFS(Calendar!$C$16:$C$134,Calendar!$A$16:$A$134,"&gt;="&amp;MAX(W$7,$J20),Calendar!$A$16:$A$134,"&lt;="&amp;MIN(W$7+4,$K20))*$H20/$G20)))</x:f>
        <x:v>0</x:v>
      </x:c>
      <x:c r="X20" s="44" t="n">
        <x:f>IF(OR($J20="",$K20=""),"",IF(SUMIFS(Calendar!$C$16:$C$134,Calendar!$A$16:$A$134,"&gt;="&amp;MAX(X$7,$J20),Calendar!$A$16:$A$134,"&lt;="&amp;MIN(X$7+4,$K20))=0,0,IF($H20="","EXT",SUMIFS(Calendar!$C$16:$C$134,Calendar!$A$16:$A$134,"&gt;="&amp;MAX(X$7,$J20),Calendar!$A$16:$A$134,"&lt;="&amp;MIN(X$7+4,$K20))*$H20/$G20)))</x:f>
        <x:v>0</x:v>
      </x:c>
      <x:c r="Y20" s="44" t="n">
        <x:f>IF(OR($J20="",$K20=""),"",IF(SUMIFS(Calendar!$C$16:$C$134,Calendar!$A$16:$A$134,"&gt;="&amp;MAX(Y$7,$J20),Calendar!$A$16:$A$134,"&lt;="&amp;MIN(Y$7+4,$K20))=0,0,IF($H20="","EXT",SUMIFS(Calendar!$C$16:$C$134,Calendar!$A$16:$A$134,"&gt;="&amp;MAX(Y$7,$J20),Calendar!$A$16:$A$134,"&lt;="&amp;MIN(Y$7+4,$K20))*$H20/$G20)))</x:f>
        <x:v>0</x:v>
      </x:c>
      <x:c r="Z20" s="44" t="n">
        <x:f>IF(OR($J20="",$K20=""),"",IF(SUMIFS(Calendar!$C$16:$C$134,Calendar!$A$16:$A$134,"&gt;="&amp;MAX(Z$7,$J20),Calendar!$A$16:$A$134,"&lt;="&amp;MIN(Z$7+4,$K20))=0,0,IF($H20="","EXT",SUMIFS(Calendar!$C$16:$C$134,Calendar!$A$16:$A$134,"&gt;="&amp;MAX(Z$7,$J20),Calendar!$A$16:$A$134,"&lt;="&amp;MIN(Z$7+4,$K20))*$H20/$G20)))</x:f>
        <x:v>0</x:v>
      </x:c>
      <x:c r="AA20" s="44" t="n">
        <x:f>IF(OR($J20="",$K20=""),"",IF(SUMIFS(Calendar!$C$16:$C$134,Calendar!$A$16:$A$134,"&gt;="&amp;MAX(AA$7,$J20),Calendar!$A$16:$A$134,"&lt;="&amp;MIN(AA$7+4,$K20))=0,0,IF($H20="","EXT",SUMIFS(Calendar!$C$16:$C$134,Calendar!$A$16:$A$134,"&gt;="&amp;MAX(AA$7,$J20),Calendar!$A$16:$A$134,"&lt;="&amp;MIN(AA$7+4,$K20))*$H20/$G20)))</x:f>
        <x:v>1.5</x:v>
      </x:c>
      <x:c r="AB20" s="44" t="n">
        <x:f>IF(OR($J20="",$K20=""),"",IF(SUMIFS(Calendar!$C$16:$C$134,Calendar!$A$16:$A$134,"&gt;="&amp;MAX(AB$7,$J20),Calendar!$A$16:$A$134,"&lt;="&amp;MIN(AB$7+4,$K20))=0,0,IF($H20="","EXT",SUMIFS(Calendar!$C$16:$C$134,Calendar!$A$16:$A$134,"&gt;="&amp;MAX(AB$7,$J20),Calendar!$A$16:$A$134,"&lt;="&amp;MIN(AB$7+4,$K20))*$H20/$G20)))</x:f>
        <x:v>0</x:v>
      </x:c>
      <x:c r="AC20" s="44" t="n">
        <x:f>IF(OR($J20="",$K20=""),"",IF(SUMIFS(Calendar!$C$16:$C$134,Calendar!$A$16:$A$134,"&gt;="&amp;MAX(AC$7,$J20),Calendar!$A$16:$A$134,"&lt;="&amp;MIN(AC$7+4,$K20))=0,0,IF($H20="","EXT",SUMIFS(Calendar!$C$16:$C$134,Calendar!$A$16:$A$134,"&gt;="&amp;MAX(AC$7,$J20),Calendar!$A$16:$A$134,"&lt;="&amp;MIN(AC$7+4,$K20))*$H20/$G20)))</x:f>
        <x:v>0</x:v>
      </x:c>
      <x:c r="AD20" s="44" t="n">
        <x:f>IF(OR($J20="",$K20=""),"",IF(SUMIFS(Calendar!$C$16:$C$134,Calendar!$A$16:$A$134,"&gt;="&amp;MAX(AD$7,$J20),Calendar!$A$16:$A$134,"&lt;="&amp;MIN(AD$7+4,$K20))=0,0,IF($H20="","EXT",SUMIFS(Calendar!$C$16:$C$134,Calendar!$A$16:$A$134,"&gt;="&amp;MAX(AD$7,$J20),Calendar!$A$16:$A$134,"&lt;="&amp;MIN(AD$7+4,$K20))*$H20/$G20)))</x:f>
        <x:v>0</x:v>
      </x:c>
      <x:c r="AE20" s="42" t="n">
        <x:f>IF(OR(M20&lt;&gt;"Scheduled",INDEX('Team and Gates'!$C$7:$C$11,MATCH($D20,'Team and Gates'!$A$7:$A$11,0))=""),"CHECK",SUM(N20:AD20)*INDEX('Team and Gates'!$C$7:$C$11,MATCH($D20,'Team and Gates'!$A$7:$A$11,0)))</x:f>
        <x:v>540</x:v>
      </x:c>
      <x:c r="AF20" s="43" t="str">
        <x:v>Backups, queued work and approved artifacts are checked before leave.</x:v>
      </x:c>
      <x:c r="AG20" s="43" t="str">
        <x:v>Only Feb 1–2 are working days.</x:v>
      </x:c>
    </x:row>
    <x:row r="21" ht="36" customHeight="1">
      <x:c r="A21" s="35" t="str">
        <x:v>A14</x:v>
      </x:c>
      <x:c r="B21" s="35" t="str">
        <x:v>Worker / Azure</x:v>
      </x:c>
      <x:c r="C21" s="35" t="str">
        <x:v>Post-holiday environment and integration recovery</x:v>
      </x:c>
      <x:c r="D21" s="22" t="str">
        <x:v>Dev 2</x:v>
      </x:c>
      <x:c r="E21" s="35" t="str">
        <x:v>A13</x:v>
      </x:c>
      <x:c r="F21" s="47" t="n">
        <x:v>68</x:v>
      </x:c>
      <x:c r="G21" s="47" t="n">
        <x:v>5</x:v>
      </x:c>
      <x:c r="H21" s="48" t="n">
        <x:v>4</x:v>
      </x:c>
      <x:c r="I21" s="35" t="n">
        <x:f>IF(OR(F21="",G21=""),"",F21+G21-1)</x:f>
        <x:v>72</x:v>
      </x:c>
      <x:c r="J21" s="37" t="n">
        <x:f>IF(OR(F21="",F21&lt;1,F21&gt;Calendar!$B$9),"",INDEX(Calendar!$A$16:$A$134,MATCH(F21,Calendar!$D$16:$D$134,0)))</x:f>
        <x:v>46433</x:v>
      </x:c>
      <x:c r="K21" s="37" t="n">
        <x:f>IF(OR(I21="",I21&lt;1,I21&gt;Calendar!$B$9),"",INDEX(Calendar!$A$16:$A$134,MATCH(I21,Calendar!$D$16:$D$134,0)))</x:f>
        <x:v>46437</x:v>
      </x:c>
      <x:c r="L21" s="50" t="n">
        <x:v>0</x:v>
      </x:c>
      <x:c r="M21" s="35" t="str">
        <x:f>IF(OR(F21="",G21="",H21=""),"Missing input",IF(OR(F21&lt;1,G21&lt;1,I21&gt;Calendar!$B$9),"Outside calendar",IF(F21&lt;MAX(INDEX($I$8:$I$85,MATCH("A13",$A$8:$A$85,0))+1),"Dependency conflict","Scheduled")))</x:f>
        <x:v>Scheduled</x:v>
      </x:c>
      <x:c r="N21" s="44" t="n">
        <x:f>IF(OR($J21="",$K21=""),"",IF(SUMIFS(Calendar!$C$16:$C$134,Calendar!$A$16:$A$134,"&gt;="&amp;MAX(N$7,$J21),Calendar!$A$16:$A$134,"&lt;="&amp;MIN(N$7+4,$K21))=0,0,IF($H21="","EXT",SUMIFS(Calendar!$C$16:$C$134,Calendar!$A$16:$A$134,"&gt;="&amp;MAX(N$7,$J21),Calendar!$A$16:$A$134,"&lt;="&amp;MIN(N$7+4,$K21))*$H21/$G21)))</x:f>
        <x:v>0</x:v>
      </x:c>
      <x:c r="O21" s="44" t="n">
        <x:f>IF(OR($J21="",$K21=""),"",IF(SUMIFS(Calendar!$C$16:$C$134,Calendar!$A$16:$A$134,"&gt;="&amp;MAX(O$7,$J21),Calendar!$A$16:$A$134,"&lt;="&amp;MIN(O$7+4,$K21))=0,0,IF($H21="","EXT",SUMIFS(Calendar!$C$16:$C$134,Calendar!$A$16:$A$134,"&gt;="&amp;MAX(O$7,$J21),Calendar!$A$16:$A$134,"&lt;="&amp;MIN(O$7+4,$K21))*$H21/$G21)))</x:f>
        <x:v>0</x:v>
      </x:c>
      <x:c r="P21" s="44" t="n">
        <x:f>IF(OR($J21="",$K21=""),"",IF(SUMIFS(Calendar!$C$16:$C$134,Calendar!$A$16:$A$134,"&gt;="&amp;MAX(P$7,$J21),Calendar!$A$16:$A$134,"&lt;="&amp;MIN(P$7+4,$K21))=0,0,IF($H21="","EXT",SUMIFS(Calendar!$C$16:$C$134,Calendar!$A$16:$A$134,"&gt;="&amp;MAX(P$7,$J21),Calendar!$A$16:$A$134,"&lt;="&amp;MIN(P$7+4,$K21))*$H21/$G21)))</x:f>
        <x:v>0</x:v>
      </x:c>
      <x:c r="Q21" s="44" t="n">
        <x:f>IF(OR($J21="",$K21=""),"",IF(SUMIFS(Calendar!$C$16:$C$134,Calendar!$A$16:$A$134,"&gt;="&amp;MAX(Q$7,$J21),Calendar!$A$16:$A$134,"&lt;="&amp;MIN(Q$7+4,$K21))=0,0,IF($H21="","EXT",SUMIFS(Calendar!$C$16:$C$134,Calendar!$A$16:$A$134,"&gt;="&amp;MAX(Q$7,$J21),Calendar!$A$16:$A$134,"&lt;="&amp;MIN(Q$7+4,$K21))*$H21/$G21)))</x:f>
        <x:v>0</x:v>
      </x:c>
      <x:c r="R21" s="44" t="n">
        <x:f>IF(OR($J21="",$K21=""),"",IF(SUMIFS(Calendar!$C$16:$C$134,Calendar!$A$16:$A$134,"&gt;="&amp;MAX(R$7,$J21),Calendar!$A$16:$A$134,"&lt;="&amp;MIN(R$7+4,$K21))=0,0,IF($H21="","EXT",SUMIFS(Calendar!$C$16:$C$134,Calendar!$A$16:$A$134,"&gt;="&amp;MAX(R$7,$J21),Calendar!$A$16:$A$134,"&lt;="&amp;MIN(R$7+4,$K21))*$H21/$G21)))</x:f>
        <x:v>0</x:v>
      </x:c>
      <x:c r="S21" s="44" t="n">
        <x:f>IF(OR($J21="",$K21=""),"",IF(SUMIFS(Calendar!$C$16:$C$134,Calendar!$A$16:$A$134,"&gt;="&amp;MAX(S$7,$J21),Calendar!$A$16:$A$134,"&lt;="&amp;MIN(S$7+4,$K21))=0,0,IF($H21="","EXT",SUMIFS(Calendar!$C$16:$C$134,Calendar!$A$16:$A$134,"&gt;="&amp;MAX(S$7,$J21),Calendar!$A$16:$A$134,"&lt;="&amp;MIN(S$7+4,$K21))*$H21/$G21)))</x:f>
        <x:v>0</x:v>
      </x:c>
      <x:c r="T21" s="44" t="n">
        <x:f>IF(OR($J21="",$K21=""),"",IF(SUMIFS(Calendar!$C$16:$C$134,Calendar!$A$16:$A$134,"&gt;="&amp;MAX(T$7,$J21),Calendar!$A$16:$A$134,"&lt;="&amp;MIN(T$7+4,$K21))=0,0,IF($H21="","EXT",SUMIFS(Calendar!$C$16:$C$134,Calendar!$A$16:$A$134,"&gt;="&amp;MAX(T$7,$J21),Calendar!$A$16:$A$134,"&lt;="&amp;MIN(T$7+4,$K21))*$H21/$G21)))</x:f>
        <x:v>0</x:v>
      </x:c>
      <x:c r="U21" s="44" t="n">
        <x:f>IF(OR($J21="",$K21=""),"",IF(SUMIFS(Calendar!$C$16:$C$134,Calendar!$A$16:$A$134,"&gt;="&amp;MAX(U$7,$J21),Calendar!$A$16:$A$134,"&lt;="&amp;MIN(U$7+4,$K21))=0,0,IF($H21="","EXT",SUMIFS(Calendar!$C$16:$C$134,Calendar!$A$16:$A$134,"&gt;="&amp;MAX(U$7,$J21),Calendar!$A$16:$A$134,"&lt;="&amp;MIN(U$7+4,$K21))*$H21/$G21)))</x:f>
        <x:v>0</x:v>
      </x:c>
      <x:c r="V21" s="44" t="n">
        <x:f>IF(OR($J21="",$K21=""),"",IF(SUMIFS(Calendar!$C$16:$C$134,Calendar!$A$16:$A$134,"&gt;="&amp;MAX(V$7,$J21),Calendar!$A$16:$A$134,"&lt;="&amp;MIN(V$7+4,$K21))=0,0,IF($H21="","EXT",SUMIFS(Calendar!$C$16:$C$134,Calendar!$A$16:$A$134,"&gt;="&amp;MAX(V$7,$J21),Calendar!$A$16:$A$134,"&lt;="&amp;MIN(V$7+4,$K21))*$H21/$G21)))</x:f>
        <x:v>0</x:v>
      </x:c>
      <x:c r="W21" s="44" t="n">
        <x:f>IF(OR($J21="",$K21=""),"",IF(SUMIFS(Calendar!$C$16:$C$134,Calendar!$A$16:$A$134,"&gt;="&amp;MAX(W$7,$J21),Calendar!$A$16:$A$134,"&lt;="&amp;MIN(W$7+4,$K21))=0,0,IF($H21="","EXT",SUMIFS(Calendar!$C$16:$C$134,Calendar!$A$16:$A$134,"&gt;="&amp;MAX(W$7,$J21),Calendar!$A$16:$A$134,"&lt;="&amp;MIN(W$7+4,$K21))*$H21/$G21)))</x:f>
        <x:v>0</x:v>
      </x:c>
      <x:c r="X21" s="44" t="n">
        <x:f>IF(OR($J21="",$K21=""),"",IF(SUMIFS(Calendar!$C$16:$C$134,Calendar!$A$16:$A$134,"&gt;="&amp;MAX(X$7,$J21),Calendar!$A$16:$A$134,"&lt;="&amp;MIN(X$7+4,$K21))=0,0,IF($H21="","EXT",SUMIFS(Calendar!$C$16:$C$134,Calendar!$A$16:$A$134,"&gt;="&amp;MAX(X$7,$J21),Calendar!$A$16:$A$134,"&lt;="&amp;MIN(X$7+4,$K21))*$H21/$G21)))</x:f>
        <x:v>0</x:v>
      </x:c>
      <x:c r="Y21" s="44" t="n">
        <x:f>IF(OR($J21="",$K21=""),"",IF(SUMIFS(Calendar!$C$16:$C$134,Calendar!$A$16:$A$134,"&gt;="&amp;MAX(Y$7,$J21),Calendar!$A$16:$A$134,"&lt;="&amp;MIN(Y$7+4,$K21))=0,0,IF($H21="","EXT",SUMIFS(Calendar!$C$16:$C$134,Calendar!$A$16:$A$134,"&gt;="&amp;MAX(Y$7,$J21),Calendar!$A$16:$A$134,"&lt;="&amp;MIN(Y$7+4,$K21))*$H21/$G21)))</x:f>
        <x:v>0</x:v>
      </x:c>
      <x:c r="Z21" s="44" t="n">
        <x:f>IF(OR($J21="",$K21=""),"",IF(SUMIFS(Calendar!$C$16:$C$134,Calendar!$A$16:$A$134,"&gt;="&amp;MAX(Z$7,$J21),Calendar!$A$16:$A$134,"&lt;="&amp;MIN(Z$7+4,$K21))=0,0,IF($H21="","EXT",SUMIFS(Calendar!$C$16:$C$134,Calendar!$A$16:$A$134,"&gt;="&amp;MAX(Z$7,$J21),Calendar!$A$16:$A$134,"&lt;="&amp;MIN(Z$7+4,$K21))*$H21/$G21)))</x:f>
        <x:v>0</x:v>
      </x:c>
      <x:c r="AA21" s="44" t="n">
        <x:f>IF(OR($J21="",$K21=""),"",IF(SUMIFS(Calendar!$C$16:$C$134,Calendar!$A$16:$A$134,"&gt;="&amp;MAX(AA$7,$J21),Calendar!$A$16:$A$134,"&lt;="&amp;MIN(AA$7+4,$K21))=0,0,IF($H21="","EXT",SUMIFS(Calendar!$C$16:$C$134,Calendar!$A$16:$A$134,"&gt;="&amp;MAX(AA$7,$J21),Calendar!$A$16:$A$134,"&lt;="&amp;MIN(AA$7+4,$K21))*$H21/$G21)))</x:f>
        <x:v>0</x:v>
      </x:c>
      <x:c r="AB21" s="44" t="n">
        <x:f>IF(OR($J21="",$K21=""),"",IF(SUMIFS(Calendar!$C$16:$C$134,Calendar!$A$16:$A$134,"&gt;="&amp;MAX(AB$7,$J21),Calendar!$A$16:$A$134,"&lt;="&amp;MIN(AB$7+4,$K21))=0,0,IF($H21="","EXT",SUMIFS(Calendar!$C$16:$C$134,Calendar!$A$16:$A$134,"&gt;="&amp;MAX(AB$7,$J21),Calendar!$A$16:$A$134,"&lt;="&amp;MIN(AB$7+4,$K21))*$H21/$G21)))</x:f>
        <x:v>0</x:v>
      </x:c>
      <x:c r="AC21" s="44" t="n">
        <x:f>IF(OR($J21="",$K21=""),"",IF(SUMIFS(Calendar!$C$16:$C$134,Calendar!$A$16:$A$134,"&gt;="&amp;MAX(AC$7,$J21),Calendar!$A$16:$A$134,"&lt;="&amp;MIN(AC$7+4,$K21))=0,0,IF($H21="","EXT",SUMIFS(Calendar!$C$16:$C$134,Calendar!$A$16:$A$134,"&gt;="&amp;MAX(AC$7,$J21),Calendar!$A$16:$A$134,"&lt;="&amp;MIN(AC$7+4,$K21))*$H21/$G21)))</x:f>
        <x:v>4</x:v>
      </x:c>
      <x:c r="AD21" s="44" t="n">
        <x:f>IF(OR($J21="",$K21=""),"",IF(SUMIFS(Calendar!$C$16:$C$134,Calendar!$A$16:$A$134,"&gt;="&amp;MAX(AD$7,$J21),Calendar!$A$16:$A$134,"&lt;="&amp;MIN(AD$7+4,$K21))=0,0,IF($H21="","EXT",SUMIFS(Calendar!$C$16:$C$134,Calendar!$A$16:$A$134,"&gt;="&amp;MAX(AD$7,$J21),Calendar!$A$16:$A$134,"&lt;="&amp;MIN(AD$7+4,$K21))*$H21/$G21)))</x:f>
        <x:v>0</x:v>
      </x:c>
      <x:c r="AE21" s="42" t="n">
        <x:f>IF(OR(M21&lt;&gt;"Scheduled",INDEX('Team and Gates'!$C$7:$C$11,MATCH($D21,'Team and Gates'!$A$7:$A$11,0))=""),"CHECK",SUM(N21:AD21)*INDEX('Team and Gates'!$C$7:$C$11,MATCH($D21,'Team and Gates'!$A$7:$A$11,0)))</x:f>
        <x:v>1440</x:v>
      </x:c>
      <x:c r="AF21" s="43" t="str">
        <x:v>Tokens, jobs, backlog, Graph and Foundry are revalidated after the break.</x:v>
      </x:c>
      <x:c r="AG21" s="43" t="str"/>
    </x:row>
    <x:row r="22" ht="36" customHeight="1">
      <x:c r="A22" s="2" t="str">
        <x:v>A15</x:v>
      </x:c>
      <x:c r="B22" s="2" t="str">
        <x:v>Worker / Azure</x:v>
      </x:c>
      <x:c r="C22" s="2" t="str">
        <x:v>Production rollout and operational care</x:v>
      </x:c>
      <x:c r="D22" s="22" t="str">
        <x:v>Dev 2</x:v>
      </x:c>
      <x:c r="E22" s="2" t="str">
        <x:v>A14, Q14, U14</x:v>
      </x:c>
      <x:c r="F22" s="47" t="n">
        <x:v>73</x:v>
      </x:c>
      <x:c r="G22" s="47" t="n">
        <x:v>5</x:v>
      </x:c>
      <x:c r="H22" s="48" t="n">
        <x:v>3</x:v>
      </x:c>
      <x:c r="I22" s="2" t="n">
        <x:f>IF(OR(F22="",G22=""),"",F22+G22-1)</x:f>
        <x:v>77</x:v>
      </x:c>
      <x:c r="J22" s="5" t="n">
        <x:f>IF(OR(F22="",F22&lt;1,F22&gt;Calendar!$B$9),"",INDEX(Calendar!$A$16:$A$134,MATCH(F22,Calendar!$D$16:$D$134,0)))</x:f>
        <x:v>46440</x:v>
      </x:c>
      <x:c r="K22" s="5" t="n">
        <x:f>IF(OR(I22="",I22&lt;1,I22&gt;Calendar!$B$9),"",INDEX(Calendar!$A$16:$A$134,MATCH(I22,Calendar!$D$16:$D$134,0)))</x:f>
        <x:v>46444</x:v>
      </x:c>
      <x:c r="L22" s="50" t="n">
        <x:v>0</x:v>
      </x:c>
      <x:c r="M22" s="2" t="str">
        <x:f>IF(OR(F22="",G22="",H22=""),"Missing input",IF(OR(F22&lt;1,G22&lt;1,I22&gt;Calendar!$B$9),"Outside calendar",IF(F22&lt;MAX(INDEX($I$8:$I$85,MATCH("A14",$A$8:$A$85,0))+1,INDEX($I$8:$I$85,MATCH("Q14",$A$8:$A$85,0))+1,INDEX($I$8:$I$85,MATCH("U14",$A$8:$A$85,0))+1),"Dependency conflict","Scheduled")))</x:f>
        <x:v>Scheduled</x:v>
      </x:c>
      <x:c r="N22" s="44" t="n">
        <x:f>IF(OR($J22="",$K22=""),"",IF(SUMIFS(Calendar!$C$16:$C$134,Calendar!$A$16:$A$134,"&gt;="&amp;MAX(N$7,$J22),Calendar!$A$16:$A$134,"&lt;="&amp;MIN(N$7+4,$K22))=0,0,IF($H22="","EXT",SUMIFS(Calendar!$C$16:$C$134,Calendar!$A$16:$A$134,"&gt;="&amp;MAX(N$7,$J22),Calendar!$A$16:$A$134,"&lt;="&amp;MIN(N$7+4,$K22))*$H22/$G22)))</x:f>
        <x:v>0</x:v>
      </x:c>
      <x:c r="O22" s="44" t="n">
        <x:f>IF(OR($J22="",$K22=""),"",IF(SUMIFS(Calendar!$C$16:$C$134,Calendar!$A$16:$A$134,"&gt;="&amp;MAX(O$7,$J22),Calendar!$A$16:$A$134,"&lt;="&amp;MIN(O$7+4,$K22))=0,0,IF($H22="","EXT",SUMIFS(Calendar!$C$16:$C$134,Calendar!$A$16:$A$134,"&gt;="&amp;MAX(O$7,$J22),Calendar!$A$16:$A$134,"&lt;="&amp;MIN(O$7+4,$K22))*$H22/$G22)))</x:f>
        <x:v>0</x:v>
      </x:c>
      <x:c r="P22" s="44" t="n">
        <x:f>IF(OR($J22="",$K22=""),"",IF(SUMIFS(Calendar!$C$16:$C$134,Calendar!$A$16:$A$134,"&gt;="&amp;MAX(P$7,$J22),Calendar!$A$16:$A$134,"&lt;="&amp;MIN(P$7+4,$K22))=0,0,IF($H22="","EXT",SUMIFS(Calendar!$C$16:$C$134,Calendar!$A$16:$A$134,"&gt;="&amp;MAX(P$7,$J22),Calendar!$A$16:$A$134,"&lt;="&amp;MIN(P$7+4,$K22))*$H22/$G22)))</x:f>
        <x:v>0</x:v>
      </x:c>
      <x:c r="Q22" s="44" t="n">
        <x:f>IF(OR($J22="",$K22=""),"",IF(SUMIFS(Calendar!$C$16:$C$134,Calendar!$A$16:$A$134,"&gt;="&amp;MAX(Q$7,$J22),Calendar!$A$16:$A$134,"&lt;="&amp;MIN(Q$7+4,$K22))=0,0,IF($H22="","EXT",SUMIFS(Calendar!$C$16:$C$134,Calendar!$A$16:$A$134,"&gt;="&amp;MAX(Q$7,$J22),Calendar!$A$16:$A$134,"&lt;="&amp;MIN(Q$7+4,$K22))*$H22/$G22)))</x:f>
        <x:v>0</x:v>
      </x:c>
      <x:c r="R22" s="44" t="n">
        <x:f>IF(OR($J22="",$K22=""),"",IF(SUMIFS(Calendar!$C$16:$C$134,Calendar!$A$16:$A$134,"&gt;="&amp;MAX(R$7,$J22),Calendar!$A$16:$A$134,"&lt;="&amp;MIN(R$7+4,$K22))=0,0,IF($H22="","EXT",SUMIFS(Calendar!$C$16:$C$134,Calendar!$A$16:$A$134,"&gt;="&amp;MAX(R$7,$J22),Calendar!$A$16:$A$134,"&lt;="&amp;MIN(R$7+4,$K22))*$H22/$G22)))</x:f>
        <x:v>0</x:v>
      </x:c>
      <x:c r="S22" s="44" t="n">
        <x:f>IF(OR($J22="",$K22=""),"",IF(SUMIFS(Calendar!$C$16:$C$134,Calendar!$A$16:$A$134,"&gt;="&amp;MAX(S$7,$J22),Calendar!$A$16:$A$134,"&lt;="&amp;MIN(S$7+4,$K22))=0,0,IF($H22="","EXT",SUMIFS(Calendar!$C$16:$C$134,Calendar!$A$16:$A$134,"&gt;="&amp;MAX(S$7,$J22),Calendar!$A$16:$A$134,"&lt;="&amp;MIN(S$7+4,$K22))*$H22/$G22)))</x:f>
        <x:v>0</x:v>
      </x:c>
      <x:c r="T22" s="44" t="n">
        <x:f>IF(OR($J22="",$K22=""),"",IF(SUMIFS(Calendar!$C$16:$C$134,Calendar!$A$16:$A$134,"&gt;="&amp;MAX(T$7,$J22),Calendar!$A$16:$A$134,"&lt;="&amp;MIN(T$7+4,$K22))=0,0,IF($H22="","EXT",SUMIFS(Calendar!$C$16:$C$134,Calendar!$A$16:$A$134,"&gt;="&amp;MAX(T$7,$J22),Calendar!$A$16:$A$134,"&lt;="&amp;MIN(T$7+4,$K22))*$H22/$G22)))</x:f>
        <x:v>0</x:v>
      </x:c>
      <x:c r="U22" s="44" t="n">
        <x:f>IF(OR($J22="",$K22=""),"",IF(SUMIFS(Calendar!$C$16:$C$134,Calendar!$A$16:$A$134,"&gt;="&amp;MAX(U$7,$J22),Calendar!$A$16:$A$134,"&lt;="&amp;MIN(U$7+4,$K22))=0,0,IF($H22="","EXT",SUMIFS(Calendar!$C$16:$C$134,Calendar!$A$16:$A$134,"&gt;="&amp;MAX(U$7,$J22),Calendar!$A$16:$A$134,"&lt;="&amp;MIN(U$7+4,$K22))*$H22/$G22)))</x:f>
        <x:v>0</x:v>
      </x:c>
      <x:c r="V22" s="44" t="n">
        <x:f>IF(OR($J22="",$K22=""),"",IF(SUMIFS(Calendar!$C$16:$C$134,Calendar!$A$16:$A$134,"&gt;="&amp;MAX(V$7,$J22),Calendar!$A$16:$A$134,"&lt;="&amp;MIN(V$7+4,$K22))=0,0,IF($H22="","EXT",SUMIFS(Calendar!$C$16:$C$134,Calendar!$A$16:$A$134,"&gt;="&amp;MAX(V$7,$J22),Calendar!$A$16:$A$134,"&lt;="&amp;MIN(V$7+4,$K22))*$H22/$G22)))</x:f>
        <x:v>0</x:v>
      </x:c>
      <x:c r="W22" s="44" t="n">
        <x:f>IF(OR($J22="",$K22=""),"",IF(SUMIFS(Calendar!$C$16:$C$134,Calendar!$A$16:$A$134,"&gt;="&amp;MAX(W$7,$J22),Calendar!$A$16:$A$134,"&lt;="&amp;MIN(W$7+4,$K22))=0,0,IF($H22="","EXT",SUMIFS(Calendar!$C$16:$C$134,Calendar!$A$16:$A$134,"&gt;="&amp;MAX(W$7,$J22),Calendar!$A$16:$A$134,"&lt;="&amp;MIN(W$7+4,$K22))*$H22/$G22)))</x:f>
        <x:v>0</x:v>
      </x:c>
      <x:c r="X22" s="44" t="n">
        <x:f>IF(OR($J22="",$K22=""),"",IF(SUMIFS(Calendar!$C$16:$C$134,Calendar!$A$16:$A$134,"&gt;="&amp;MAX(X$7,$J22),Calendar!$A$16:$A$134,"&lt;="&amp;MIN(X$7+4,$K22))=0,0,IF($H22="","EXT",SUMIFS(Calendar!$C$16:$C$134,Calendar!$A$16:$A$134,"&gt;="&amp;MAX(X$7,$J22),Calendar!$A$16:$A$134,"&lt;="&amp;MIN(X$7+4,$K22))*$H22/$G22)))</x:f>
        <x:v>0</x:v>
      </x:c>
      <x:c r="Y22" s="44" t="n">
        <x:f>IF(OR($J22="",$K22=""),"",IF(SUMIFS(Calendar!$C$16:$C$134,Calendar!$A$16:$A$134,"&gt;="&amp;MAX(Y$7,$J22),Calendar!$A$16:$A$134,"&lt;="&amp;MIN(Y$7+4,$K22))=0,0,IF($H22="","EXT",SUMIFS(Calendar!$C$16:$C$134,Calendar!$A$16:$A$134,"&gt;="&amp;MAX(Y$7,$J22),Calendar!$A$16:$A$134,"&lt;="&amp;MIN(Y$7+4,$K22))*$H22/$G22)))</x:f>
        <x:v>0</x:v>
      </x:c>
      <x:c r="Z22" s="44" t="n">
        <x:f>IF(OR($J22="",$K22=""),"",IF(SUMIFS(Calendar!$C$16:$C$134,Calendar!$A$16:$A$134,"&gt;="&amp;MAX(Z$7,$J22),Calendar!$A$16:$A$134,"&lt;="&amp;MIN(Z$7+4,$K22))=0,0,IF($H22="","EXT",SUMIFS(Calendar!$C$16:$C$134,Calendar!$A$16:$A$134,"&gt;="&amp;MAX(Z$7,$J22),Calendar!$A$16:$A$134,"&lt;="&amp;MIN(Z$7+4,$K22))*$H22/$G22)))</x:f>
        <x:v>0</x:v>
      </x:c>
      <x:c r="AA22" s="44" t="n">
        <x:f>IF(OR($J22="",$K22=""),"",IF(SUMIFS(Calendar!$C$16:$C$134,Calendar!$A$16:$A$134,"&gt;="&amp;MAX(AA$7,$J22),Calendar!$A$16:$A$134,"&lt;="&amp;MIN(AA$7+4,$K22))=0,0,IF($H22="","EXT",SUMIFS(Calendar!$C$16:$C$134,Calendar!$A$16:$A$134,"&gt;="&amp;MAX(AA$7,$J22),Calendar!$A$16:$A$134,"&lt;="&amp;MIN(AA$7+4,$K22))*$H22/$G22)))</x:f>
        <x:v>0</x:v>
      </x:c>
      <x:c r="AB22" s="44" t="n">
        <x:f>IF(OR($J22="",$K22=""),"",IF(SUMIFS(Calendar!$C$16:$C$134,Calendar!$A$16:$A$134,"&gt;="&amp;MAX(AB$7,$J22),Calendar!$A$16:$A$134,"&lt;="&amp;MIN(AB$7+4,$K22))=0,0,IF($H22="","EXT",SUMIFS(Calendar!$C$16:$C$134,Calendar!$A$16:$A$134,"&gt;="&amp;MAX(AB$7,$J22),Calendar!$A$16:$A$134,"&lt;="&amp;MIN(AB$7+4,$K22))*$H22/$G22)))</x:f>
        <x:v>0</x:v>
      </x:c>
      <x:c r="AC22" s="44" t="n">
        <x:f>IF(OR($J22="",$K22=""),"",IF(SUMIFS(Calendar!$C$16:$C$134,Calendar!$A$16:$A$134,"&gt;="&amp;MAX(AC$7,$J22),Calendar!$A$16:$A$134,"&lt;="&amp;MIN(AC$7+4,$K22))=0,0,IF($H22="","EXT",SUMIFS(Calendar!$C$16:$C$134,Calendar!$A$16:$A$134,"&gt;="&amp;MAX(AC$7,$J22),Calendar!$A$16:$A$134,"&lt;="&amp;MIN(AC$7+4,$K22))*$H22/$G22)))</x:f>
        <x:v>0</x:v>
      </x:c>
      <x:c r="AD22" s="44" t="n">
        <x:f>IF(OR($J22="",$K22=""),"",IF(SUMIFS(Calendar!$C$16:$C$134,Calendar!$A$16:$A$134,"&gt;="&amp;MAX(AD$7,$J22),Calendar!$A$16:$A$134,"&lt;="&amp;MIN(AD$7+4,$K22))=0,0,IF($H22="","EXT",SUMIFS(Calendar!$C$16:$C$134,Calendar!$A$16:$A$134,"&gt;="&amp;MAX(AD$7,$J22),Calendar!$A$16:$A$134,"&lt;="&amp;MIN(AD$7+4,$K22))*$H22/$G22)))</x:f>
        <x:v>3</x:v>
      </x:c>
      <x:c r="AE22" s="42" t="n">
        <x:f>IF(OR(M22&lt;&gt;"Scheduled",INDEX('Team and Gates'!$C$7:$C$11,MATCH($D22,'Team and Gates'!$A$7:$A$11,0))=""),"CHECK",SUM(N22:AD22)*INDEX('Team and Gates'!$C$7:$C$11,MATCH($D22,'Team and Gates'!$A$7:$A$11,0)))</x:f>
        <x:v>1080</x:v>
      </x:c>
      <x:c r="AF22" s="43" t="str">
        <x:v>Deploy Feb 23; observe jobs, sends, alerts and service health through Feb 26.</x:v>
      </x:c>
      <x:c r="AG22" s="43" t="str"/>
    </x:row>
    <x:row r="23" ht="36" customHeight="1">
      <x:c r="A23" s="35" t="str">
        <x:v>B01</x:v>
      </x:c>
      <x:c r="B23" s="35" t="str">
        <x:v>API / Portal</x:v>
      </x:c>
      <x:c r="C23" s="35" t="str">
        <x:v>Portal shell, API contracts and API/Portal CI</x:v>
      </x:c>
      <x:c r="D23" s="20" t="str">
        <x:v>Dev 1</x:v>
      </x:c>
      <x:c r="E23" s="35" t="str"/>
      <x:c r="F23" s="47" t="n">
        <x:v>1</x:v>
      </x:c>
      <x:c r="G23" s="47" t="n">
        <x:v>5</x:v>
      </x:c>
      <x:c r="H23" s="48" t="n">
        <x:v>4</x:v>
      </x:c>
      <x:c r="I23" s="35" t="n">
        <x:f>IF(OR(F23="",G23=""),"",F23+G23-1)</x:f>
        <x:v>5</x:v>
      </x:c>
      <x:c r="J23" s="37" t="n">
        <x:f>IF(OR(F23="",F23&lt;1,F23&gt;Calendar!$B$9),"",INDEX(Calendar!$A$16:$A$134,MATCH(F23,Calendar!$D$16:$D$134,0)))</x:f>
        <x:v>46328</x:v>
      </x:c>
      <x:c r="K23" s="37" t="n">
        <x:f>IF(OR(I23="",I23&lt;1,I23&gt;Calendar!$B$9),"",INDEX(Calendar!$A$16:$A$134,MATCH(I23,Calendar!$D$16:$D$134,0)))</x:f>
        <x:v>46332</x:v>
      </x:c>
      <x:c r="L23" s="50" t="n">
        <x:v>0</x:v>
      </x:c>
      <x:c r="M23" s="35" t="str">
        <x:f>IF(OR(F23="",G23="",H23=""),"Missing input",IF(OR(F23&lt;1,G23&lt;1,I23&gt;Calendar!$B$9),"Outside calendar",IF(F23&lt;1,"Dependency conflict","Scheduled")))</x:f>
        <x:v>Scheduled</x:v>
      </x:c>
      <x:c r="N23" s="44" t="n">
        <x:f>IF(OR($J23="",$K23=""),"",IF(SUMIFS(Calendar!$C$16:$C$134,Calendar!$A$16:$A$134,"&gt;="&amp;MAX(N$7,$J23),Calendar!$A$16:$A$134,"&lt;="&amp;MIN(N$7+4,$K23))=0,0,IF($H23="","EXT",SUMIFS(Calendar!$C$16:$C$134,Calendar!$A$16:$A$134,"&gt;="&amp;MAX(N$7,$J23),Calendar!$A$16:$A$134,"&lt;="&amp;MIN(N$7+4,$K23))*$H23/$G23)))</x:f>
        <x:v>4</x:v>
      </x:c>
      <x:c r="O23" s="44" t="n">
        <x:f>IF(OR($J23="",$K23=""),"",IF(SUMIFS(Calendar!$C$16:$C$134,Calendar!$A$16:$A$134,"&gt;="&amp;MAX(O$7,$J23),Calendar!$A$16:$A$134,"&lt;="&amp;MIN(O$7+4,$K23))=0,0,IF($H23="","EXT",SUMIFS(Calendar!$C$16:$C$134,Calendar!$A$16:$A$134,"&gt;="&amp;MAX(O$7,$J23),Calendar!$A$16:$A$134,"&lt;="&amp;MIN(O$7+4,$K23))*$H23/$G23)))</x:f>
        <x:v>0</x:v>
      </x:c>
      <x:c r="P23" s="44" t="n">
        <x:f>IF(OR($J23="",$K23=""),"",IF(SUMIFS(Calendar!$C$16:$C$134,Calendar!$A$16:$A$134,"&gt;="&amp;MAX(P$7,$J23),Calendar!$A$16:$A$134,"&lt;="&amp;MIN(P$7+4,$K23))=0,0,IF($H23="","EXT",SUMIFS(Calendar!$C$16:$C$134,Calendar!$A$16:$A$134,"&gt;="&amp;MAX(P$7,$J23),Calendar!$A$16:$A$134,"&lt;="&amp;MIN(P$7+4,$K23))*$H23/$G23)))</x:f>
        <x:v>0</x:v>
      </x:c>
      <x:c r="Q23" s="44" t="n">
        <x:f>IF(OR($J23="",$K23=""),"",IF(SUMIFS(Calendar!$C$16:$C$134,Calendar!$A$16:$A$134,"&gt;="&amp;MAX(Q$7,$J23),Calendar!$A$16:$A$134,"&lt;="&amp;MIN(Q$7+4,$K23))=0,0,IF($H23="","EXT",SUMIFS(Calendar!$C$16:$C$134,Calendar!$A$16:$A$134,"&gt;="&amp;MAX(Q$7,$J23),Calendar!$A$16:$A$134,"&lt;="&amp;MIN(Q$7+4,$K23))*$H23/$G23)))</x:f>
        <x:v>0</x:v>
      </x:c>
      <x:c r="R23" s="44" t="n">
        <x:f>IF(OR($J23="",$K23=""),"",IF(SUMIFS(Calendar!$C$16:$C$134,Calendar!$A$16:$A$134,"&gt;="&amp;MAX(R$7,$J23),Calendar!$A$16:$A$134,"&lt;="&amp;MIN(R$7+4,$K23))=0,0,IF($H23="","EXT",SUMIFS(Calendar!$C$16:$C$134,Calendar!$A$16:$A$134,"&gt;="&amp;MAX(R$7,$J23),Calendar!$A$16:$A$134,"&lt;="&amp;MIN(R$7+4,$K23))*$H23/$G23)))</x:f>
        <x:v>0</x:v>
      </x:c>
      <x:c r="S23" s="44" t="n">
        <x:f>IF(OR($J23="",$K23=""),"",IF(SUMIFS(Calendar!$C$16:$C$134,Calendar!$A$16:$A$134,"&gt;="&amp;MAX(S$7,$J23),Calendar!$A$16:$A$134,"&lt;="&amp;MIN(S$7+4,$K23))=0,0,IF($H23="","EXT",SUMIFS(Calendar!$C$16:$C$134,Calendar!$A$16:$A$134,"&gt;="&amp;MAX(S$7,$J23),Calendar!$A$16:$A$134,"&lt;="&amp;MIN(S$7+4,$K23))*$H23/$G23)))</x:f>
        <x:v>0</x:v>
      </x:c>
      <x:c r="T23" s="44" t="n">
        <x:f>IF(OR($J23="",$K23=""),"",IF(SUMIFS(Calendar!$C$16:$C$134,Calendar!$A$16:$A$134,"&gt;="&amp;MAX(T$7,$J23),Calendar!$A$16:$A$134,"&lt;="&amp;MIN(T$7+4,$K23))=0,0,IF($H23="","EXT",SUMIFS(Calendar!$C$16:$C$134,Calendar!$A$16:$A$134,"&gt;="&amp;MAX(T$7,$J23),Calendar!$A$16:$A$134,"&lt;="&amp;MIN(T$7+4,$K23))*$H23/$G23)))</x:f>
        <x:v>0</x:v>
      </x:c>
      <x:c r="U23" s="44" t="n">
        <x:f>IF(OR($J23="",$K23=""),"",IF(SUMIFS(Calendar!$C$16:$C$134,Calendar!$A$16:$A$134,"&gt;="&amp;MAX(U$7,$J23),Calendar!$A$16:$A$134,"&lt;="&amp;MIN(U$7+4,$K23))=0,0,IF($H23="","EXT",SUMIFS(Calendar!$C$16:$C$134,Calendar!$A$16:$A$134,"&gt;="&amp;MAX(U$7,$J23),Calendar!$A$16:$A$134,"&lt;="&amp;MIN(U$7+4,$K23))*$H23/$G23)))</x:f>
        <x:v>0</x:v>
      </x:c>
      <x:c r="V23" s="44" t="n">
        <x:f>IF(OR($J23="",$K23=""),"",IF(SUMIFS(Calendar!$C$16:$C$134,Calendar!$A$16:$A$134,"&gt;="&amp;MAX(V$7,$J23),Calendar!$A$16:$A$134,"&lt;="&amp;MIN(V$7+4,$K23))=0,0,IF($H23="","EXT",SUMIFS(Calendar!$C$16:$C$134,Calendar!$A$16:$A$134,"&gt;="&amp;MAX(V$7,$J23),Calendar!$A$16:$A$134,"&lt;="&amp;MIN(V$7+4,$K23))*$H23/$G23)))</x:f>
        <x:v>0</x:v>
      </x:c>
      <x:c r="W23" s="44" t="n">
        <x:f>IF(OR($J23="",$K23=""),"",IF(SUMIFS(Calendar!$C$16:$C$134,Calendar!$A$16:$A$134,"&gt;="&amp;MAX(W$7,$J23),Calendar!$A$16:$A$134,"&lt;="&amp;MIN(W$7+4,$K23))=0,0,IF($H23="","EXT",SUMIFS(Calendar!$C$16:$C$134,Calendar!$A$16:$A$134,"&gt;="&amp;MAX(W$7,$J23),Calendar!$A$16:$A$134,"&lt;="&amp;MIN(W$7+4,$K23))*$H23/$G23)))</x:f>
        <x:v>0</x:v>
      </x:c>
      <x:c r="X23" s="44" t="n">
        <x:f>IF(OR($J23="",$K23=""),"",IF(SUMIFS(Calendar!$C$16:$C$134,Calendar!$A$16:$A$134,"&gt;="&amp;MAX(X$7,$J23),Calendar!$A$16:$A$134,"&lt;="&amp;MIN(X$7+4,$K23))=0,0,IF($H23="","EXT",SUMIFS(Calendar!$C$16:$C$134,Calendar!$A$16:$A$134,"&gt;="&amp;MAX(X$7,$J23),Calendar!$A$16:$A$134,"&lt;="&amp;MIN(X$7+4,$K23))*$H23/$G23)))</x:f>
        <x:v>0</x:v>
      </x:c>
      <x:c r="Y23" s="44" t="n">
        <x:f>IF(OR($J23="",$K23=""),"",IF(SUMIFS(Calendar!$C$16:$C$134,Calendar!$A$16:$A$134,"&gt;="&amp;MAX(Y$7,$J23),Calendar!$A$16:$A$134,"&lt;="&amp;MIN(Y$7+4,$K23))=0,0,IF($H23="","EXT",SUMIFS(Calendar!$C$16:$C$134,Calendar!$A$16:$A$134,"&gt;="&amp;MAX(Y$7,$J23),Calendar!$A$16:$A$134,"&lt;="&amp;MIN(Y$7+4,$K23))*$H23/$G23)))</x:f>
        <x:v>0</x:v>
      </x:c>
      <x:c r="Z23" s="44" t="n">
        <x:f>IF(OR($J23="",$K23=""),"",IF(SUMIFS(Calendar!$C$16:$C$134,Calendar!$A$16:$A$134,"&gt;="&amp;MAX(Z$7,$J23),Calendar!$A$16:$A$134,"&lt;="&amp;MIN(Z$7+4,$K23))=0,0,IF($H23="","EXT",SUMIFS(Calendar!$C$16:$C$134,Calendar!$A$16:$A$134,"&gt;="&amp;MAX(Z$7,$J23),Calendar!$A$16:$A$134,"&lt;="&amp;MIN(Z$7+4,$K23))*$H23/$G23)))</x:f>
        <x:v>0</x:v>
      </x:c>
      <x:c r="AA23" s="44" t="n">
        <x:f>IF(OR($J23="",$K23=""),"",IF(SUMIFS(Calendar!$C$16:$C$134,Calendar!$A$16:$A$134,"&gt;="&amp;MAX(AA$7,$J23),Calendar!$A$16:$A$134,"&lt;="&amp;MIN(AA$7+4,$K23))=0,0,IF($H23="","EXT",SUMIFS(Calendar!$C$16:$C$134,Calendar!$A$16:$A$134,"&gt;="&amp;MAX(AA$7,$J23),Calendar!$A$16:$A$134,"&lt;="&amp;MIN(AA$7+4,$K23))*$H23/$G23)))</x:f>
        <x:v>0</x:v>
      </x:c>
      <x:c r="AB23" s="44" t="n">
        <x:f>IF(OR($J23="",$K23=""),"",IF(SUMIFS(Calendar!$C$16:$C$134,Calendar!$A$16:$A$134,"&gt;="&amp;MAX(AB$7,$J23),Calendar!$A$16:$A$134,"&lt;="&amp;MIN(AB$7+4,$K23))=0,0,IF($H23="","EXT",SUMIFS(Calendar!$C$16:$C$134,Calendar!$A$16:$A$134,"&gt;="&amp;MAX(AB$7,$J23),Calendar!$A$16:$A$134,"&lt;="&amp;MIN(AB$7+4,$K23))*$H23/$G23)))</x:f>
        <x:v>0</x:v>
      </x:c>
      <x:c r="AC23" s="44" t="n">
        <x:f>IF(OR($J23="",$K23=""),"",IF(SUMIFS(Calendar!$C$16:$C$134,Calendar!$A$16:$A$134,"&gt;="&amp;MAX(AC$7,$J23),Calendar!$A$16:$A$134,"&lt;="&amp;MIN(AC$7+4,$K23))=0,0,IF($H23="","EXT",SUMIFS(Calendar!$C$16:$C$134,Calendar!$A$16:$A$134,"&gt;="&amp;MAX(AC$7,$J23),Calendar!$A$16:$A$134,"&lt;="&amp;MIN(AC$7+4,$K23))*$H23/$G23)))</x:f>
        <x:v>0</x:v>
      </x:c>
      <x:c r="AD23" s="44" t="n">
        <x:f>IF(OR($J23="",$K23=""),"",IF(SUMIFS(Calendar!$C$16:$C$134,Calendar!$A$16:$A$134,"&gt;="&amp;MAX(AD$7,$J23),Calendar!$A$16:$A$134,"&lt;="&amp;MIN(AD$7+4,$K23))=0,0,IF($H23="","EXT",SUMIFS(Calendar!$C$16:$C$134,Calendar!$A$16:$A$134,"&gt;="&amp;MAX(AD$7,$J23),Calendar!$A$16:$A$134,"&lt;="&amp;MIN(AD$7+4,$K23))*$H23/$G23)))</x:f>
        <x:v>0</x:v>
      </x:c>
      <x:c r="AE23" s="42" t="n">
        <x:f>IF(OR(M23&lt;&gt;"Scheduled",INDEX('Team and Gates'!$C$7:$C$11,MATCH($D23,'Team and Gates'!$A$7:$A$11,0))=""),"CHECK",SUM(N23:AD23)*INDEX('Team and Gates'!$C$7:$C$11,MATCH($D23,'Team and Gates'!$A$7:$A$11,0)))</x:f>
        <x:v>1440</x:v>
      </x:c>
      <x:c r="AF23" s="43" t="str">
        <x:v>Portal and API build/deploy pipelines run; domain contracts are agreed.</x:v>
      </x:c>
      <x:c r="AG23" s="43" t="str"/>
    </x:row>
    <x:row r="24" ht="36" customHeight="1">
      <x:c r="A24" s="2" t="str">
        <x:v>B02</x:v>
      </x:c>
      <x:c r="B24" s="2" t="str">
        <x:v>API / Portal</x:v>
      </x:c>
      <x:c r="C24" s="2" t="str">
        <x:v>Okta session and resource-authorized Case API</x:v>
      </x:c>
      <x:c r="D24" s="20" t="str">
        <x:v>Dev 1</x:v>
      </x:c>
      <x:c r="E24" s="2" t="str">
        <x:v>B01, A01, E01</x:v>
      </x:c>
      <x:c r="F24" s="47" t="n">
        <x:v>6</x:v>
      </x:c>
      <x:c r="G24" s="47" t="n">
        <x:v>5</x:v>
      </x:c>
      <x:c r="H24" s="48" t="n">
        <x:v>4</x:v>
      </x:c>
      <x:c r="I24" s="2" t="n">
        <x:f>IF(OR(F24="",G24=""),"",F24+G24-1)</x:f>
        <x:v>10</x:v>
      </x:c>
      <x:c r="J24" s="5" t="n">
        <x:f>IF(OR(F24="",F24&lt;1,F24&gt;Calendar!$B$9),"",INDEX(Calendar!$A$16:$A$134,MATCH(F24,Calendar!$D$16:$D$134,0)))</x:f>
        <x:v>46335</x:v>
      </x:c>
      <x:c r="K24" s="5" t="n">
        <x:f>IF(OR(I24="",I24&lt;1,I24&gt;Calendar!$B$9),"",INDEX(Calendar!$A$16:$A$134,MATCH(I24,Calendar!$D$16:$D$134,0)))</x:f>
        <x:v>46339</x:v>
      </x:c>
      <x:c r="L24" s="50" t="n">
        <x:v>0</x:v>
      </x:c>
      <x:c r="M24" s="2" t="str">
        <x:f>IF(OR(F24="",G24="",H24=""),"Missing input",IF(OR(F24&lt;1,G24&lt;1,I24&gt;Calendar!$B$9),"Outside calendar",IF(F24&lt;MAX(INDEX($I$8:$I$85,MATCH("B01",$A$8:$A$85,0))+1,INDEX($I$8:$I$85,MATCH("A01",$A$8:$A$85,0))+1,INDEX($I$8:$I$85,MATCH("E01",$A$8:$A$85,0))+1),"Dependency conflict","Scheduled")))</x:f>
        <x:v>Scheduled</x:v>
      </x:c>
      <x:c r="N24" s="44" t="n">
        <x:f>IF(OR($J24="",$K24=""),"",IF(SUMIFS(Calendar!$C$16:$C$134,Calendar!$A$16:$A$134,"&gt;="&amp;MAX(N$7,$J24),Calendar!$A$16:$A$134,"&lt;="&amp;MIN(N$7+4,$K24))=0,0,IF($H24="","EXT",SUMIFS(Calendar!$C$16:$C$134,Calendar!$A$16:$A$134,"&gt;="&amp;MAX(N$7,$J24),Calendar!$A$16:$A$134,"&lt;="&amp;MIN(N$7+4,$K24))*$H24/$G24)))</x:f>
        <x:v>0</x:v>
      </x:c>
      <x:c r="O24" s="44" t="n">
        <x:f>IF(OR($J24="",$K24=""),"",IF(SUMIFS(Calendar!$C$16:$C$134,Calendar!$A$16:$A$134,"&gt;="&amp;MAX(O$7,$J24),Calendar!$A$16:$A$134,"&lt;="&amp;MIN(O$7+4,$K24))=0,0,IF($H24="","EXT",SUMIFS(Calendar!$C$16:$C$134,Calendar!$A$16:$A$134,"&gt;="&amp;MAX(O$7,$J24),Calendar!$A$16:$A$134,"&lt;="&amp;MIN(O$7+4,$K24))*$H24/$G24)))</x:f>
        <x:v>4</x:v>
      </x:c>
      <x:c r="P24" s="44" t="n">
        <x:f>IF(OR($J24="",$K24=""),"",IF(SUMIFS(Calendar!$C$16:$C$134,Calendar!$A$16:$A$134,"&gt;="&amp;MAX(P$7,$J24),Calendar!$A$16:$A$134,"&lt;="&amp;MIN(P$7+4,$K24))=0,0,IF($H24="","EXT",SUMIFS(Calendar!$C$16:$C$134,Calendar!$A$16:$A$134,"&gt;="&amp;MAX(P$7,$J24),Calendar!$A$16:$A$134,"&lt;="&amp;MIN(P$7+4,$K24))*$H24/$G24)))</x:f>
        <x:v>0</x:v>
      </x:c>
      <x:c r="Q24" s="44" t="n">
        <x:f>IF(OR($J24="",$K24=""),"",IF(SUMIFS(Calendar!$C$16:$C$134,Calendar!$A$16:$A$134,"&gt;="&amp;MAX(Q$7,$J24),Calendar!$A$16:$A$134,"&lt;="&amp;MIN(Q$7+4,$K24))=0,0,IF($H24="","EXT",SUMIFS(Calendar!$C$16:$C$134,Calendar!$A$16:$A$134,"&gt;="&amp;MAX(Q$7,$J24),Calendar!$A$16:$A$134,"&lt;="&amp;MIN(Q$7+4,$K24))*$H24/$G24)))</x:f>
        <x:v>0</x:v>
      </x:c>
      <x:c r="R24" s="44" t="n">
        <x:f>IF(OR($J24="",$K24=""),"",IF(SUMIFS(Calendar!$C$16:$C$134,Calendar!$A$16:$A$134,"&gt;="&amp;MAX(R$7,$J24),Calendar!$A$16:$A$134,"&lt;="&amp;MIN(R$7+4,$K24))=0,0,IF($H24="","EXT",SUMIFS(Calendar!$C$16:$C$134,Calendar!$A$16:$A$134,"&gt;="&amp;MAX(R$7,$J24),Calendar!$A$16:$A$134,"&lt;="&amp;MIN(R$7+4,$K24))*$H24/$G24)))</x:f>
        <x:v>0</x:v>
      </x:c>
      <x:c r="S24" s="44" t="n">
        <x:f>IF(OR($J24="",$K24=""),"",IF(SUMIFS(Calendar!$C$16:$C$134,Calendar!$A$16:$A$134,"&gt;="&amp;MAX(S$7,$J24),Calendar!$A$16:$A$134,"&lt;="&amp;MIN(S$7+4,$K24))=0,0,IF($H24="","EXT",SUMIFS(Calendar!$C$16:$C$134,Calendar!$A$16:$A$134,"&gt;="&amp;MAX(S$7,$J24),Calendar!$A$16:$A$134,"&lt;="&amp;MIN(S$7+4,$K24))*$H24/$G24)))</x:f>
        <x:v>0</x:v>
      </x:c>
      <x:c r="T24" s="44" t="n">
        <x:f>IF(OR($J24="",$K24=""),"",IF(SUMIFS(Calendar!$C$16:$C$134,Calendar!$A$16:$A$134,"&gt;="&amp;MAX(T$7,$J24),Calendar!$A$16:$A$134,"&lt;="&amp;MIN(T$7+4,$K24))=0,0,IF($H24="","EXT",SUMIFS(Calendar!$C$16:$C$134,Calendar!$A$16:$A$134,"&gt;="&amp;MAX(T$7,$J24),Calendar!$A$16:$A$134,"&lt;="&amp;MIN(T$7+4,$K24))*$H24/$G24)))</x:f>
        <x:v>0</x:v>
      </x:c>
      <x:c r="U24" s="44" t="n">
        <x:f>IF(OR($J24="",$K24=""),"",IF(SUMIFS(Calendar!$C$16:$C$134,Calendar!$A$16:$A$134,"&gt;="&amp;MAX(U$7,$J24),Calendar!$A$16:$A$134,"&lt;="&amp;MIN(U$7+4,$K24))=0,0,IF($H24="","EXT",SUMIFS(Calendar!$C$16:$C$134,Calendar!$A$16:$A$134,"&gt;="&amp;MAX(U$7,$J24),Calendar!$A$16:$A$134,"&lt;="&amp;MIN(U$7+4,$K24))*$H24/$G24)))</x:f>
        <x:v>0</x:v>
      </x:c>
      <x:c r="V24" s="44" t="n">
        <x:f>IF(OR($J24="",$K24=""),"",IF(SUMIFS(Calendar!$C$16:$C$134,Calendar!$A$16:$A$134,"&gt;="&amp;MAX(V$7,$J24),Calendar!$A$16:$A$134,"&lt;="&amp;MIN(V$7+4,$K24))=0,0,IF($H24="","EXT",SUMIFS(Calendar!$C$16:$C$134,Calendar!$A$16:$A$134,"&gt;="&amp;MAX(V$7,$J24),Calendar!$A$16:$A$134,"&lt;="&amp;MIN(V$7+4,$K24))*$H24/$G24)))</x:f>
        <x:v>0</x:v>
      </x:c>
      <x:c r="W24" s="44" t="n">
        <x:f>IF(OR($J24="",$K24=""),"",IF(SUMIFS(Calendar!$C$16:$C$134,Calendar!$A$16:$A$134,"&gt;="&amp;MAX(W$7,$J24),Calendar!$A$16:$A$134,"&lt;="&amp;MIN(W$7+4,$K24))=0,0,IF($H24="","EXT",SUMIFS(Calendar!$C$16:$C$134,Calendar!$A$16:$A$134,"&gt;="&amp;MAX(W$7,$J24),Calendar!$A$16:$A$134,"&lt;="&amp;MIN(W$7+4,$K24))*$H24/$G24)))</x:f>
        <x:v>0</x:v>
      </x:c>
      <x:c r="X24" s="44" t="n">
        <x:f>IF(OR($J24="",$K24=""),"",IF(SUMIFS(Calendar!$C$16:$C$134,Calendar!$A$16:$A$134,"&gt;="&amp;MAX(X$7,$J24),Calendar!$A$16:$A$134,"&lt;="&amp;MIN(X$7+4,$K24))=0,0,IF($H24="","EXT",SUMIFS(Calendar!$C$16:$C$134,Calendar!$A$16:$A$134,"&gt;="&amp;MAX(X$7,$J24),Calendar!$A$16:$A$134,"&lt;="&amp;MIN(X$7+4,$K24))*$H24/$G24)))</x:f>
        <x:v>0</x:v>
      </x:c>
      <x:c r="Y24" s="44" t="n">
        <x:f>IF(OR($J24="",$K24=""),"",IF(SUMIFS(Calendar!$C$16:$C$134,Calendar!$A$16:$A$134,"&gt;="&amp;MAX(Y$7,$J24),Calendar!$A$16:$A$134,"&lt;="&amp;MIN(Y$7+4,$K24))=0,0,IF($H24="","EXT",SUMIFS(Calendar!$C$16:$C$134,Calendar!$A$16:$A$134,"&gt;="&amp;MAX(Y$7,$J24),Calendar!$A$16:$A$134,"&lt;="&amp;MIN(Y$7+4,$K24))*$H24/$G24)))</x:f>
        <x:v>0</x:v>
      </x:c>
      <x:c r="Z24" s="44" t="n">
        <x:f>IF(OR($J24="",$K24=""),"",IF(SUMIFS(Calendar!$C$16:$C$134,Calendar!$A$16:$A$134,"&gt;="&amp;MAX(Z$7,$J24),Calendar!$A$16:$A$134,"&lt;="&amp;MIN(Z$7+4,$K24))=0,0,IF($H24="","EXT",SUMIFS(Calendar!$C$16:$C$134,Calendar!$A$16:$A$134,"&gt;="&amp;MAX(Z$7,$J24),Calendar!$A$16:$A$134,"&lt;="&amp;MIN(Z$7+4,$K24))*$H24/$G24)))</x:f>
        <x:v>0</x:v>
      </x:c>
      <x:c r="AA24" s="44" t="n">
        <x:f>IF(OR($J24="",$K24=""),"",IF(SUMIFS(Calendar!$C$16:$C$134,Calendar!$A$16:$A$134,"&gt;="&amp;MAX(AA$7,$J24),Calendar!$A$16:$A$134,"&lt;="&amp;MIN(AA$7+4,$K24))=0,0,IF($H24="","EXT",SUMIFS(Calendar!$C$16:$C$134,Calendar!$A$16:$A$134,"&gt;="&amp;MAX(AA$7,$J24),Calendar!$A$16:$A$134,"&lt;="&amp;MIN(AA$7+4,$K24))*$H24/$G24)))</x:f>
        <x:v>0</x:v>
      </x:c>
      <x:c r="AB24" s="44" t="n">
        <x:f>IF(OR($J24="",$K24=""),"",IF(SUMIFS(Calendar!$C$16:$C$134,Calendar!$A$16:$A$134,"&gt;="&amp;MAX(AB$7,$J24),Calendar!$A$16:$A$134,"&lt;="&amp;MIN(AB$7+4,$K24))=0,0,IF($H24="","EXT",SUMIFS(Calendar!$C$16:$C$134,Calendar!$A$16:$A$134,"&gt;="&amp;MAX(AB$7,$J24),Calendar!$A$16:$A$134,"&lt;="&amp;MIN(AB$7+4,$K24))*$H24/$G24)))</x:f>
        <x:v>0</x:v>
      </x:c>
      <x:c r="AC24" s="44" t="n">
        <x:f>IF(OR($J24="",$K24=""),"",IF(SUMIFS(Calendar!$C$16:$C$134,Calendar!$A$16:$A$134,"&gt;="&amp;MAX(AC$7,$J24),Calendar!$A$16:$A$134,"&lt;="&amp;MIN(AC$7+4,$K24))=0,0,IF($H24="","EXT",SUMIFS(Calendar!$C$16:$C$134,Calendar!$A$16:$A$134,"&gt;="&amp;MAX(AC$7,$J24),Calendar!$A$16:$A$134,"&lt;="&amp;MIN(AC$7+4,$K24))*$H24/$G24)))</x:f>
        <x:v>0</x:v>
      </x:c>
      <x:c r="AD24" s="44" t="n">
        <x:f>IF(OR($J24="",$K24=""),"",IF(SUMIFS(Calendar!$C$16:$C$134,Calendar!$A$16:$A$134,"&gt;="&amp;MAX(AD$7,$J24),Calendar!$A$16:$A$134,"&lt;="&amp;MIN(AD$7+4,$K24))=0,0,IF($H24="","EXT",SUMIFS(Calendar!$C$16:$C$134,Calendar!$A$16:$A$134,"&gt;="&amp;MAX(AD$7,$J24),Calendar!$A$16:$A$134,"&lt;="&amp;MIN(AD$7+4,$K24))*$H24/$G24)))</x:f>
        <x:v>0</x:v>
      </x:c>
      <x:c r="AE24" s="42" t="n">
        <x:f>IF(OR(M24&lt;&gt;"Scheduled",INDEX('Team and Gates'!$C$7:$C$11,MATCH($D24,'Team and Gates'!$A$7:$A$11,0))=""),"CHECK",SUM(N24:AD24)*INDEX('Team and Gates'!$C$7:$C$11,MATCH($D24,'Team and Gates'!$A$7:$A$11,0)))</x:f>
        <x:v>1440</x:v>
      </x:c>
      <x:c r="AF24" s="43" t="str">
        <x:v>User, BU, Case and source access are enforced at every API entry.</x:v>
      </x:c>
      <x:c r="AG24" s="43" t="str"/>
    </x:row>
    <x:row r="25" ht="36" customHeight="1">
      <x:c r="A25" s="35" t="str">
        <x:v>B03</x:v>
      </x:c>
      <x:c r="B25" s="35" t="str">
        <x:v>API / Portal</x:v>
      </x:c>
      <x:c r="C25" s="35" t="str">
        <x:v>Case workspace, open items and offline updates</x:v>
      </x:c>
      <x:c r="D25" s="20" t="str">
        <x:v>Dev 1</x:v>
      </x:c>
      <x:c r="E25" s="35" t="str">
        <x:v>B02</x:v>
      </x:c>
      <x:c r="F25" s="47" t="n">
        <x:v>11</x:v>
      </x:c>
      <x:c r="G25" s="47" t="n">
        <x:v>5</x:v>
      </x:c>
      <x:c r="H25" s="48" t="n">
        <x:v>4</x:v>
      </x:c>
      <x:c r="I25" s="35" t="n">
        <x:f>IF(OR(F25="",G25=""),"",F25+G25-1)</x:f>
        <x:v>15</x:v>
      </x:c>
      <x:c r="J25" s="37" t="n">
        <x:f>IF(OR(F25="",F25&lt;1,F25&gt;Calendar!$B$9),"",INDEX(Calendar!$A$16:$A$134,MATCH(F25,Calendar!$D$16:$D$134,0)))</x:f>
        <x:v>46342</x:v>
      </x:c>
      <x:c r="K25" s="37" t="n">
        <x:f>IF(OR(I25="",I25&lt;1,I25&gt;Calendar!$B$9),"",INDEX(Calendar!$A$16:$A$134,MATCH(I25,Calendar!$D$16:$D$134,0)))</x:f>
        <x:v>46346</x:v>
      </x:c>
      <x:c r="L25" s="50" t="n">
        <x:v>0</x:v>
      </x:c>
      <x:c r="M25" s="35" t="str">
        <x:f>IF(OR(F25="",G25="",H25=""),"Missing input",IF(OR(F25&lt;1,G25&lt;1,I25&gt;Calendar!$B$9),"Outside calendar",IF(F25&lt;MAX(INDEX($I$8:$I$85,MATCH("B02",$A$8:$A$85,0))+1),"Dependency conflict","Scheduled")))</x:f>
        <x:v>Scheduled</x:v>
      </x:c>
      <x:c r="N25" s="44" t="n">
        <x:f>IF(OR($J25="",$K25=""),"",IF(SUMIFS(Calendar!$C$16:$C$134,Calendar!$A$16:$A$134,"&gt;="&amp;MAX(N$7,$J25),Calendar!$A$16:$A$134,"&lt;="&amp;MIN(N$7+4,$K25))=0,0,IF($H25="","EXT",SUMIFS(Calendar!$C$16:$C$134,Calendar!$A$16:$A$134,"&gt;="&amp;MAX(N$7,$J25),Calendar!$A$16:$A$134,"&lt;="&amp;MIN(N$7+4,$K25))*$H25/$G25)))</x:f>
        <x:v>0</x:v>
      </x:c>
      <x:c r="O25" s="44" t="n">
        <x:f>IF(OR($J25="",$K25=""),"",IF(SUMIFS(Calendar!$C$16:$C$134,Calendar!$A$16:$A$134,"&gt;="&amp;MAX(O$7,$J25),Calendar!$A$16:$A$134,"&lt;="&amp;MIN(O$7+4,$K25))=0,0,IF($H25="","EXT",SUMIFS(Calendar!$C$16:$C$134,Calendar!$A$16:$A$134,"&gt;="&amp;MAX(O$7,$J25),Calendar!$A$16:$A$134,"&lt;="&amp;MIN(O$7+4,$K25))*$H25/$G25)))</x:f>
        <x:v>0</x:v>
      </x:c>
      <x:c r="P25" s="44" t="n">
        <x:f>IF(OR($J25="",$K25=""),"",IF(SUMIFS(Calendar!$C$16:$C$134,Calendar!$A$16:$A$134,"&gt;="&amp;MAX(P$7,$J25),Calendar!$A$16:$A$134,"&lt;="&amp;MIN(P$7+4,$K25))=0,0,IF($H25="","EXT",SUMIFS(Calendar!$C$16:$C$134,Calendar!$A$16:$A$134,"&gt;="&amp;MAX(P$7,$J25),Calendar!$A$16:$A$134,"&lt;="&amp;MIN(P$7+4,$K25))*$H25/$G25)))</x:f>
        <x:v>4</x:v>
      </x:c>
      <x:c r="Q25" s="44" t="n">
        <x:f>IF(OR($J25="",$K25=""),"",IF(SUMIFS(Calendar!$C$16:$C$134,Calendar!$A$16:$A$134,"&gt;="&amp;MAX(Q$7,$J25),Calendar!$A$16:$A$134,"&lt;="&amp;MIN(Q$7+4,$K25))=0,0,IF($H25="","EXT",SUMIFS(Calendar!$C$16:$C$134,Calendar!$A$16:$A$134,"&gt;="&amp;MAX(Q$7,$J25),Calendar!$A$16:$A$134,"&lt;="&amp;MIN(Q$7+4,$K25))*$H25/$G25)))</x:f>
        <x:v>0</x:v>
      </x:c>
      <x:c r="R25" s="44" t="n">
        <x:f>IF(OR($J25="",$K25=""),"",IF(SUMIFS(Calendar!$C$16:$C$134,Calendar!$A$16:$A$134,"&gt;="&amp;MAX(R$7,$J25),Calendar!$A$16:$A$134,"&lt;="&amp;MIN(R$7+4,$K25))=0,0,IF($H25="","EXT",SUMIFS(Calendar!$C$16:$C$134,Calendar!$A$16:$A$134,"&gt;="&amp;MAX(R$7,$J25),Calendar!$A$16:$A$134,"&lt;="&amp;MIN(R$7+4,$K25))*$H25/$G25)))</x:f>
        <x:v>0</x:v>
      </x:c>
      <x:c r="S25" s="44" t="n">
        <x:f>IF(OR($J25="",$K25=""),"",IF(SUMIFS(Calendar!$C$16:$C$134,Calendar!$A$16:$A$134,"&gt;="&amp;MAX(S$7,$J25),Calendar!$A$16:$A$134,"&lt;="&amp;MIN(S$7+4,$K25))=0,0,IF($H25="","EXT",SUMIFS(Calendar!$C$16:$C$134,Calendar!$A$16:$A$134,"&gt;="&amp;MAX(S$7,$J25),Calendar!$A$16:$A$134,"&lt;="&amp;MIN(S$7+4,$K25))*$H25/$G25)))</x:f>
        <x:v>0</x:v>
      </x:c>
      <x:c r="T25" s="44" t="n">
        <x:f>IF(OR($J25="",$K25=""),"",IF(SUMIFS(Calendar!$C$16:$C$134,Calendar!$A$16:$A$134,"&gt;="&amp;MAX(T$7,$J25),Calendar!$A$16:$A$134,"&lt;="&amp;MIN(T$7+4,$K25))=0,0,IF($H25="","EXT",SUMIFS(Calendar!$C$16:$C$134,Calendar!$A$16:$A$134,"&gt;="&amp;MAX(T$7,$J25),Calendar!$A$16:$A$134,"&lt;="&amp;MIN(T$7+4,$K25))*$H25/$G25)))</x:f>
        <x:v>0</x:v>
      </x:c>
      <x:c r="U25" s="44" t="n">
        <x:f>IF(OR($J25="",$K25=""),"",IF(SUMIFS(Calendar!$C$16:$C$134,Calendar!$A$16:$A$134,"&gt;="&amp;MAX(U$7,$J25),Calendar!$A$16:$A$134,"&lt;="&amp;MIN(U$7+4,$K25))=0,0,IF($H25="","EXT",SUMIFS(Calendar!$C$16:$C$134,Calendar!$A$16:$A$134,"&gt;="&amp;MAX(U$7,$J25),Calendar!$A$16:$A$134,"&lt;="&amp;MIN(U$7+4,$K25))*$H25/$G25)))</x:f>
        <x:v>0</x:v>
      </x:c>
      <x:c r="V25" s="44" t="n">
        <x:f>IF(OR($J25="",$K25=""),"",IF(SUMIFS(Calendar!$C$16:$C$134,Calendar!$A$16:$A$134,"&gt;="&amp;MAX(V$7,$J25),Calendar!$A$16:$A$134,"&lt;="&amp;MIN(V$7+4,$K25))=0,0,IF($H25="","EXT",SUMIFS(Calendar!$C$16:$C$134,Calendar!$A$16:$A$134,"&gt;="&amp;MAX(V$7,$J25),Calendar!$A$16:$A$134,"&lt;="&amp;MIN(V$7+4,$K25))*$H25/$G25)))</x:f>
        <x:v>0</x:v>
      </x:c>
      <x:c r="W25" s="44" t="n">
        <x:f>IF(OR($J25="",$K25=""),"",IF(SUMIFS(Calendar!$C$16:$C$134,Calendar!$A$16:$A$134,"&gt;="&amp;MAX(W$7,$J25),Calendar!$A$16:$A$134,"&lt;="&amp;MIN(W$7+4,$K25))=0,0,IF($H25="","EXT",SUMIFS(Calendar!$C$16:$C$134,Calendar!$A$16:$A$134,"&gt;="&amp;MAX(W$7,$J25),Calendar!$A$16:$A$134,"&lt;="&amp;MIN(W$7+4,$K25))*$H25/$G25)))</x:f>
        <x:v>0</x:v>
      </x:c>
      <x:c r="X25" s="44" t="n">
        <x:f>IF(OR($J25="",$K25=""),"",IF(SUMIFS(Calendar!$C$16:$C$134,Calendar!$A$16:$A$134,"&gt;="&amp;MAX(X$7,$J25),Calendar!$A$16:$A$134,"&lt;="&amp;MIN(X$7+4,$K25))=0,0,IF($H25="","EXT",SUMIFS(Calendar!$C$16:$C$134,Calendar!$A$16:$A$134,"&gt;="&amp;MAX(X$7,$J25),Calendar!$A$16:$A$134,"&lt;="&amp;MIN(X$7+4,$K25))*$H25/$G25)))</x:f>
        <x:v>0</x:v>
      </x:c>
      <x:c r="Y25" s="44" t="n">
        <x:f>IF(OR($J25="",$K25=""),"",IF(SUMIFS(Calendar!$C$16:$C$134,Calendar!$A$16:$A$134,"&gt;="&amp;MAX(Y$7,$J25),Calendar!$A$16:$A$134,"&lt;="&amp;MIN(Y$7+4,$K25))=0,0,IF($H25="","EXT",SUMIFS(Calendar!$C$16:$C$134,Calendar!$A$16:$A$134,"&gt;="&amp;MAX(Y$7,$J25),Calendar!$A$16:$A$134,"&lt;="&amp;MIN(Y$7+4,$K25))*$H25/$G25)))</x:f>
        <x:v>0</x:v>
      </x:c>
      <x:c r="Z25" s="44" t="n">
        <x:f>IF(OR($J25="",$K25=""),"",IF(SUMIFS(Calendar!$C$16:$C$134,Calendar!$A$16:$A$134,"&gt;="&amp;MAX(Z$7,$J25),Calendar!$A$16:$A$134,"&lt;="&amp;MIN(Z$7+4,$K25))=0,0,IF($H25="","EXT",SUMIFS(Calendar!$C$16:$C$134,Calendar!$A$16:$A$134,"&gt;="&amp;MAX(Z$7,$J25),Calendar!$A$16:$A$134,"&lt;="&amp;MIN(Z$7+4,$K25))*$H25/$G25)))</x:f>
        <x:v>0</x:v>
      </x:c>
      <x:c r="AA25" s="44" t="n">
        <x:f>IF(OR($J25="",$K25=""),"",IF(SUMIFS(Calendar!$C$16:$C$134,Calendar!$A$16:$A$134,"&gt;="&amp;MAX(AA$7,$J25),Calendar!$A$16:$A$134,"&lt;="&amp;MIN(AA$7+4,$K25))=0,0,IF($H25="","EXT",SUMIFS(Calendar!$C$16:$C$134,Calendar!$A$16:$A$134,"&gt;="&amp;MAX(AA$7,$J25),Calendar!$A$16:$A$134,"&lt;="&amp;MIN(AA$7+4,$K25))*$H25/$G25)))</x:f>
        <x:v>0</x:v>
      </x:c>
      <x:c r="AB25" s="44" t="n">
        <x:f>IF(OR($J25="",$K25=""),"",IF(SUMIFS(Calendar!$C$16:$C$134,Calendar!$A$16:$A$134,"&gt;="&amp;MAX(AB$7,$J25),Calendar!$A$16:$A$134,"&lt;="&amp;MIN(AB$7+4,$K25))=0,0,IF($H25="","EXT",SUMIFS(Calendar!$C$16:$C$134,Calendar!$A$16:$A$134,"&gt;="&amp;MAX(AB$7,$J25),Calendar!$A$16:$A$134,"&lt;="&amp;MIN(AB$7+4,$K25))*$H25/$G25)))</x:f>
        <x:v>0</x:v>
      </x:c>
      <x:c r="AC25" s="44" t="n">
        <x:f>IF(OR($J25="",$K25=""),"",IF(SUMIFS(Calendar!$C$16:$C$134,Calendar!$A$16:$A$134,"&gt;="&amp;MAX(AC$7,$J25),Calendar!$A$16:$A$134,"&lt;="&amp;MIN(AC$7+4,$K25))=0,0,IF($H25="","EXT",SUMIFS(Calendar!$C$16:$C$134,Calendar!$A$16:$A$134,"&gt;="&amp;MAX(AC$7,$J25),Calendar!$A$16:$A$134,"&lt;="&amp;MIN(AC$7+4,$K25))*$H25/$G25)))</x:f>
        <x:v>0</x:v>
      </x:c>
      <x:c r="AD25" s="44" t="n">
        <x:f>IF(OR($J25="",$K25=""),"",IF(SUMIFS(Calendar!$C$16:$C$134,Calendar!$A$16:$A$134,"&gt;="&amp;MAX(AD$7,$J25),Calendar!$A$16:$A$134,"&lt;="&amp;MIN(AD$7+4,$K25))=0,0,IF($H25="","EXT",SUMIFS(Calendar!$C$16:$C$134,Calendar!$A$16:$A$134,"&gt;="&amp;MAX(AD$7,$J25),Calendar!$A$16:$A$134,"&lt;="&amp;MIN(AD$7+4,$K25))*$H25/$G25)))</x:f>
        <x:v>0</x:v>
      </x:c>
      <x:c r="AE25" s="42" t="n">
        <x:f>IF(OR(M25&lt;&gt;"Scheduled",INDEX('Team and Gates'!$C$7:$C$11,MATCH($D25,'Team and Gates'!$A$7:$A$11,0))=""),"CHECK",SUM(N25:AD25)*INDEX('Team and Gates'!$C$7:$C$11,MATCH($D25,'Team and Gates'!$A$7:$A$11,0)))</x:f>
        <x:v>1440</x:v>
      </x:c>
      <x:c r="AF25" s="43" t="str">
        <x:v>AMs assign, update, complete and reopen work with source/history visibility.</x:v>
      </x:c>
      <x:c r="AG25" s="43" t="str"/>
    </x:row>
    <x:row r="26" ht="36" customHeight="1">
      <x:c r="A26" s="2" t="str">
        <x:v>B04</x:v>
      </x:c>
      <x:c r="B26" s="2" t="str">
        <x:v>API / Portal</x:v>
      </x:c>
      <x:c r="C26" s="2" t="str">
        <x:v>Triage Create / Link / Ignore user flow</x:v>
      </x:c>
      <x:c r="D26" s="20" t="str">
        <x:v>Dev 1</x:v>
      </x:c>
      <x:c r="E26" s="2" t="str">
        <x:v>B03</x:v>
      </x:c>
      <x:c r="F26" s="47" t="n">
        <x:v>16</x:v>
      </x:c>
      <x:c r="G26" s="47" t="n">
        <x:v>5</x:v>
      </x:c>
      <x:c r="H26" s="48" t="n">
        <x:v>4</x:v>
      </x:c>
      <x:c r="I26" s="2" t="n">
        <x:f>IF(OR(F26="",G26=""),"",F26+G26-1)</x:f>
        <x:v>20</x:v>
      </x:c>
      <x:c r="J26" s="5" t="n">
        <x:f>IF(OR(F26="",F26&lt;1,F26&gt;Calendar!$B$9),"",INDEX(Calendar!$A$16:$A$134,MATCH(F26,Calendar!$D$16:$D$134,0)))</x:f>
        <x:v>46349</x:v>
      </x:c>
      <x:c r="K26" s="5" t="n">
        <x:f>IF(OR(I26="",I26&lt;1,I26&gt;Calendar!$B$9),"",INDEX(Calendar!$A$16:$A$134,MATCH(I26,Calendar!$D$16:$D$134,0)))</x:f>
        <x:v>46353</x:v>
      </x:c>
      <x:c r="L26" s="50" t="n">
        <x:v>0</x:v>
      </x:c>
      <x:c r="M26" s="2" t="str">
        <x:f>IF(OR(F26="",G26="",H26=""),"Missing input",IF(OR(F26&lt;1,G26&lt;1,I26&gt;Calendar!$B$9),"Outside calendar",IF(F26&lt;MAX(INDEX($I$8:$I$85,MATCH("B03",$A$8:$A$85,0))+1),"Dependency conflict","Scheduled")))</x:f>
        <x:v>Scheduled</x:v>
      </x:c>
      <x:c r="N26" s="44" t="n">
        <x:f>IF(OR($J26="",$K26=""),"",IF(SUMIFS(Calendar!$C$16:$C$134,Calendar!$A$16:$A$134,"&gt;="&amp;MAX(N$7,$J26),Calendar!$A$16:$A$134,"&lt;="&amp;MIN(N$7+4,$K26))=0,0,IF($H26="","EXT",SUMIFS(Calendar!$C$16:$C$134,Calendar!$A$16:$A$134,"&gt;="&amp;MAX(N$7,$J26),Calendar!$A$16:$A$134,"&lt;="&amp;MIN(N$7+4,$K26))*$H26/$G26)))</x:f>
        <x:v>0</x:v>
      </x:c>
      <x:c r="O26" s="44" t="n">
        <x:f>IF(OR($J26="",$K26=""),"",IF(SUMIFS(Calendar!$C$16:$C$134,Calendar!$A$16:$A$134,"&gt;="&amp;MAX(O$7,$J26),Calendar!$A$16:$A$134,"&lt;="&amp;MIN(O$7+4,$K26))=0,0,IF($H26="","EXT",SUMIFS(Calendar!$C$16:$C$134,Calendar!$A$16:$A$134,"&gt;="&amp;MAX(O$7,$J26),Calendar!$A$16:$A$134,"&lt;="&amp;MIN(O$7+4,$K26))*$H26/$G26)))</x:f>
        <x:v>0</x:v>
      </x:c>
      <x:c r="P26" s="44" t="n">
        <x:f>IF(OR($J26="",$K26=""),"",IF(SUMIFS(Calendar!$C$16:$C$134,Calendar!$A$16:$A$134,"&gt;="&amp;MAX(P$7,$J26),Calendar!$A$16:$A$134,"&lt;="&amp;MIN(P$7+4,$K26))=0,0,IF($H26="","EXT",SUMIFS(Calendar!$C$16:$C$134,Calendar!$A$16:$A$134,"&gt;="&amp;MAX(P$7,$J26),Calendar!$A$16:$A$134,"&lt;="&amp;MIN(P$7+4,$K26))*$H26/$G26)))</x:f>
        <x:v>0</x:v>
      </x:c>
      <x:c r="Q26" s="44" t="n">
        <x:f>IF(OR($J26="",$K26=""),"",IF(SUMIFS(Calendar!$C$16:$C$134,Calendar!$A$16:$A$134,"&gt;="&amp;MAX(Q$7,$J26),Calendar!$A$16:$A$134,"&lt;="&amp;MIN(Q$7+4,$K26))=0,0,IF($H26="","EXT",SUMIFS(Calendar!$C$16:$C$134,Calendar!$A$16:$A$134,"&gt;="&amp;MAX(Q$7,$J26),Calendar!$A$16:$A$134,"&lt;="&amp;MIN(Q$7+4,$K26))*$H26/$G26)))</x:f>
        <x:v>4</x:v>
      </x:c>
      <x:c r="R26" s="44" t="n">
        <x:f>IF(OR($J26="",$K26=""),"",IF(SUMIFS(Calendar!$C$16:$C$134,Calendar!$A$16:$A$134,"&gt;="&amp;MAX(R$7,$J26),Calendar!$A$16:$A$134,"&lt;="&amp;MIN(R$7+4,$K26))=0,0,IF($H26="","EXT",SUMIFS(Calendar!$C$16:$C$134,Calendar!$A$16:$A$134,"&gt;="&amp;MAX(R$7,$J26),Calendar!$A$16:$A$134,"&lt;="&amp;MIN(R$7+4,$K26))*$H26/$G26)))</x:f>
        <x:v>0</x:v>
      </x:c>
      <x:c r="S26" s="44" t="n">
        <x:f>IF(OR($J26="",$K26=""),"",IF(SUMIFS(Calendar!$C$16:$C$134,Calendar!$A$16:$A$134,"&gt;="&amp;MAX(S$7,$J26),Calendar!$A$16:$A$134,"&lt;="&amp;MIN(S$7+4,$K26))=0,0,IF($H26="","EXT",SUMIFS(Calendar!$C$16:$C$134,Calendar!$A$16:$A$134,"&gt;="&amp;MAX(S$7,$J26),Calendar!$A$16:$A$134,"&lt;="&amp;MIN(S$7+4,$K26))*$H26/$G26)))</x:f>
        <x:v>0</x:v>
      </x:c>
      <x:c r="T26" s="44" t="n">
        <x:f>IF(OR($J26="",$K26=""),"",IF(SUMIFS(Calendar!$C$16:$C$134,Calendar!$A$16:$A$134,"&gt;="&amp;MAX(T$7,$J26),Calendar!$A$16:$A$134,"&lt;="&amp;MIN(T$7+4,$K26))=0,0,IF($H26="","EXT",SUMIFS(Calendar!$C$16:$C$134,Calendar!$A$16:$A$134,"&gt;="&amp;MAX(T$7,$J26),Calendar!$A$16:$A$134,"&lt;="&amp;MIN(T$7+4,$K26))*$H26/$G26)))</x:f>
        <x:v>0</x:v>
      </x:c>
      <x:c r="U26" s="44" t="n">
        <x:f>IF(OR($J26="",$K26=""),"",IF(SUMIFS(Calendar!$C$16:$C$134,Calendar!$A$16:$A$134,"&gt;="&amp;MAX(U$7,$J26),Calendar!$A$16:$A$134,"&lt;="&amp;MIN(U$7+4,$K26))=0,0,IF($H26="","EXT",SUMIFS(Calendar!$C$16:$C$134,Calendar!$A$16:$A$134,"&gt;="&amp;MAX(U$7,$J26),Calendar!$A$16:$A$134,"&lt;="&amp;MIN(U$7+4,$K26))*$H26/$G26)))</x:f>
        <x:v>0</x:v>
      </x:c>
      <x:c r="V26" s="44" t="n">
        <x:f>IF(OR($J26="",$K26=""),"",IF(SUMIFS(Calendar!$C$16:$C$134,Calendar!$A$16:$A$134,"&gt;="&amp;MAX(V$7,$J26),Calendar!$A$16:$A$134,"&lt;="&amp;MIN(V$7+4,$K26))=0,0,IF($H26="","EXT",SUMIFS(Calendar!$C$16:$C$134,Calendar!$A$16:$A$134,"&gt;="&amp;MAX(V$7,$J26),Calendar!$A$16:$A$134,"&lt;="&amp;MIN(V$7+4,$K26))*$H26/$G26)))</x:f>
        <x:v>0</x:v>
      </x:c>
      <x:c r="W26" s="44" t="n">
        <x:f>IF(OR($J26="",$K26=""),"",IF(SUMIFS(Calendar!$C$16:$C$134,Calendar!$A$16:$A$134,"&gt;="&amp;MAX(W$7,$J26),Calendar!$A$16:$A$134,"&lt;="&amp;MIN(W$7+4,$K26))=0,0,IF($H26="","EXT",SUMIFS(Calendar!$C$16:$C$134,Calendar!$A$16:$A$134,"&gt;="&amp;MAX(W$7,$J26),Calendar!$A$16:$A$134,"&lt;="&amp;MIN(W$7+4,$K26))*$H26/$G26)))</x:f>
        <x:v>0</x:v>
      </x:c>
      <x:c r="X26" s="44" t="n">
        <x:f>IF(OR($J26="",$K26=""),"",IF(SUMIFS(Calendar!$C$16:$C$134,Calendar!$A$16:$A$134,"&gt;="&amp;MAX(X$7,$J26),Calendar!$A$16:$A$134,"&lt;="&amp;MIN(X$7+4,$K26))=0,0,IF($H26="","EXT",SUMIFS(Calendar!$C$16:$C$134,Calendar!$A$16:$A$134,"&gt;="&amp;MAX(X$7,$J26),Calendar!$A$16:$A$134,"&lt;="&amp;MIN(X$7+4,$K26))*$H26/$G26)))</x:f>
        <x:v>0</x:v>
      </x:c>
      <x:c r="Y26" s="44" t="n">
        <x:f>IF(OR($J26="",$K26=""),"",IF(SUMIFS(Calendar!$C$16:$C$134,Calendar!$A$16:$A$134,"&gt;="&amp;MAX(Y$7,$J26),Calendar!$A$16:$A$134,"&lt;="&amp;MIN(Y$7+4,$K26))=0,0,IF($H26="","EXT",SUMIFS(Calendar!$C$16:$C$134,Calendar!$A$16:$A$134,"&gt;="&amp;MAX(Y$7,$J26),Calendar!$A$16:$A$134,"&lt;="&amp;MIN(Y$7+4,$K26))*$H26/$G26)))</x:f>
        <x:v>0</x:v>
      </x:c>
      <x:c r="Z26" s="44" t="n">
        <x:f>IF(OR($J26="",$K26=""),"",IF(SUMIFS(Calendar!$C$16:$C$134,Calendar!$A$16:$A$134,"&gt;="&amp;MAX(Z$7,$J26),Calendar!$A$16:$A$134,"&lt;="&amp;MIN(Z$7+4,$K26))=0,0,IF($H26="","EXT",SUMIFS(Calendar!$C$16:$C$134,Calendar!$A$16:$A$134,"&gt;="&amp;MAX(Z$7,$J26),Calendar!$A$16:$A$134,"&lt;="&amp;MIN(Z$7+4,$K26))*$H26/$G26)))</x:f>
        <x:v>0</x:v>
      </x:c>
      <x:c r="AA26" s="44" t="n">
        <x:f>IF(OR($J26="",$K26=""),"",IF(SUMIFS(Calendar!$C$16:$C$134,Calendar!$A$16:$A$134,"&gt;="&amp;MAX(AA$7,$J26),Calendar!$A$16:$A$134,"&lt;="&amp;MIN(AA$7+4,$K26))=0,0,IF($H26="","EXT",SUMIFS(Calendar!$C$16:$C$134,Calendar!$A$16:$A$134,"&gt;="&amp;MAX(AA$7,$J26),Calendar!$A$16:$A$134,"&lt;="&amp;MIN(AA$7+4,$K26))*$H26/$G26)))</x:f>
        <x:v>0</x:v>
      </x:c>
      <x:c r="AB26" s="44" t="n">
        <x:f>IF(OR($J26="",$K26=""),"",IF(SUMIFS(Calendar!$C$16:$C$134,Calendar!$A$16:$A$134,"&gt;="&amp;MAX(AB$7,$J26),Calendar!$A$16:$A$134,"&lt;="&amp;MIN(AB$7+4,$K26))=0,0,IF($H26="","EXT",SUMIFS(Calendar!$C$16:$C$134,Calendar!$A$16:$A$134,"&gt;="&amp;MAX(AB$7,$J26),Calendar!$A$16:$A$134,"&lt;="&amp;MIN(AB$7+4,$K26))*$H26/$G26)))</x:f>
        <x:v>0</x:v>
      </x:c>
      <x:c r="AC26" s="44" t="n">
        <x:f>IF(OR($J26="",$K26=""),"",IF(SUMIFS(Calendar!$C$16:$C$134,Calendar!$A$16:$A$134,"&gt;="&amp;MAX(AC$7,$J26),Calendar!$A$16:$A$134,"&lt;="&amp;MIN(AC$7+4,$K26))=0,0,IF($H26="","EXT",SUMIFS(Calendar!$C$16:$C$134,Calendar!$A$16:$A$134,"&gt;="&amp;MAX(AC$7,$J26),Calendar!$A$16:$A$134,"&lt;="&amp;MIN(AC$7+4,$K26))*$H26/$G26)))</x:f>
        <x:v>0</x:v>
      </x:c>
      <x:c r="AD26" s="44" t="n">
        <x:f>IF(OR($J26="",$K26=""),"",IF(SUMIFS(Calendar!$C$16:$C$134,Calendar!$A$16:$A$134,"&gt;="&amp;MAX(AD$7,$J26),Calendar!$A$16:$A$134,"&lt;="&amp;MIN(AD$7+4,$K26))=0,0,IF($H26="","EXT",SUMIFS(Calendar!$C$16:$C$134,Calendar!$A$16:$A$134,"&gt;="&amp;MAX(AD$7,$J26),Calendar!$A$16:$A$134,"&lt;="&amp;MIN(AD$7+4,$K26))*$H26/$G26)))</x:f>
        <x:v>0</x:v>
      </x:c>
      <x:c r="AE26" s="42" t="n">
        <x:f>IF(OR(M26&lt;&gt;"Scheduled",INDEX('Team and Gates'!$C$7:$C$11,MATCH($D26,'Team and Gates'!$A$7:$A$11,0))=""),"CHECK",SUM(N26:AD26)*INDEX('Team and Gates'!$C$7:$C$11,MATCH($D26,'Team and Gates'!$A$7:$A$11,0)))</x:f>
        <x:v>1440</x:v>
      </x:c>
      <x:c r="AF26" s="43" t="str">
        <x:v>Confirmed decisions atomically update mail links and Case state.</x:v>
      </x:c>
      <x:c r="AG26" s="43" t="str"/>
    </x:row>
    <x:row r="27" ht="36" customHeight="1">
      <x:c r="A27" s="35" t="str">
        <x:v>B05</x:v>
      </x:c>
      <x:c r="B27" s="35" t="str">
        <x:v>API / Portal</x:v>
      </x:c>
      <x:c r="C27" s="35" t="str">
        <x:v>Draft editing and Approve &amp; Send API</x:v>
      </x:c>
      <x:c r="D27" s="20" t="str">
        <x:v>Dev 1</x:v>
      </x:c>
      <x:c r="E27" s="35" t="str">
        <x:v>B04, A04, S04</x:v>
      </x:c>
      <x:c r="F27" s="47" t="n">
        <x:v>21</x:v>
      </x:c>
      <x:c r="G27" s="47" t="n">
        <x:v>5</x:v>
      </x:c>
      <x:c r="H27" s="48" t="n">
        <x:v>4</x:v>
      </x:c>
      <x:c r="I27" s="35" t="n">
        <x:f>IF(OR(F27="",G27=""),"",F27+G27-1)</x:f>
        <x:v>25</x:v>
      </x:c>
      <x:c r="J27" s="37" t="n">
        <x:f>IF(OR(F27="",F27&lt;1,F27&gt;Calendar!$B$9),"",INDEX(Calendar!$A$16:$A$134,MATCH(F27,Calendar!$D$16:$D$134,0)))</x:f>
        <x:v>46356</x:v>
      </x:c>
      <x:c r="K27" s="37" t="n">
        <x:f>IF(OR(I27="",I27&lt;1,I27&gt;Calendar!$B$9),"",INDEX(Calendar!$A$16:$A$134,MATCH(I27,Calendar!$D$16:$D$134,0)))</x:f>
        <x:v>46360</x:v>
      </x:c>
      <x:c r="L27" s="50" t="n">
        <x:v>0</x:v>
      </x:c>
      <x:c r="M27" s="35" t="str">
        <x:f>IF(OR(F27="",G27="",H27=""),"Missing input",IF(OR(F27&lt;1,G27&lt;1,I27&gt;Calendar!$B$9),"Outside calendar",IF(F27&lt;MAX(INDEX($I$8:$I$85,MATCH("B04",$A$8:$A$85,0))+1,INDEX($I$8:$I$85,MATCH("A04",$A$8:$A$85,0))+1,INDEX($I$8:$I$85,MATCH("S04",$A$8:$A$85,0))+1),"Dependency conflict","Scheduled")))</x:f>
        <x:v>Scheduled</x:v>
      </x:c>
      <x:c r="N27" s="44" t="n">
        <x:f>IF(OR($J27="",$K27=""),"",IF(SUMIFS(Calendar!$C$16:$C$134,Calendar!$A$16:$A$134,"&gt;="&amp;MAX(N$7,$J27),Calendar!$A$16:$A$134,"&lt;="&amp;MIN(N$7+4,$K27))=0,0,IF($H27="","EXT",SUMIFS(Calendar!$C$16:$C$134,Calendar!$A$16:$A$134,"&gt;="&amp;MAX(N$7,$J27),Calendar!$A$16:$A$134,"&lt;="&amp;MIN(N$7+4,$K27))*$H27/$G27)))</x:f>
        <x:v>0</x:v>
      </x:c>
      <x:c r="O27" s="44" t="n">
        <x:f>IF(OR($J27="",$K27=""),"",IF(SUMIFS(Calendar!$C$16:$C$134,Calendar!$A$16:$A$134,"&gt;="&amp;MAX(O$7,$J27),Calendar!$A$16:$A$134,"&lt;="&amp;MIN(O$7+4,$K27))=0,0,IF($H27="","EXT",SUMIFS(Calendar!$C$16:$C$134,Calendar!$A$16:$A$134,"&gt;="&amp;MAX(O$7,$J27),Calendar!$A$16:$A$134,"&lt;="&amp;MIN(O$7+4,$K27))*$H27/$G27)))</x:f>
        <x:v>0</x:v>
      </x:c>
      <x:c r="P27" s="44" t="n">
        <x:f>IF(OR($J27="",$K27=""),"",IF(SUMIFS(Calendar!$C$16:$C$134,Calendar!$A$16:$A$134,"&gt;="&amp;MAX(P$7,$J27),Calendar!$A$16:$A$134,"&lt;="&amp;MIN(P$7+4,$K27))=0,0,IF($H27="","EXT",SUMIFS(Calendar!$C$16:$C$134,Calendar!$A$16:$A$134,"&gt;="&amp;MAX(P$7,$J27),Calendar!$A$16:$A$134,"&lt;="&amp;MIN(P$7+4,$K27))*$H27/$G27)))</x:f>
        <x:v>0</x:v>
      </x:c>
      <x:c r="Q27" s="44" t="n">
        <x:f>IF(OR($J27="",$K27=""),"",IF(SUMIFS(Calendar!$C$16:$C$134,Calendar!$A$16:$A$134,"&gt;="&amp;MAX(Q$7,$J27),Calendar!$A$16:$A$134,"&lt;="&amp;MIN(Q$7+4,$K27))=0,0,IF($H27="","EXT",SUMIFS(Calendar!$C$16:$C$134,Calendar!$A$16:$A$134,"&gt;="&amp;MAX(Q$7,$J27),Calendar!$A$16:$A$134,"&lt;="&amp;MIN(Q$7+4,$K27))*$H27/$G27)))</x:f>
        <x:v>0</x:v>
      </x:c>
      <x:c r="R27" s="44" t="n">
        <x:f>IF(OR($J27="",$K27=""),"",IF(SUMIFS(Calendar!$C$16:$C$134,Calendar!$A$16:$A$134,"&gt;="&amp;MAX(R$7,$J27),Calendar!$A$16:$A$134,"&lt;="&amp;MIN(R$7+4,$K27))=0,0,IF($H27="","EXT",SUMIFS(Calendar!$C$16:$C$134,Calendar!$A$16:$A$134,"&gt;="&amp;MAX(R$7,$J27),Calendar!$A$16:$A$134,"&lt;="&amp;MIN(R$7+4,$K27))*$H27/$G27)))</x:f>
        <x:v>4</x:v>
      </x:c>
      <x:c r="S27" s="44" t="n">
        <x:f>IF(OR($J27="",$K27=""),"",IF(SUMIFS(Calendar!$C$16:$C$134,Calendar!$A$16:$A$134,"&gt;="&amp;MAX(S$7,$J27),Calendar!$A$16:$A$134,"&lt;="&amp;MIN(S$7+4,$K27))=0,0,IF($H27="","EXT",SUMIFS(Calendar!$C$16:$C$134,Calendar!$A$16:$A$134,"&gt;="&amp;MAX(S$7,$J27),Calendar!$A$16:$A$134,"&lt;="&amp;MIN(S$7+4,$K27))*$H27/$G27)))</x:f>
        <x:v>0</x:v>
      </x:c>
      <x:c r="T27" s="44" t="n">
        <x:f>IF(OR($J27="",$K27=""),"",IF(SUMIFS(Calendar!$C$16:$C$134,Calendar!$A$16:$A$134,"&gt;="&amp;MAX(T$7,$J27),Calendar!$A$16:$A$134,"&lt;="&amp;MIN(T$7+4,$K27))=0,0,IF($H27="","EXT",SUMIFS(Calendar!$C$16:$C$134,Calendar!$A$16:$A$134,"&gt;="&amp;MAX(T$7,$J27),Calendar!$A$16:$A$134,"&lt;="&amp;MIN(T$7+4,$K27))*$H27/$G27)))</x:f>
        <x:v>0</x:v>
      </x:c>
      <x:c r="U27" s="44" t="n">
        <x:f>IF(OR($J27="",$K27=""),"",IF(SUMIFS(Calendar!$C$16:$C$134,Calendar!$A$16:$A$134,"&gt;="&amp;MAX(U$7,$J27),Calendar!$A$16:$A$134,"&lt;="&amp;MIN(U$7+4,$K27))=0,0,IF($H27="","EXT",SUMIFS(Calendar!$C$16:$C$134,Calendar!$A$16:$A$134,"&gt;="&amp;MAX(U$7,$J27),Calendar!$A$16:$A$134,"&lt;="&amp;MIN(U$7+4,$K27))*$H27/$G27)))</x:f>
        <x:v>0</x:v>
      </x:c>
      <x:c r="V27" s="44" t="n">
        <x:f>IF(OR($J27="",$K27=""),"",IF(SUMIFS(Calendar!$C$16:$C$134,Calendar!$A$16:$A$134,"&gt;="&amp;MAX(V$7,$J27),Calendar!$A$16:$A$134,"&lt;="&amp;MIN(V$7+4,$K27))=0,0,IF($H27="","EXT",SUMIFS(Calendar!$C$16:$C$134,Calendar!$A$16:$A$134,"&gt;="&amp;MAX(V$7,$J27),Calendar!$A$16:$A$134,"&lt;="&amp;MIN(V$7+4,$K27))*$H27/$G27)))</x:f>
        <x:v>0</x:v>
      </x:c>
      <x:c r="W27" s="44" t="n">
        <x:f>IF(OR($J27="",$K27=""),"",IF(SUMIFS(Calendar!$C$16:$C$134,Calendar!$A$16:$A$134,"&gt;="&amp;MAX(W$7,$J27),Calendar!$A$16:$A$134,"&lt;="&amp;MIN(W$7+4,$K27))=0,0,IF($H27="","EXT",SUMIFS(Calendar!$C$16:$C$134,Calendar!$A$16:$A$134,"&gt;="&amp;MAX(W$7,$J27),Calendar!$A$16:$A$134,"&lt;="&amp;MIN(W$7+4,$K27))*$H27/$G27)))</x:f>
        <x:v>0</x:v>
      </x:c>
      <x:c r="X27" s="44" t="n">
        <x:f>IF(OR($J27="",$K27=""),"",IF(SUMIFS(Calendar!$C$16:$C$134,Calendar!$A$16:$A$134,"&gt;="&amp;MAX(X$7,$J27),Calendar!$A$16:$A$134,"&lt;="&amp;MIN(X$7+4,$K27))=0,0,IF($H27="","EXT",SUMIFS(Calendar!$C$16:$C$134,Calendar!$A$16:$A$134,"&gt;="&amp;MAX(X$7,$J27),Calendar!$A$16:$A$134,"&lt;="&amp;MIN(X$7+4,$K27))*$H27/$G27)))</x:f>
        <x:v>0</x:v>
      </x:c>
      <x:c r="Y27" s="44" t="n">
        <x:f>IF(OR($J27="",$K27=""),"",IF(SUMIFS(Calendar!$C$16:$C$134,Calendar!$A$16:$A$134,"&gt;="&amp;MAX(Y$7,$J27),Calendar!$A$16:$A$134,"&lt;="&amp;MIN(Y$7+4,$K27))=0,0,IF($H27="","EXT",SUMIFS(Calendar!$C$16:$C$134,Calendar!$A$16:$A$134,"&gt;="&amp;MAX(Y$7,$J27),Calendar!$A$16:$A$134,"&lt;="&amp;MIN(Y$7+4,$K27))*$H27/$G27)))</x:f>
        <x:v>0</x:v>
      </x:c>
      <x:c r="Z27" s="44" t="n">
        <x:f>IF(OR($J27="",$K27=""),"",IF(SUMIFS(Calendar!$C$16:$C$134,Calendar!$A$16:$A$134,"&gt;="&amp;MAX(Z$7,$J27),Calendar!$A$16:$A$134,"&lt;="&amp;MIN(Z$7+4,$K27))=0,0,IF($H27="","EXT",SUMIFS(Calendar!$C$16:$C$134,Calendar!$A$16:$A$134,"&gt;="&amp;MAX(Z$7,$J27),Calendar!$A$16:$A$134,"&lt;="&amp;MIN(Z$7+4,$K27))*$H27/$G27)))</x:f>
        <x:v>0</x:v>
      </x:c>
      <x:c r="AA27" s="44" t="n">
        <x:f>IF(OR($J27="",$K27=""),"",IF(SUMIFS(Calendar!$C$16:$C$134,Calendar!$A$16:$A$134,"&gt;="&amp;MAX(AA$7,$J27),Calendar!$A$16:$A$134,"&lt;="&amp;MIN(AA$7+4,$K27))=0,0,IF($H27="","EXT",SUMIFS(Calendar!$C$16:$C$134,Calendar!$A$16:$A$134,"&gt;="&amp;MAX(AA$7,$J27),Calendar!$A$16:$A$134,"&lt;="&amp;MIN(AA$7+4,$K27))*$H27/$G27)))</x:f>
        <x:v>0</x:v>
      </x:c>
      <x:c r="AB27" s="44" t="n">
        <x:f>IF(OR($J27="",$K27=""),"",IF(SUMIFS(Calendar!$C$16:$C$134,Calendar!$A$16:$A$134,"&gt;="&amp;MAX(AB$7,$J27),Calendar!$A$16:$A$134,"&lt;="&amp;MIN(AB$7+4,$K27))=0,0,IF($H27="","EXT",SUMIFS(Calendar!$C$16:$C$134,Calendar!$A$16:$A$134,"&gt;="&amp;MAX(AB$7,$J27),Calendar!$A$16:$A$134,"&lt;="&amp;MIN(AB$7+4,$K27))*$H27/$G27)))</x:f>
        <x:v>0</x:v>
      </x:c>
      <x:c r="AC27" s="44" t="n">
        <x:f>IF(OR($J27="",$K27=""),"",IF(SUMIFS(Calendar!$C$16:$C$134,Calendar!$A$16:$A$134,"&gt;="&amp;MAX(AC$7,$J27),Calendar!$A$16:$A$134,"&lt;="&amp;MIN(AC$7+4,$K27))=0,0,IF($H27="","EXT",SUMIFS(Calendar!$C$16:$C$134,Calendar!$A$16:$A$134,"&gt;="&amp;MAX(AC$7,$J27),Calendar!$A$16:$A$134,"&lt;="&amp;MIN(AC$7+4,$K27))*$H27/$G27)))</x:f>
        <x:v>0</x:v>
      </x:c>
      <x:c r="AD27" s="44" t="n">
        <x:f>IF(OR($J27="",$K27=""),"",IF(SUMIFS(Calendar!$C$16:$C$134,Calendar!$A$16:$A$134,"&gt;="&amp;MAX(AD$7,$J27),Calendar!$A$16:$A$134,"&lt;="&amp;MIN(AD$7+4,$K27))=0,0,IF($H27="","EXT",SUMIFS(Calendar!$C$16:$C$134,Calendar!$A$16:$A$134,"&gt;="&amp;MAX(AD$7,$J27),Calendar!$A$16:$A$134,"&lt;="&amp;MIN(AD$7+4,$K27))*$H27/$G27)))</x:f>
        <x:v>0</x:v>
      </x:c>
      <x:c r="AE27" s="42" t="n">
        <x:f>IF(OR(M27&lt;&gt;"Scheduled",INDEX('Team and Gates'!$C$7:$C$11,MATCH($D27,'Team and Gates'!$A$7:$A$11,0))=""),"CHECK",SUM(N27:AD27)*INDEX('Team and Gates'!$C$7:$C$11,MATCH($D27,'Team and Gates'!$A$7:$A$11,0)))</x:f>
        <x:v>1440</x:v>
      </x:c>
      <x:c r="AF27" s="43" t="str">
        <x:v>Approval stores actual recipients, content and a send job atomically.</x:v>
      </x:c>
      <x:c r="AG27" s="43" t="str"/>
    </x:row>
    <x:row r="28" ht="36" customHeight="1">
      <x:c r="A28" s="2" t="str">
        <x:v>B06</x:v>
      </x:c>
      <x:c r="B28" s="2" t="str">
        <x:v>API / Portal</x:v>
      </x:c>
      <x:c r="C28" s="2" t="str">
        <x:v>Draft, approval and automatic send integration</x:v>
      </x:c>
      <x:c r="D28" s="20" t="str">
        <x:v>Dev 1</x:v>
      </x:c>
      <x:c r="E28" s="2" t="str">
        <x:v>B05, A06:SS, S06:SS</x:v>
      </x:c>
      <x:c r="F28" s="47" t="n">
        <x:v>26</x:v>
      </x:c>
      <x:c r="G28" s="47" t="n">
        <x:v>5</x:v>
      </x:c>
      <x:c r="H28" s="48" t="n">
        <x:v>4</x:v>
      </x:c>
      <x:c r="I28" s="2" t="n">
        <x:f>IF(OR(F28="",G28=""),"",F28+G28-1)</x:f>
        <x:v>30</x:v>
      </x:c>
      <x:c r="J28" s="5" t="n">
        <x:f>IF(OR(F28="",F28&lt;1,F28&gt;Calendar!$B$9),"",INDEX(Calendar!$A$16:$A$134,MATCH(F28,Calendar!$D$16:$D$134,0)))</x:f>
        <x:v>46363</x:v>
      </x:c>
      <x:c r="K28" s="5" t="n">
        <x:f>IF(OR(I28="",I28&lt;1,I28&gt;Calendar!$B$9),"",INDEX(Calendar!$A$16:$A$134,MATCH(I28,Calendar!$D$16:$D$134,0)))</x:f>
        <x:v>46367</x:v>
      </x:c>
      <x:c r="L28" s="50" t="n">
        <x:v>0</x:v>
      </x:c>
      <x:c r="M28" s="2" t="str">
        <x:f>IF(OR(F28="",G28="",H28=""),"Missing input",IF(OR(F28&lt;1,G28&lt;1,I28&gt;Calendar!$B$9),"Outside calendar",IF(F28&lt;MAX(INDEX($I$8:$I$85,MATCH("B05",$A$8:$A$85,0))+1,INDEX($F$8:$F$85,MATCH("A06",$A$8:$A$85,0)),INDEX($F$8:$F$85,MATCH("S06",$A$8:$A$85,0))),"Dependency conflict","Scheduled")))</x:f>
        <x:v>Scheduled</x:v>
      </x:c>
      <x:c r="N28" s="44" t="n">
        <x:f>IF(OR($J28="",$K28=""),"",IF(SUMIFS(Calendar!$C$16:$C$134,Calendar!$A$16:$A$134,"&gt;="&amp;MAX(N$7,$J28),Calendar!$A$16:$A$134,"&lt;="&amp;MIN(N$7+4,$K28))=0,0,IF($H28="","EXT",SUMIFS(Calendar!$C$16:$C$134,Calendar!$A$16:$A$134,"&gt;="&amp;MAX(N$7,$J28),Calendar!$A$16:$A$134,"&lt;="&amp;MIN(N$7+4,$K28))*$H28/$G28)))</x:f>
        <x:v>0</x:v>
      </x:c>
      <x:c r="O28" s="44" t="n">
        <x:f>IF(OR($J28="",$K28=""),"",IF(SUMIFS(Calendar!$C$16:$C$134,Calendar!$A$16:$A$134,"&gt;="&amp;MAX(O$7,$J28),Calendar!$A$16:$A$134,"&lt;="&amp;MIN(O$7+4,$K28))=0,0,IF($H28="","EXT",SUMIFS(Calendar!$C$16:$C$134,Calendar!$A$16:$A$134,"&gt;="&amp;MAX(O$7,$J28),Calendar!$A$16:$A$134,"&lt;="&amp;MIN(O$7+4,$K28))*$H28/$G28)))</x:f>
        <x:v>0</x:v>
      </x:c>
      <x:c r="P28" s="44" t="n">
        <x:f>IF(OR($J28="",$K28=""),"",IF(SUMIFS(Calendar!$C$16:$C$134,Calendar!$A$16:$A$134,"&gt;="&amp;MAX(P$7,$J28),Calendar!$A$16:$A$134,"&lt;="&amp;MIN(P$7+4,$K28))=0,0,IF($H28="","EXT",SUMIFS(Calendar!$C$16:$C$134,Calendar!$A$16:$A$134,"&gt;="&amp;MAX(P$7,$J28),Calendar!$A$16:$A$134,"&lt;="&amp;MIN(P$7+4,$K28))*$H28/$G28)))</x:f>
        <x:v>0</x:v>
      </x:c>
      <x:c r="Q28" s="44" t="n">
        <x:f>IF(OR($J28="",$K28=""),"",IF(SUMIFS(Calendar!$C$16:$C$134,Calendar!$A$16:$A$134,"&gt;="&amp;MAX(Q$7,$J28),Calendar!$A$16:$A$134,"&lt;="&amp;MIN(Q$7+4,$K28))=0,0,IF($H28="","EXT",SUMIFS(Calendar!$C$16:$C$134,Calendar!$A$16:$A$134,"&gt;="&amp;MAX(Q$7,$J28),Calendar!$A$16:$A$134,"&lt;="&amp;MIN(Q$7+4,$K28))*$H28/$G28)))</x:f>
        <x:v>0</x:v>
      </x:c>
      <x:c r="R28" s="44" t="n">
        <x:f>IF(OR($J28="",$K28=""),"",IF(SUMIFS(Calendar!$C$16:$C$134,Calendar!$A$16:$A$134,"&gt;="&amp;MAX(R$7,$J28),Calendar!$A$16:$A$134,"&lt;="&amp;MIN(R$7+4,$K28))=0,0,IF($H28="","EXT",SUMIFS(Calendar!$C$16:$C$134,Calendar!$A$16:$A$134,"&gt;="&amp;MAX(R$7,$J28),Calendar!$A$16:$A$134,"&lt;="&amp;MIN(R$7+4,$K28))*$H28/$G28)))</x:f>
        <x:v>0</x:v>
      </x:c>
      <x:c r="S28" s="44" t="n">
        <x:f>IF(OR($J28="",$K28=""),"",IF(SUMIFS(Calendar!$C$16:$C$134,Calendar!$A$16:$A$134,"&gt;="&amp;MAX(S$7,$J28),Calendar!$A$16:$A$134,"&lt;="&amp;MIN(S$7+4,$K28))=0,0,IF($H28="","EXT",SUMIFS(Calendar!$C$16:$C$134,Calendar!$A$16:$A$134,"&gt;="&amp;MAX(S$7,$J28),Calendar!$A$16:$A$134,"&lt;="&amp;MIN(S$7+4,$K28))*$H28/$G28)))</x:f>
        <x:v>4</x:v>
      </x:c>
      <x:c r="T28" s="44" t="n">
        <x:f>IF(OR($J28="",$K28=""),"",IF(SUMIFS(Calendar!$C$16:$C$134,Calendar!$A$16:$A$134,"&gt;="&amp;MAX(T$7,$J28),Calendar!$A$16:$A$134,"&lt;="&amp;MIN(T$7+4,$K28))=0,0,IF($H28="","EXT",SUMIFS(Calendar!$C$16:$C$134,Calendar!$A$16:$A$134,"&gt;="&amp;MAX(T$7,$J28),Calendar!$A$16:$A$134,"&lt;="&amp;MIN(T$7+4,$K28))*$H28/$G28)))</x:f>
        <x:v>0</x:v>
      </x:c>
      <x:c r="U28" s="44" t="n">
        <x:f>IF(OR($J28="",$K28=""),"",IF(SUMIFS(Calendar!$C$16:$C$134,Calendar!$A$16:$A$134,"&gt;="&amp;MAX(U$7,$J28),Calendar!$A$16:$A$134,"&lt;="&amp;MIN(U$7+4,$K28))=0,0,IF($H28="","EXT",SUMIFS(Calendar!$C$16:$C$134,Calendar!$A$16:$A$134,"&gt;="&amp;MAX(U$7,$J28),Calendar!$A$16:$A$134,"&lt;="&amp;MIN(U$7+4,$K28))*$H28/$G28)))</x:f>
        <x:v>0</x:v>
      </x:c>
      <x:c r="V28" s="44" t="n">
        <x:f>IF(OR($J28="",$K28=""),"",IF(SUMIFS(Calendar!$C$16:$C$134,Calendar!$A$16:$A$134,"&gt;="&amp;MAX(V$7,$J28),Calendar!$A$16:$A$134,"&lt;="&amp;MIN(V$7+4,$K28))=0,0,IF($H28="","EXT",SUMIFS(Calendar!$C$16:$C$134,Calendar!$A$16:$A$134,"&gt;="&amp;MAX(V$7,$J28),Calendar!$A$16:$A$134,"&lt;="&amp;MIN(V$7+4,$K28))*$H28/$G28)))</x:f>
        <x:v>0</x:v>
      </x:c>
      <x:c r="W28" s="44" t="n">
        <x:f>IF(OR($J28="",$K28=""),"",IF(SUMIFS(Calendar!$C$16:$C$134,Calendar!$A$16:$A$134,"&gt;="&amp;MAX(W$7,$J28),Calendar!$A$16:$A$134,"&lt;="&amp;MIN(W$7+4,$K28))=0,0,IF($H28="","EXT",SUMIFS(Calendar!$C$16:$C$134,Calendar!$A$16:$A$134,"&gt;="&amp;MAX(W$7,$J28),Calendar!$A$16:$A$134,"&lt;="&amp;MIN(W$7+4,$K28))*$H28/$G28)))</x:f>
        <x:v>0</x:v>
      </x:c>
      <x:c r="X28" s="44" t="n">
        <x:f>IF(OR($J28="",$K28=""),"",IF(SUMIFS(Calendar!$C$16:$C$134,Calendar!$A$16:$A$134,"&gt;="&amp;MAX(X$7,$J28),Calendar!$A$16:$A$134,"&lt;="&amp;MIN(X$7+4,$K28))=0,0,IF($H28="","EXT",SUMIFS(Calendar!$C$16:$C$134,Calendar!$A$16:$A$134,"&gt;="&amp;MAX(X$7,$J28),Calendar!$A$16:$A$134,"&lt;="&amp;MIN(X$7+4,$K28))*$H28/$G28)))</x:f>
        <x:v>0</x:v>
      </x:c>
      <x:c r="Y28" s="44" t="n">
        <x:f>IF(OR($J28="",$K28=""),"",IF(SUMIFS(Calendar!$C$16:$C$134,Calendar!$A$16:$A$134,"&gt;="&amp;MAX(Y$7,$J28),Calendar!$A$16:$A$134,"&lt;="&amp;MIN(Y$7+4,$K28))=0,0,IF($H28="","EXT",SUMIFS(Calendar!$C$16:$C$134,Calendar!$A$16:$A$134,"&gt;="&amp;MAX(Y$7,$J28),Calendar!$A$16:$A$134,"&lt;="&amp;MIN(Y$7+4,$K28))*$H28/$G28)))</x:f>
        <x:v>0</x:v>
      </x:c>
      <x:c r="Z28" s="44" t="n">
        <x:f>IF(OR($J28="",$K28=""),"",IF(SUMIFS(Calendar!$C$16:$C$134,Calendar!$A$16:$A$134,"&gt;="&amp;MAX(Z$7,$J28),Calendar!$A$16:$A$134,"&lt;="&amp;MIN(Z$7+4,$K28))=0,0,IF($H28="","EXT",SUMIFS(Calendar!$C$16:$C$134,Calendar!$A$16:$A$134,"&gt;="&amp;MAX(Z$7,$J28),Calendar!$A$16:$A$134,"&lt;="&amp;MIN(Z$7+4,$K28))*$H28/$G28)))</x:f>
        <x:v>0</x:v>
      </x:c>
      <x:c r="AA28" s="44" t="n">
        <x:f>IF(OR($J28="",$K28=""),"",IF(SUMIFS(Calendar!$C$16:$C$134,Calendar!$A$16:$A$134,"&gt;="&amp;MAX(AA$7,$J28),Calendar!$A$16:$A$134,"&lt;="&amp;MIN(AA$7+4,$K28))=0,0,IF($H28="","EXT",SUMIFS(Calendar!$C$16:$C$134,Calendar!$A$16:$A$134,"&gt;="&amp;MAX(AA$7,$J28),Calendar!$A$16:$A$134,"&lt;="&amp;MIN(AA$7+4,$K28))*$H28/$G28)))</x:f>
        <x:v>0</x:v>
      </x:c>
      <x:c r="AB28" s="44" t="n">
        <x:f>IF(OR($J28="",$K28=""),"",IF(SUMIFS(Calendar!$C$16:$C$134,Calendar!$A$16:$A$134,"&gt;="&amp;MAX(AB$7,$J28),Calendar!$A$16:$A$134,"&lt;="&amp;MIN(AB$7+4,$K28))=0,0,IF($H28="","EXT",SUMIFS(Calendar!$C$16:$C$134,Calendar!$A$16:$A$134,"&gt;="&amp;MAX(AB$7,$J28),Calendar!$A$16:$A$134,"&lt;="&amp;MIN(AB$7+4,$K28))*$H28/$G28)))</x:f>
        <x:v>0</x:v>
      </x:c>
      <x:c r="AC28" s="44" t="n">
        <x:f>IF(OR($J28="",$K28=""),"",IF(SUMIFS(Calendar!$C$16:$C$134,Calendar!$A$16:$A$134,"&gt;="&amp;MAX(AC$7,$J28),Calendar!$A$16:$A$134,"&lt;="&amp;MIN(AC$7+4,$K28))=0,0,IF($H28="","EXT",SUMIFS(Calendar!$C$16:$C$134,Calendar!$A$16:$A$134,"&gt;="&amp;MAX(AC$7,$J28),Calendar!$A$16:$A$134,"&lt;="&amp;MIN(AC$7+4,$K28))*$H28/$G28)))</x:f>
        <x:v>0</x:v>
      </x:c>
      <x:c r="AD28" s="44" t="n">
        <x:f>IF(OR($J28="",$K28=""),"",IF(SUMIFS(Calendar!$C$16:$C$134,Calendar!$A$16:$A$134,"&gt;="&amp;MAX(AD$7,$J28),Calendar!$A$16:$A$134,"&lt;="&amp;MIN(AD$7+4,$K28))=0,0,IF($H28="","EXT",SUMIFS(Calendar!$C$16:$C$134,Calendar!$A$16:$A$134,"&gt;="&amp;MAX(AD$7,$J28),Calendar!$A$16:$A$134,"&lt;="&amp;MIN(AD$7+4,$K28))*$H28/$G28)))</x:f>
        <x:v>0</x:v>
      </x:c>
      <x:c r="AE28" s="42" t="n">
        <x:f>IF(OR(M28&lt;&gt;"Scheduled",INDEX('Team and Gates'!$C$7:$C$11,MATCH($D28,'Team and Gates'!$A$7:$A$11,0))=""),"CHECK",SUM(N28:AD28)*INDEX('Team and Gates'!$C$7:$C$11,MATCH($D28,'Team and Gates'!$A$7:$A$11,0)))</x:f>
        <x:v>1440</x:v>
      </x:c>
      <x:c r="AF28" s="43" t="str">
        <x:v>One AM approval triggers send; pending, uncertain and sent states differ.</x:v>
      </x:c>
      <x:c r="AG28" s="43" t="str"/>
    </x:row>
    <x:row r="29" ht="36" customHeight="1">
      <x:c r="A29" s="35" t="str">
        <x:v>B07</x:v>
      </x:c>
      <x:c r="B29" s="35" t="str">
        <x:v>API / Portal</x:v>
      </x:c>
      <x:c r="C29" s="35" t="str">
        <x:v>Customer overview and Local / Regional views</x:v>
      </x:c>
      <x:c r="D29" s="20" t="str">
        <x:v>Dev 1</x:v>
      </x:c>
      <x:c r="E29" s="35" t="str">
        <x:v>B06</x:v>
      </x:c>
      <x:c r="F29" s="47" t="n">
        <x:v>31</x:v>
      </x:c>
      <x:c r="G29" s="47" t="n">
        <x:v>5</x:v>
      </x:c>
      <x:c r="H29" s="48" t="n">
        <x:v>4</x:v>
      </x:c>
      <x:c r="I29" s="35" t="n">
        <x:f>IF(OR(F29="",G29=""),"",F29+G29-1)</x:f>
        <x:v>35</x:v>
      </x:c>
      <x:c r="J29" s="37" t="n">
        <x:f>IF(OR(F29="",F29&lt;1,F29&gt;Calendar!$B$9),"",INDEX(Calendar!$A$16:$A$134,MATCH(F29,Calendar!$D$16:$D$134,0)))</x:f>
        <x:v>46370</x:v>
      </x:c>
      <x:c r="K29" s="37" t="n">
        <x:f>IF(OR(I29="",I29&lt;1,I29&gt;Calendar!$B$9),"",INDEX(Calendar!$A$16:$A$134,MATCH(I29,Calendar!$D$16:$D$134,0)))</x:f>
        <x:v>46374</x:v>
      </x:c>
      <x:c r="L29" s="50" t="n">
        <x:v>0</x:v>
      </x:c>
      <x:c r="M29" s="35" t="str">
        <x:f>IF(OR(F29="",G29="",H29=""),"Missing input",IF(OR(F29&lt;1,G29&lt;1,I29&gt;Calendar!$B$9),"Outside calendar",IF(F29&lt;MAX(INDEX($I$8:$I$85,MATCH("B06",$A$8:$A$85,0))+1),"Dependency conflict","Scheduled")))</x:f>
        <x:v>Scheduled</x:v>
      </x:c>
      <x:c r="N29" s="44" t="n">
        <x:f>IF(OR($J29="",$K29=""),"",IF(SUMIFS(Calendar!$C$16:$C$134,Calendar!$A$16:$A$134,"&gt;="&amp;MAX(N$7,$J29),Calendar!$A$16:$A$134,"&lt;="&amp;MIN(N$7+4,$K29))=0,0,IF($H29="","EXT",SUMIFS(Calendar!$C$16:$C$134,Calendar!$A$16:$A$134,"&gt;="&amp;MAX(N$7,$J29),Calendar!$A$16:$A$134,"&lt;="&amp;MIN(N$7+4,$K29))*$H29/$G29)))</x:f>
        <x:v>0</x:v>
      </x:c>
      <x:c r="O29" s="44" t="n">
        <x:f>IF(OR($J29="",$K29=""),"",IF(SUMIFS(Calendar!$C$16:$C$134,Calendar!$A$16:$A$134,"&gt;="&amp;MAX(O$7,$J29),Calendar!$A$16:$A$134,"&lt;="&amp;MIN(O$7+4,$K29))=0,0,IF($H29="","EXT",SUMIFS(Calendar!$C$16:$C$134,Calendar!$A$16:$A$134,"&gt;="&amp;MAX(O$7,$J29),Calendar!$A$16:$A$134,"&lt;="&amp;MIN(O$7+4,$K29))*$H29/$G29)))</x:f>
        <x:v>0</x:v>
      </x:c>
      <x:c r="P29" s="44" t="n">
        <x:f>IF(OR($J29="",$K29=""),"",IF(SUMIFS(Calendar!$C$16:$C$134,Calendar!$A$16:$A$134,"&gt;="&amp;MAX(P$7,$J29),Calendar!$A$16:$A$134,"&lt;="&amp;MIN(P$7+4,$K29))=0,0,IF($H29="","EXT",SUMIFS(Calendar!$C$16:$C$134,Calendar!$A$16:$A$134,"&gt;="&amp;MAX(P$7,$J29),Calendar!$A$16:$A$134,"&lt;="&amp;MIN(P$7+4,$K29))*$H29/$G29)))</x:f>
        <x:v>0</x:v>
      </x:c>
      <x:c r="Q29" s="44" t="n">
        <x:f>IF(OR($J29="",$K29=""),"",IF(SUMIFS(Calendar!$C$16:$C$134,Calendar!$A$16:$A$134,"&gt;="&amp;MAX(Q$7,$J29),Calendar!$A$16:$A$134,"&lt;="&amp;MIN(Q$7+4,$K29))=0,0,IF($H29="","EXT",SUMIFS(Calendar!$C$16:$C$134,Calendar!$A$16:$A$134,"&gt;="&amp;MAX(Q$7,$J29),Calendar!$A$16:$A$134,"&lt;="&amp;MIN(Q$7+4,$K29))*$H29/$G29)))</x:f>
        <x:v>0</x:v>
      </x:c>
      <x:c r="R29" s="44" t="n">
        <x:f>IF(OR($J29="",$K29=""),"",IF(SUMIFS(Calendar!$C$16:$C$134,Calendar!$A$16:$A$134,"&gt;="&amp;MAX(R$7,$J29),Calendar!$A$16:$A$134,"&lt;="&amp;MIN(R$7+4,$K29))=0,0,IF($H29="","EXT",SUMIFS(Calendar!$C$16:$C$134,Calendar!$A$16:$A$134,"&gt;="&amp;MAX(R$7,$J29),Calendar!$A$16:$A$134,"&lt;="&amp;MIN(R$7+4,$K29))*$H29/$G29)))</x:f>
        <x:v>0</x:v>
      </x:c>
      <x:c r="S29" s="44" t="n">
        <x:f>IF(OR($J29="",$K29=""),"",IF(SUMIFS(Calendar!$C$16:$C$134,Calendar!$A$16:$A$134,"&gt;="&amp;MAX(S$7,$J29),Calendar!$A$16:$A$134,"&lt;="&amp;MIN(S$7+4,$K29))=0,0,IF($H29="","EXT",SUMIFS(Calendar!$C$16:$C$134,Calendar!$A$16:$A$134,"&gt;="&amp;MAX(S$7,$J29),Calendar!$A$16:$A$134,"&lt;="&amp;MIN(S$7+4,$K29))*$H29/$G29)))</x:f>
        <x:v>0</x:v>
      </x:c>
      <x:c r="T29" s="44" t="n">
        <x:f>IF(OR($J29="",$K29=""),"",IF(SUMIFS(Calendar!$C$16:$C$134,Calendar!$A$16:$A$134,"&gt;="&amp;MAX(T$7,$J29),Calendar!$A$16:$A$134,"&lt;="&amp;MIN(T$7+4,$K29))=0,0,IF($H29="","EXT",SUMIFS(Calendar!$C$16:$C$134,Calendar!$A$16:$A$134,"&gt;="&amp;MAX(T$7,$J29),Calendar!$A$16:$A$134,"&lt;="&amp;MIN(T$7+4,$K29))*$H29/$G29)))</x:f>
        <x:v>4</x:v>
      </x:c>
      <x:c r="U29" s="44" t="n">
        <x:f>IF(OR($J29="",$K29=""),"",IF(SUMIFS(Calendar!$C$16:$C$134,Calendar!$A$16:$A$134,"&gt;="&amp;MAX(U$7,$J29),Calendar!$A$16:$A$134,"&lt;="&amp;MIN(U$7+4,$K29))=0,0,IF($H29="","EXT",SUMIFS(Calendar!$C$16:$C$134,Calendar!$A$16:$A$134,"&gt;="&amp;MAX(U$7,$J29),Calendar!$A$16:$A$134,"&lt;="&amp;MIN(U$7+4,$K29))*$H29/$G29)))</x:f>
        <x:v>0</x:v>
      </x:c>
      <x:c r="V29" s="44" t="n">
        <x:f>IF(OR($J29="",$K29=""),"",IF(SUMIFS(Calendar!$C$16:$C$134,Calendar!$A$16:$A$134,"&gt;="&amp;MAX(V$7,$J29),Calendar!$A$16:$A$134,"&lt;="&amp;MIN(V$7+4,$K29))=0,0,IF($H29="","EXT",SUMIFS(Calendar!$C$16:$C$134,Calendar!$A$16:$A$134,"&gt;="&amp;MAX(V$7,$J29),Calendar!$A$16:$A$134,"&lt;="&amp;MIN(V$7+4,$K29))*$H29/$G29)))</x:f>
        <x:v>0</x:v>
      </x:c>
      <x:c r="W29" s="44" t="n">
        <x:f>IF(OR($J29="",$K29=""),"",IF(SUMIFS(Calendar!$C$16:$C$134,Calendar!$A$16:$A$134,"&gt;="&amp;MAX(W$7,$J29),Calendar!$A$16:$A$134,"&lt;="&amp;MIN(W$7+4,$K29))=0,0,IF($H29="","EXT",SUMIFS(Calendar!$C$16:$C$134,Calendar!$A$16:$A$134,"&gt;="&amp;MAX(W$7,$J29),Calendar!$A$16:$A$134,"&lt;="&amp;MIN(W$7+4,$K29))*$H29/$G29)))</x:f>
        <x:v>0</x:v>
      </x:c>
      <x:c r="X29" s="44" t="n">
        <x:f>IF(OR($J29="",$K29=""),"",IF(SUMIFS(Calendar!$C$16:$C$134,Calendar!$A$16:$A$134,"&gt;="&amp;MAX(X$7,$J29),Calendar!$A$16:$A$134,"&lt;="&amp;MIN(X$7+4,$K29))=0,0,IF($H29="","EXT",SUMIFS(Calendar!$C$16:$C$134,Calendar!$A$16:$A$134,"&gt;="&amp;MAX(X$7,$J29),Calendar!$A$16:$A$134,"&lt;="&amp;MIN(X$7+4,$K29))*$H29/$G29)))</x:f>
        <x:v>0</x:v>
      </x:c>
      <x:c r="Y29" s="44" t="n">
        <x:f>IF(OR($J29="",$K29=""),"",IF(SUMIFS(Calendar!$C$16:$C$134,Calendar!$A$16:$A$134,"&gt;="&amp;MAX(Y$7,$J29),Calendar!$A$16:$A$134,"&lt;="&amp;MIN(Y$7+4,$K29))=0,0,IF($H29="","EXT",SUMIFS(Calendar!$C$16:$C$134,Calendar!$A$16:$A$134,"&gt;="&amp;MAX(Y$7,$J29),Calendar!$A$16:$A$134,"&lt;="&amp;MIN(Y$7+4,$K29))*$H29/$G29)))</x:f>
        <x:v>0</x:v>
      </x:c>
      <x:c r="Z29" s="44" t="n">
        <x:f>IF(OR($J29="",$K29=""),"",IF(SUMIFS(Calendar!$C$16:$C$134,Calendar!$A$16:$A$134,"&gt;="&amp;MAX(Z$7,$J29),Calendar!$A$16:$A$134,"&lt;="&amp;MIN(Z$7+4,$K29))=0,0,IF($H29="","EXT",SUMIFS(Calendar!$C$16:$C$134,Calendar!$A$16:$A$134,"&gt;="&amp;MAX(Z$7,$J29),Calendar!$A$16:$A$134,"&lt;="&amp;MIN(Z$7+4,$K29))*$H29/$G29)))</x:f>
        <x:v>0</x:v>
      </x:c>
      <x:c r="AA29" s="44" t="n">
        <x:f>IF(OR($J29="",$K29=""),"",IF(SUMIFS(Calendar!$C$16:$C$134,Calendar!$A$16:$A$134,"&gt;="&amp;MAX(AA$7,$J29),Calendar!$A$16:$A$134,"&lt;="&amp;MIN(AA$7+4,$K29))=0,0,IF($H29="","EXT",SUMIFS(Calendar!$C$16:$C$134,Calendar!$A$16:$A$134,"&gt;="&amp;MAX(AA$7,$J29),Calendar!$A$16:$A$134,"&lt;="&amp;MIN(AA$7+4,$K29))*$H29/$G29)))</x:f>
        <x:v>0</x:v>
      </x:c>
      <x:c r="AB29" s="44" t="n">
        <x:f>IF(OR($J29="",$K29=""),"",IF(SUMIFS(Calendar!$C$16:$C$134,Calendar!$A$16:$A$134,"&gt;="&amp;MAX(AB$7,$J29),Calendar!$A$16:$A$134,"&lt;="&amp;MIN(AB$7+4,$K29))=0,0,IF($H29="","EXT",SUMIFS(Calendar!$C$16:$C$134,Calendar!$A$16:$A$134,"&gt;="&amp;MAX(AB$7,$J29),Calendar!$A$16:$A$134,"&lt;="&amp;MIN(AB$7+4,$K29))*$H29/$G29)))</x:f>
        <x:v>0</x:v>
      </x:c>
      <x:c r="AC29" s="44" t="n">
        <x:f>IF(OR($J29="",$K29=""),"",IF(SUMIFS(Calendar!$C$16:$C$134,Calendar!$A$16:$A$134,"&gt;="&amp;MAX(AC$7,$J29),Calendar!$A$16:$A$134,"&lt;="&amp;MIN(AC$7+4,$K29))=0,0,IF($H29="","EXT",SUMIFS(Calendar!$C$16:$C$134,Calendar!$A$16:$A$134,"&gt;="&amp;MAX(AC$7,$J29),Calendar!$A$16:$A$134,"&lt;="&amp;MIN(AC$7+4,$K29))*$H29/$G29)))</x:f>
        <x:v>0</x:v>
      </x:c>
      <x:c r="AD29" s="44" t="n">
        <x:f>IF(OR($J29="",$K29=""),"",IF(SUMIFS(Calendar!$C$16:$C$134,Calendar!$A$16:$A$134,"&gt;="&amp;MAX(AD$7,$J29),Calendar!$A$16:$A$134,"&lt;="&amp;MIN(AD$7+4,$K29))=0,0,IF($H29="","EXT",SUMIFS(Calendar!$C$16:$C$134,Calendar!$A$16:$A$134,"&gt;="&amp;MAX(AD$7,$J29),Calendar!$A$16:$A$134,"&lt;="&amp;MIN(AD$7+4,$K29))*$H29/$G29)))</x:f>
        <x:v>0</x:v>
      </x:c>
      <x:c r="AE29" s="42" t="n">
        <x:f>IF(OR(M29&lt;&gt;"Scheduled",INDEX('Team and Gates'!$C$7:$C$11,MATCH($D29,'Team and Gates'!$A$7:$A$11,0))=""),"CHECK",SUM(N29:AD29)*INDEX('Team and Gates'!$C$7:$C$11,MATCH($D29,'Team and Gates'!$A$7:$A$11,0)))</x:f>
        <x:v>1440</x:v>
      </x:c>
      <x:c r="AF29" s="43" t="str">
        <x:v>Market completion is distinct from overall closure; source ACLs remain separate.</x:v>
      </x:c>
      <x:c r="AG29" s="43" t="str"/>
    </x:row>
    <x:row r="30" ht="36" customHeight="1">
      <x:c r="A30" s="2" t="str">
        <x:v>B08</x:v>
      </x:c>
      <x:c r="B30" s="2" t="str">
        <x:v>API / Portal</x:v>
      </x:c>
      <x:c r="C30" s="2" t="str">
        <x:v>Playbook Studio and template-based data import</x:v>
      </x:c>
      <x:c r="D30" s="20" t="str">
        <x:v>Dev 1</x:v>
      </x:c>
      <x:c r="E30" s="2" t="str">
        <x:v>B07, S07</x:v>
      </x:c>
      <x:c r="F30" s="47" t="n">
        <x:v>36</x:v>
      </x:c>
      <x:c r="G30" s="47" t="n">
        <x:v>10</x:v>
      </x:c>
      <x:c r="H30" s="48" t="n">
        <x:v>8</x:v>
      </x:c>
      <x:c r="I30" s="2" t="n">
        <x:f>IF(OR(F30="",G30=""),"",F30+G30-1)</x:f>
        <x:v>45</x:v>
      </x:c>
      <x:c r="J30" s="5" t="n">
        <x:f>IF(OR(F30="",F30&lt;1,F30&gt;Calendar!$B$9),"",INDEX(Calendar!$A$16:$A$134,MATCH(F30,Calendar!$D$16:$D$134,0)))</x:f>
        <x:v>46377</x:v>
      </x:c>
      <x:c r="K30" s="5" t="n">
        <x:f>IF(OR(I30="",I30&lt;1,I30&gt;Calendar!$B$9),"",INDEX(Calendar!$A$16:$A$134,MATCH(I30,Calendar!$D$16:$D$134,0)))</x:f>
        <x:v>46388</x:v>
      </x:c>
      <x:c r="L30" s="50" t="n">
        <x:v>0</x:v>
      </x:c>
      <x:c r="M30" s="2" t="str">
        <x:f>IF(OR(F30="",G30="",H30=""),"Missing input",IF(OR(F30&lt;1,G30&lt;1,I30&gt;Calendar!$B$9),"Outside calendar",IF(F30&lt;MAX(INDEX($I$8:$I$85,MATCH("B07",$A$8:$A$85,0))+1,INDEX($I$8:$I$85,MATCH("S07",$A$8:$A$85,0))+1),"Dependency conflict","Scheduled")))</x:f>
        <x:v>Scheduled</x:v>
      </x:c>
      <x:c r="N30" s="44" t="n">
        <x:f>IF(OR($J30="",$K30=""),"",IF(SUMIFS(Calendar!$C$16:$C$134,Calendar!$A$16:$A$134,"&gt;="&amp;MAX(N$7,$J30),Calendar!$A$16:$A$134,"&lt;="&amp;MIN(N$7+4,$K30))=0,0,IF($H30="","EXT",SUMIFS(Calendar!$C$16:$C$134,Calendar!$A$16:$A$134,"&gt;="&amp;MAX(N$7,$J30),Calendar!$A$16:$A$134,"&lt;="&amp;MIN(N$7+4,$K30))*$H30/$G30)))</x:f>
        <x:v>0</x:v>
      </x:c>
      <x:c r="O30" s="44" t="n">
        <x:f>IF(OR($J30="",$K30=""),"",IF(SUMIFS(Calendar!$C$16:$C$134,Calendar!$A$16:$A$134,"&gt;="&amp;MAX(O$7,$J30),Calendar!$A$16:$A$134,"&lt;="&amp;MIN(O$7+4,$K30))=0,0,IF($H30="","EXT",SUMIFS(Calendar!$C$16:$C$134,Calendar!$A$16:$A$134,"&gt;="&amp;MAX(O$7,$J30),Calendar!$A$16:$A$134,"&lt;="&amp;MIN(O$7+4,$K30))*$H30/$G30)))</x:f>
        <x:v>0</x:v>
      </x:c>
      <x:c r="P30" s="44" t="n">
        <x:f>IF(OR($J30="",$K30=""),"",IF(SUMIFS(Calendar!$C$16:$C$134,Calendar!$A$16:$A$134,"&gt;="&amp;MAX(P$7,$J30),Calendar!$A$16:$A$134,"&lt;="&amp;MIN(P$7+4,$K30))=0,0,IF($H30="","EXT",SUMIFS(Calendar!$C$16:$C$134,Calendar!$A$16:$A$134,"&gt;="&amp;MAX(P$7,$J30),Calendar!$A$16:$A$134,"&lt;="&amp;MIN(P$7+4,$K30))*$H30/$G30)))</x:f>
        <x:v>0</x:v>
      </x:c>
      <x:c r="Q30" s="44" t="n">
        <x:f>IF(OR($J30="",$K30=""),"",IF(SUMIFS(Calendar!$C$16:$C$134,Calendar!$A$16:$A$134,"&gt;="&amp;MAX(Q$7,$J30),Calendar!$A$16:$A$134,"&lt;="&amp;MIN(Q$7+4,$K30))=0,0,IF($H30="","EXT",SUMIFS(Calendar!$C$16:$C$134,Calendar!$A$16:$A$134,"&gt;="&amp;MAX(Q$7,$J30),Calendar!$A$16:$A$134,"&lt;="&amp;MIN(Q$7+4,$K30))*$H30/$G30)))</x:f>
        <x:v>0</x:v>
      </x:c>
      <x:c r="R30" s="44" t="n">
        <x:f>IF(OR($J30="",$K30=""),"",IF(SUMIFS(Calendar!$C$16:$C$134,Calendar!$A$16:$A$134,"&gt;="&amp;MAX(R$7,$J30),Calendar!$A$16:$A$134,"&lt;="&amp;MIN(R$7+4,$K30))=0,0,IF($H30="","EXT",SUMIFS(Calendar!$C$16:$C$134,Calendar!$A$16:$A$134,"&gt;="&amp;MAX(R$7,$J30),Calendar!$A$16:$A$134,"&lt;="&amp;MIN(R$7+4,$K30))*$H30/$G30)))</x:f>
        <x:v>0</x:v>
      </x:c>
      <x:c r="S30" s="44" t="n">
        <x:f>IF(OR($J30="",$K30=""),"",IF(SUMIFS(Calendar!$C$16:$C$134,Calendar!$A$16:$A$134,"&gt;="&amp;MAX(S$7,$J30),Calendar!$A$16:$A$134,"&lt;="&amp;MIN(S$7+4,$K30))=0,0,IF($H30="","EXT",SUMIFS(Calendar!$C$16:$C$134,Calendar!$A$16:$A$134,"&gt;="&amp;MAX(S$7,$J30),Calendar!$A$16:$A$134,"&lt;="&amp;MIN(S$7+4,$K30))*$H30/$G30)))</x:f>
        <x:v>0</x:v>
      </x:c>
      <x:c r="T30" s="44" t="n">
        <x:f>IF(OR($J30="",$K30=""),"",IF(SUMIFS(Calendar!$C$16:$C$134,Calendar!$A$16:$A$134,"&gt;="&amp;MAX(T$7,$J30),Calendar!$A$16:$A$134,"&lt;="&amp;MIN(T$7+4,$K30))=0,0,IF($H30="","EXT",SUMIFS(Calendar!$C$16:$C$134,Calendar!$A$16:$A$134,"&gt;="&amp;MAX(T$7,$J30),Calendar!$A$16:$A$134,"&lt;="&amp;MIN(T$7+4,$K30))*$H30/$G30)))</x:f>
        <x:v>0</x:v>
      </x:c>
      <x:c r="U30" s="44" t="n">
        <x:f>IF(OR($J30="",$K30=""),"",IF(SUMIFS(Calendar!$C$16:$C$134,Calendar!$A$16:$A$134,"&gt;="&amp;MAX(U$7,$J30),Calendar!$A$16:$A$134,"&lt;="&amp;MIN(U$7+4,$K30))=0,0,IF($H30="","EXT",SUMIFS(Calendar!$C$16:$C$134,Calendar!$A$16:$A$134,"&gt;="&amp;MAX(U$7,$J30),Calendar!$A$16:$A$134,"&lt;="&amp;MIN(U$7+4,$K30))*$H30/$G30)))</x:f>
        <x:v>4</x:v>
      </x:c>
      <x:c r="V30" s="44" t="n">
        <x:f>IF(OR($J30="",$K30=""),"",IF(SUMIFS(Calendar!$C$16:$C$134,Calendar!$A$16:$A$134,"&gt;="&amp;MAX(V$7,$J30),Calendar!$A$16:$A$134,"&lt;="&amp;MIN(V$7+4,$K30))=0,0,IF($H30="","EXT",SUMIFS(Calendar!$C$16:$C$134,Calendar!$A$16:$A$134,"&gt;="&amp;MAX(V$7,$J30),Calendar!$A$16:$A$134,"&lt;="&amp;MIN(V$7+4,$K30))*$H30/$G30)))</x:f>
        <x:v>4</x:v>
      </x:c>
      <x:c r="W30" s="44" t="n">
        <x:f>IF(OR($J30="",$K30=""),"",IF(SUMIFS(Calendar!$C$16:$C$134,Calendar!$A$16:$A$134,"&gt;="&amp;MAX(W$7,$J30),Calendar!$A$16:$A$134,"&lt;="&amp;MIN(W$7+4,$K30))=0,0,IF($H30="","EXT",SUMIFS(Calendar!$C$16:$C$134,Calendar!$A$16:$A$134,"&gt;="&amp;MAX(W$7,$J30),Calendar!$A$16:$A$134,"&lt;="&amp;MIN(W$7+4,$K30))*$H30/$G30)))</x:f>
        <x:v>0</x:v>
      </x:c>
      <x:c r="X30" s="44" t="n">
        <x:f>IF(OR($J30="",$K30=""),"",IF(SUMIFS(Calendar!$C$16:$C$134,Calendar!$A$16:$A$134,"&gt;="&amp;MAX(X$7,$J30),Calendar!$A$16:$A$134,"&lt;="&amp;MIN(X$7+4,$K30))=0,0,IF($H30="","EXT",SUMIFS(Calendar!$C$16:$C$134,Calendar!$A$16:$A$134,"&gt;="&amp;MAX(X$7,$J30),Calendar!$A$16:$A$134,"&lt;="&amp;MIN(X$7+4,$K30))*$H30/$G30)))</x:f>
        <x:v>0</x:v>
      </x:c>
      <x:c r="Y30" s="44" t="n">
        <x:f>IF(OR($J30="",$K30=""),"",IF(SUMIFS(Calendar!$C$16:$C$134,Calendar!$A$16:$A$134,"&gt;="&amp;MAX(Y$7,$J30),Calendar!$A$16:$A$134,"&lt;="&amp;MIN(Y$7+4,$K30))=0,0,IF($H30="","EXT",SUMIFS(Calendar!$C$16:$C$134,Calendar!$A$16:$A$134,"&gt;="&amp;MAX(Y$7,$J30),Calendar!$A$16:$A$134,"&lt;="&amp;MIN(Y$7+4,$K30))*$H30/$G30)))</x:f>
        <x:v>0</x:v>
      </x:c>
      <x:c r="Z30" s="44" t="n">
        <x:f>IF(OR($J30="",$K30=""),"",IF(SUMIFS(Calendar!$C$16:$C$134,Calendar!$A$16:$A$134,"&gt;="&amp;MAX(Z$7,$J30),Calendar!$A$16:$A$134,"&lt;="&amp;MIN(Z$7+4,$K30))=0,0,IF($H30="","EXT",SUMIFS(Calendar!$C$16:$C$134,Calendar!$A$16:$A$134,"&gt;="&amp;MAX(Z$7,$J30),Calendar!$A$16:$A$134,"&lt;="&amp;MIN(Z$7+4,$K30))*$H30/$G30)))</x:f>
        <x:v>0</x:v>
      </x:c>
      <x:c r="AA30" s="44" t="n">
        <x:f>IF(OR($J30="",$K30=""),"",IF(SUMIFS(Calendar!$C$16:$C$134,Calendar!$A$16:$A$134,"&gt;="&amp;MAX(AA$7,$J30),Calendar!$A$16:$A$134,"&lt;="&amp;MIN(AA$7+4,$K30))=0,0,IF($H30="","EXT",SUMIFS(Calendar!$C$16:$C$134,Calendar!$A$16:$A$134,"&gt;="&amp;MAX(AA$7,$J30),Calendar!$A$16:$A$134,"&lt;="&amp;MIN(AA$7+4,$K30))*$H30/$G30)))</x:f>
        <x:v>0</x:v>
      </x:c>
      <x:c r="AB30" s="44" t="n">
        <x:f>IF(OR($J30="",$K30=""),"",IF(SUMIFS(Calendar!$C$16:$C$134,Calendar!$A$16:$A$134,"&gt;="&amp;MAX(AB$7,$J30),Calendar!$A$16:$A$134,"&lt;="&amp;MIN(AB$7+4,$K30))=0,0,IF($H30="","EXT",SUMIFS(Calendar!$C$16:$C$134,Calendar!$A$16:$A$134,"&gt;="&amp;MAX(AB$7,$J30),Calendar!$A$16:$A$134,"&lt;="&amp;MIN(AB$7+4,$K30))*$H30/$G30)))</x:f>
        <x:v>0</x:v>
      </x:c>
      <x:c r="AC30" s="44" t="n">
        <x:f>IF(OR($J30="",$K30=""),"",IF(SUMIFS(Calendar!$C$16:$C$134,Calendar!$A$16:$A$134,"&gt;="&amp;MAX(AC$7,$J30),Calendar!$A$16:$A$134,"&lt;="&amp;MIN(AC$7+4,$K30))=0,0,IF($H30="","EXT",SUMIFS(Calendar!$C$16:$C$134,Calendar!$A$16:$A$134,"&gt;="&amp;MAX(AC$7,$J30),Calendar!$A$16:$A$134,"&lt;="&amp;MIN(AC$7+4,$K30))*$H30/$G30)))</x:f>
        <x:v>0</x:v>
      </x:c>
      <x:c r="AD30" s="44" t="n">
        <x:f>IF(OR($J30="",$K30=""),"",IF(SUMIFS(Calendar!$C$16:$C$134,Calendar!$A$16:$A$134,"&gt;="&amp;MAX(AD$7,$J30),Calendar!$A$16:$A$134,"&lt;="&amp;MIN(AD$7+4,$K30))=0,0,IF($H30="","EXT",SUMIFS(Calendar!$C$16:$C$134,Calendar!$A$16:$A$134,"&gt;="&amp;MAX(AD$7,$J30),Calendar!$A$16:$A$134,"&lt;="&amp;MIN(AD$7+4,$K30))*$H30/$G30)))</x:f>
        <x:v>0</x:v>
      </x:c>
      <x:c r="AE30" s="42" t="n">
        <x:f>IF(OR(M30&lt;&gt;"Scheduled",INDEX('Team and Gates'!$C$7:$C$11,MATCH($D30,'Team and Gates'!$A$7:$A$11,0))=""),"CHECK",SUM(N30:AD30)*INDEX('Team and Gates'!$C$7:$C$11,MATCH($D30,'Team and Gates'!$A$7:$A$11,0)))</x:f>
        <x:v>2880</x:v>
      </x:c>
      <x:c r="AF30" s="43" t="str">
        <x:v>Prompt/examples create bounded drafts; replay and human publication work.</x:v>
      </x:c>
      <x:c r="AG30" s="43" t="str">
        <x:v>Dec 21–Jan 1: implementation, integrated replay and business-defect fixes.</x:v>
      </x:c>
    </x:row>
    <x:row r="31" ht="36" customHeight="1">
      <x:c r="A31" s="35" t="str">
        <x:v>B09</x:v>
      </x:c>
      <x:c r="B31" s="35" t="str">
        <x:v>API / Portal</x:v>
      </x:c>
      <x:c r="C31" s="35" t="str">
        <x:v>API replicas, latency tracing and business fixes</x:v>
      </x:c>
      <x:c r="D31" s="20" t="str">
        <x:v>Dev 1</x:v>
      </x:c>
      <x:c r="E31" s="35" t="str">
        <x:v>B08, U08</x:v>
      </x:c>
      <x:c r="F31" s="47" t="n">
        <x:v>46</x:v>
      </x:c>
      <x:c r="G31" s="47" t="n">
        <x:v>5</x:v>
      </x:c>
      <x:c r="H31" s="48" t="n">
        <x:v>4</x:v>
      </x:c>
      <x:c r="I31" s="35" t="n">
        <x:f>IF(OR(F31="",G31=""),"",F31+G31-1)</x:f>
        <x:v>50</x:v>
      </x:c>
      <x:c r="J31" s="37" t="n">
        <x:f>IF(OR(F31="",F31&lt;1,F31&gt;Calendar!$B$9),"",INDEX(Calendar!$A$16:$A$134,MATCH(F31,Calendar!$D$16:$D$134,0)))</x:f>
        <x:v>46391</x:v>
      </x:c>
      <x:c r="K31" s="37" t="n">
        <x:f>IF(OR(I31="",I31&lt;1,I31&gt;Calendar!$B$9),"",INDEX(Calendar!$A$16:$A$134,MATCH(I31,Calendar!$D$16:$D$134,0)))</x:f>
        <x:v>46395</x:v>
      </x:c>
      <x:c r="L31" s="50" t="n">
        <x:v>0</x:v>
      </x:c>
      <x:c r="M31" s="35" t="str">
        <x:f>IF(OR(F31="",G31="",H31=""),"Missing input",IF(OR(F31&lt;1,G31&lt;1,I31&gt;Calendar!$B$9),"Outside calendar",IF(F31&lt;MAX(INDEX($I$8:$I$85,MATCH("B08",$A$8:$A$85,0))+1,INDEX($I$8:$I$85,MATCH("U08",$A$8:$A$85,0))+1),"Dependency conflict","Scheduled")))</x:f>
        <x:v>Scheduled</x:v>
      </x:c>
      <x:c r="N31" s="44" t="n">
        <x:f>IF(OR($J31="",$K31=""),"",IF(SUMIFS(Calendar!$C$16:$C$134,Calendar!$A$16:$A$134,"&gt;="&amp;MAX(N$7,$J31),Calendar!$A$16:$A$134,"&lt;="&amp;MIN(N$7+4,$K31))=0,0,IF($H31="","EXT",SUMIFS(Calendar!$C$16:$C$134,Calendar!$A$16:$A$134,"&gt;="&amp;MAX(N$7,$J31),Calendar!$A$16:$A$134,"&lt;="&amp;MIN(N$7+4,$K31))*$H31/$G31)))</x:f>
        <x:v>0</x:v>
      </x:c>
      <x:c r="O31" s="44" t="n">
        <x:f>IF(OR($J31="",$K31=""),"",IF(SUMIFS(Calendar!$C$16:$C$134,Calendar!$A$16:$A$134,"&gt;="&amp;MAX(O$7,$J31),Calendar!$A$16:$A$134,"&lt;="&amp;MIN(O$7+4,$K31))=0,0,IF($H31="","EXT",SUMIFS(Calendar!$C$16:$C$134,Calendar!$A$16:$A$134,"&gt;="&amp;MAX(O$7,$J31),Calendar!$A$16:$A$134,"&lt;="&amp;MIN(O$7+4,$K31))*$H31/$G31)))</x:f>
        <x:v>0</x:v>
      </x:c>
      <x:c r="P31" s="44" t="n">
        <x:f>IF(OR($J31="",$K31=""),"",IF(SUMIFS(Calendar!$C$16:$C$134,Calendar!$A$16:$A$134,"&gt;="&amp;MAX(P$7,$J31),Calendar!$A$16:$A$134,"&lt;="&amp;MIN(P$7+4,$K31))=0,0,IF($H31="","EXT",SUMIFS(Calendar!$C$16:$C$134,Calendar!$A$16:$A$134,"&gt;="&amp;MAX(P$7,$J31),Calendar!$A$16:$A$134,"&lt;="&amp;MIN(P$7+4,$K31))*$H31/$G31)))</x:f>
        <x:v>0</x:v>
      </x:c>
      <x:c r="Q31" s="44" t="n">
        <x:f>IF(OR($J31="",$K31=""),"",IF(SUMIFS(Calendar!$C$16:$C$134,Calendar!$A$16:$A$134,"&gt;="&amp;MAX(Q$7,$J31),Calendar!$A$16:$A$134,"&lt;="&amp;MIN(Q$7+4,$K31))=0,0,IF($H31="","EXT",SUMIFS(Calendar!$C$16:$C$134,Calendar!$A$16:$A$134,"&gt;="&amp;MAX(Q$7,$J31),Calendar!$A$16:$A$134,"&lt;="&amp;MIN(Q$7+4,$K31))*$H31/$G31)))</x:f>
        <x:v>0</x:v>
      </x:c>
      <x:c r="R31" s="44" t="n">
        <x:f>IF(OR($J31="",$K31=""),"",IF(SUMIFS(Calendar!$C$16:$C$134,Calendar!$A$16:$A$134,"&gt;="&amp;MAX(R$7,$J31),Calendar!$A$16:$A$134,"&lt;="&amp;MIN(R$7+4,$K31))=0,0,IF($H31="","EXT",SUMIFS(Calendar!$C$16:$C$134,Calendar!$A$16:$A$134,"&gt;="&amp;MAX(R$7,$J31),Calendar!$A$16:$A$134,"&lt;="&amp;MIN(R$7+4,$K31))*$H31/$G31)))</x:f>
        <x:v>0</x:v>
      </x:c>
      <x:c r="S31" s="44" t="n">
        <x:f>IF(OR($J31="",$K31=""),"",IF(SUMIFS(Calendar!$C$16:$C$134,Calendar!$A$16:$A$134,"&gt;="&amp;MAX(S$7,$J31),Calendar!$A$16:$A$134,"&lt;="&amp;MIN(S$7+4,$K31))=0,0,IF($H31="","EXT",SUMIFS(Calendar!$C$16:$C$134,Calendar!$A$16:$A$134,"&gt;="&amp;MAX(S$7,$J31),Calendar!$A$16:$A$134,"&lt;="&amp;MIN(S$7+4,$K31))*$H31/$G31)))</x:f>
        <x:v>0</x:v>
      </x:c>
      <x:c r="T31" s="44" t="n">
        <x:f>IF(OR($J31="",$K31=""),"",IF(SUMIFS(Calendar!$C$16:$C$134,Calendar!$A$16:$A$134,"&gt;="&amp;MAX(T$7,$J31),Calendar!$A$16:$A$134,"&lt;="&amp;MIN(T$7+4,$K31))=0,0,IF($H31="","EXT",SUMIFS(Calendar!$C$16:$C$134,Calendar!$A$16:$A$134,"&gt;="&amp;MAX(T$7,$J31),Calendar!$A$16:$A$134,"&lt;="&amp;MIN(T$7+4,$K31))*$H31/$G31)))</x:f>
        <x:v>0</x:v>
      </x:c>
      <x:c r="U31" s="44" t="n">
        <x:f>IF(OR($J31="",$K31=""),"",IF(SUMIFS(Calendar!$C$16:$C$134,Calendar!$A$16:$A$134,"&gt;="&amp;MAX(U$7,$J31),Calendar!$A$16:$A$134,"&lt;="&amp;MIN(U$7+4,$K31))=0,0,IF($H31="","EXT",SUMIFS(Calendar!$C$16:$C$134,Calendar!$A$16:$A$134,"&gt;="&amp;MAX(U$7,$J31),Calendar!$A$16:$A$134,"&lt;="&amp;MIN(U$7+4,$K31))*$H31/$G31)))</x:f>
        <x:v>0</x:v>
      </x:c>
      <x:c r="V31" s="44" t="n">
        <x:f>IF(OR($J31="",$K31=""),"",IF(SUMIFS(Calendar!$C$16:$C$134,Calendar!$A$16:$A$134,"&gt;="&amp;MAX(V$7,$J31),Calendar!$A$16:$A$134,"&lt;="&amp;MIN(V$7+4,$K31))=0,0,IF($H31="","EXT",SUMIFS(Calendar!$C$16:$C$134,Calendar!$A$16:$A$134,"&gt;="&amp;MAX(V$7,$J31),Calendar!$A$16:$A$134,"&lt;="&amp;MIN(V$7+4,$K31))*$H31/$G31)))</x:f>
        <x:v>0</x:v>
      </x:c>
      <x:c r="W31" s="44" t="n">
        <x:f>IF(OR($J31="",$K31=""),"",IF(SUMIFS(Calendar!$C$16:$C$134,Calendar!$A$16:$A$134,"&gt;="&amp;MAX(W$7,$J31),Calendar!$A$16:$A$134,"&lt;="&amp;MIN(W$7+4,$K31))=0,0,IF($H31="","EXT",SUMIFS(Calendar!$C$16:$C$134,Calendar!$A$16:$A$134,"&gt;="&amp;MAX(W$7,$J31),Calendar!$A$16:$A$134,"&lt;="&amp;MIN(W$7+4,$K31))*$H31/$G31)))</x:f>
        <x:v>4</x:v>
      </x:c>
      <x:c r="X31" s="44" t="n">
        <x:f>IF(OR($J31="",$K31=""),"",IF(SUMIFS(Calendar!$C$16:$C$134,Calendar!$A$16:$A$134,"&gt;="&amp;MAX(X$7,$J31),Calendar!$A$16:$A$134,"&lt;="&amp;MIN(X$7+4,$K31))=0,0,IF($H31="","EXT",SUMIFS(Calendar!$C$16:$C$134,Calendar!$A$16:$A$134,"&gt;="&amp;MAX(X$7,$J31),Calendar!$A$16:$A$134,"&lt;="&amp;MIN(X$7+4,$K31))*$H31/$G31)))</x:f>
        <x:v>0</x:v>
      </x:c>
      <x:c r="Y31" s="44" t="n">
        <x:f>IF(OR($J31="",$K31=""),"",IF(SUMIFS(Calendar!$C$16:$C$134,Calendar!$A$16:$A$134,"&gt;="&amp;MAX(Y$7,$J31),Calendar!$A$16:$A$134,"&lt;="&amp;MIN(Y$7+4,$K31))=0,0,IF($H31="","EXT",SUMIFS(Calendar!$C$16:$C$134,Calendar!$A$16:$A$134,"&gt;="&amp;MAX(Y$7,$J31),Calendar!$A$16:$A$134,"&lt;="&amp;MIN(Y$7+4,$K31))*$H31/$G31)))</x:f>
        <x:v>0</x:v>
      </x:c>
      <x:c r="Z31" s="44" t="n">
        <x:f>IF(OR($J31="",$K31=""),"",IF(SUMIFS(Calendar!$C$16:$C$134,Calendar!$A$16:$A$134,"&gt;="&amp;MAX(Z$7,$J31),Calendar!$A$16:$A$134,"&lt;="&amp;MIN(Z$7+4,$K31))=0,0,IF($H31="","EXT",SUMIFS(Calendar!$C$16:$C$134,Calendar!$A$16:$A$134,"&gt;="&amp;MAX(Z$7,$J31),Calendar!$A$16:$A$134,"&lt;="&amp;MIN(Z$7+4,$K31))*$H31/$G31)))</x:f>
        <x:v>0</x:v>
      </x:c>
      <x:c r="AA31" s="44" t="n">
        <x:f>IF(OR($J31="",$K31=""),"",IF(SUMIFS(Calendar!$C$16:$C$134,Calendar!$A$16:$A$134,"&gt;="&amp;MAX(AA$7,$J31),Calendar!$A$16:$A$134,"&lt;="&amp;MIN(AA$7+4,$K31))=0,0,IF($H31="","EXT",SUMIFS(Calendar!$C$16:$C$134,Calendar!$A$16:$A$134,"&gt;="&amp;MAX(AA$7,$J31),Calendar!$A$16:$A$134,"&lt;="&amp;MIN(AA$7+4,$K31))*$H31/$G31)))</x:f>
        <x:v>0</x:v>
      </x:c>
      <x:c r="AB31" s="44" t="n">
        <x:f>IF(OR($J31="",$K31=""),"",IF(SUMIFS(Calendar!$C$16:$C$134,Calendar!$A$16:$A$134,"&gt;="&amp;MAX(AB$7,$J31),Calendar!$A$16:$A$134,"&lt;="&amp;MIN(AB$7+4,$K31))=0,0,IF($H31="","EXT",SUMIFS(Calendar!$C$16:$C$134,Calendar!$A$16:$A$134,"&gt;="&amp;MAX(AB$7,$J31),Calendar!$A$16:$A$134,"&lt;="&amp;MIN(AB$7+4,$K31))*$H31/$G31)))</x:f>
        <x:v>0</x:v>
      </x:c>
      <x:c r="AC31" s="44" t="n">
        <x:f>IF(OR($J31="",$K31=""),"",IF(SUMIFS(Calendar!$C$16:$C$134,Calendar!$A$16:$A$134,"&gt;="&amp;MAX(AC$7,$J31),Calendar!$A$16:$A$134,"&lt;="&amp;MIN(AC$7+4,$K31))=0,0,IF($H31="","EXT",SUMIFS(Calendar!$C$16:$C$134,Calendar!$A$16:$A$134,"&gt;="&amp;MAX(AC$7,$J31),Calendar!$A$16:$A$134,"&lt;="&amp;MIN(AC$7+4,$K31))*$H31/$G31)))</x:f>
        <x:v>0</x:v>
      </x:c>
      <x:c r="AD31" s="44" t="n">
        <x:f>IF(OR($J31="",$K31=""),"",IF(SUMIFS(Calendar!$C$16:$C$134,Calendar!$A$16:$A$134,"&gt;="&amp;MAX(AD$7,$J31),Calendar!$A$16:$A$134,"&lt;="&amp;MIN(AD$7+4,$K31))=0,0,IF($H31="","EXT",SUMIFS(Calendar!$C$16:$C$134,Calendar!$A$16:$A$134,"&gt;="&amp;MAX(AD$7,$J31),Calendar!$A$16:$A$134,"&lt;="&amp;MIN(AD$7+4,$K31))*$H31/$G31)))</x:f>
        <x:v>0</x:v>
      </x:c>
      <x:c r="AE31" s="42" t="n">
        <x:f>IF(OR(M31&lt;&gt;"Scheduled",INDEX('Team and Gates'!$C$7:$C$11,MATCH($D31,'Team and Gates'!$A$7:$A$11,0))=""),"CHECK",SUM(N31:AD31)*INDEX('Team and Gates'!$C$7:$C$11,MATCH($D31,'Team and Gates'!$A$7:$A$11,0)))</x:f>
        <x:v>1440</x:v>
      </x:c>
      <x:c r="AF31" s="43" t="str">
        <x:v>API/Portal failover, session handling, tracing and business defects are verified.</x:v>
      </x:c>
      <x:c r="AG31" s="43" t="str"/>
    </x:row>
    <x:row r="32" ht="36" customHeight="1">
      <x:c r="A32" s="2" t="str">
        <x:v>B10</x:v>
      </x:c>
      <x:c r="B32" s="2" t="str">
        <x:v>API / Portal</x:v>
      </x:c>
      <x:c r="C32" s="2" t="str">
        <x:v>Release candidate and AM training materials</x:v>
      </x:c>
      <x:c r="D32" s="20" t="str">
        <x:v>Dev 1</x:v>
      </x:c>
      <x:c r="E32" s="2" t="str">
        <x:v>B09, S09</x:v>
      </x:c>
      <x:c r="F32" s="47" t="n">
        <x:v>51</x:v>
      </x:c>
      <x:c r="G32" s="47" t="n">
        <x:v>5</x:v>
      </x:c>
      <x:c r="H32" s="48" t="n">
        <x:v>4</x:v>
      </x:c>
      <x:c r="I32" s="2" t="n">
        <x:f>IF(OR(F32="",G32=""),"",F32+G32-1)</x:f>
        <x:v>55</x:v>
      </x:c>
      <x:c r="J32" s="5" t="n">
        <x:f>IF(OR(F32="",F32&lt;1,F32&gt;Calendar!$B$9),"",INDEX(Calendar!$A$16:$A$134,MATCH(F32,Calendar!$D$16:$D$134,0)))</x:f>
        <x:v>46398</x:v>
      </x:c>
      <x:c r="K32" s="5" t="n">
        <x:f>IF(OR(I32="",I32&lt;1,I32&gt;Calendar!$B$9),"",INDEX(Calendar!$A$16:$A$134,MATCH(I32,Calendar!$D$16:$D$134,0)))</x:f>
        <x:v>46402</x:v>
      </x:c>
      <x:c r="L32" s="50" t="n">
        <x:v>0</x:v>
      </x:c>
      <x:c r="M32" s="2" t="str">
        <x:f>IF(OR(F32="",G32="",H32=""),"Missing input",IF(OR(F32&lt;1,G32&lt;1,I32&gt;Calendar!$B$9),"Outside calendar",IF(F32&lt;MAX(INDEX($I$8:$I$85,MATCH("B09",$A$8:$A$85,0))+1,INDEX($I$8:$I$85,MATCH("S09",$A$8:$A$85,0))+1),"Dependency conflict","Scheduled")))</x:f>
        <x:v>Scheduled</x:v>
      </x:c>
      <x:c r="N32" s="44" t="n">
        <x:f>IF(OR($J32="",$K32=""),"",IF(SUMIFS(Calendar!$C$16:$C$134,Calendar!$A$16:$A$134,"&gt;="&amp;MAX(N$7,$J32),Calendar!$A$16:$A$134,"&lt;="&amp;MIN(N$7+4,$K32))=0,0,IF($H32="","EXT",SUMIFS(Calendar!$C$16:$C$134,Calendar!$A$16:$A$134,"&gt;="&amp;MAX(N$7,$J32),Calendar!$A$16:$A$134,"&lt;="&amp;MIN(N$7+4,$K32))*$H32/$G32)))</x:f>
        <x:v>0</x:v>
      </x:c>
      <x:c r="O32" s="44" t="n">
        <x:f>IF(OR($J32="",$K32=""),"",IF(SUMIFS(Calendar!$C$16:$C$134,Calendar!$A$16:$A$134,"&gt;="&amp;MAX(O$7,$J32),Calendar!$A$16:$A$134,"&lt;="&amp;MIN(O$7+4,$K32))=0,0,IF($H32="","EXT",SUMIFS(Calendar!$C$16:$C$134,Calendar!$A$16:$A$134,"&gt;="&amp;MAX(O$7,$J32),Calendar!$A$16:$A$134,"&lt;="&amp;MIN(O$7+4,$K32))*$H32/$G32)))</x:f>
        <x:v>0</x:v>
      </x:c>
      <x:c r="P32" s="44" t="n">
        <x:f>IF(OR($J32="",$K32=""),"",IF(SUMIFS(Calendar!$C$16:$C$134,Calendar!$A$16:$A$134,"&gt;="&amp;MAX(P$7,$J32),Calendar!$A$16:$A$134,"&lt;="&amp;MIN(P$7+4,$K32))=0,0,IF($H32="","EXT",SUMIFS(Calendar!$C$16:$C$134,Calendar!$A$16:$A$134,"&gt;="&amp;MAX(P$7,$J32),Calendar!$A$16:$A$134,"&lt;="&amp;MIN(P$7+4,$K32))*$H32/$G32)))</x:f>
        <x:v>0</x:v>
      </x:c>
      <x:c r="Q32" s="44" t="n">
        <x:f>IF(OR($J32="",$K32=""),"",IF(SUMIFS(Calendar!$C$16:$C$134,Calendar!$A$16:$A$134,"&gt;="&amp;MAX(Q$7,$J32),Calendar!$A$16:$A$134,"&lt;="&amp;MIN(Q$7+4,$K32))=0,0,IF($H32="","EXT",SUMIFS(Calendar!$C$16:$C$134,Calendar!$A$16:$A$134,"&gt;="&amp;MAX(Q$7,$J32),Calendar!$A$16:$A$134,"&lt;="&amp;MIN(Q$7+4,$K32))*$H32/$G32)))</x:f>
        <x:v>0</x:v>
      </x:c>
      <x:c r="R32" s="44" t="n">
        <x:f>IF(OR($J32="",$K32=""),"",IF(SUMIFS(Calendar!$C$16:$C$134,Calendar!$A$16:$A$134,"&gt;="&amp;MAX(R$7,$J32),Calendar!$A$16:$A$134,"&lt;="&amp;MIN(R$7+4,$K32))=0,0,IF($H32="","EXT",SUMIFS(Calendar!$C$16:$C$134,Calendar!$A$16:$A$134,"&gt;="&amp;MAX(R$7,$J32),Calendar!$A$16:$A$134,"&lt;="&amp;MIN(R$7+4,$K32))*$H32/$G32)))</x:f>
        <x:v>0</x:v>
      </x:c>
      <x:c r="S32" s="44" t="n">
        <x:f>IF(OR($J32="",$K32=""),"",IF(SUMIFS(Calendar!$C$16:$C$134,Calendar!$A$16:$A$134,"&gt;="&amp;MAX(S$7,$J32),Calendar!$A$16:$A$134,"&lt;="&amp;MIN(S$7+4,$K32))=0,0,IF($H32="","EXT",SUMIFS(Calendar!$C$16:$C$134,Calendar!$A$16:$A$134,"&gt;="&amp;MAX(S$7,$J32),Calendar!$A$16:$A$134,"&lt;="&amp;MIN(S$7+4,$K32))*$H32/$G32)))</x:f>
        <x:v>0</x:v>
      </x:c>
      <x:c r="T32" s="44" t="n">
        <x:f>IF(OR($J32="",$K32=""),"",IF(SUMIFS(Calendar!$C$16:$C$134,Calendar!$A$16:$A$134,"&gt;="&amp;MAX(T$7,$J32),Calendar!$A$16:$A$134,"&lt;="&amp;MIN(T$7+4,$K32))=0,0,IF($H32="","EXT",SUMIFS(Calendar!$C$16:$C$134,Calendar!$A$16:$A$134,"&gt;="&amp;MAX(T$7,$J32),Calendar!$A$16:$A$134,"&lt;="&amp;MIN(T$7+4,$K32))*$H32/$G32)))</x:f>
        <x:v>0</x:v>
      </x:c>
      <x:c r="U32" s="44" t="n">
        <x:f>IF(OR($J32="",$K32=""),"",IF(SUMIFS(Calendar!$C$16:$C$134,Calendar!$A$16:$A$134,"&gt;="&amp;MAX(U$7,$J32),Calendar!$A$16:$A$134,"&lt;="&amp;MIN(U$7+4,$K32))=0,0,IF($H32="","EXT",SUMIFS(Calendar!$C$16:$C$134,Calendar!$A$16:$A$134,"&gt;="&amp;MAX(U$7,$J32),Calendar!$A$16:$A$134,"&lt;="&amp;MIN(U$7+4,$K32))*$H32/$G32)))</x:f>
        <x:v>0</x:v>
      </x:c>
      <x:c r="V32" s="44" t="n">
        <x:f>IF(OR($J32="",$K32=""),"",IF(SUMIFS(Calendar!$C$16:$C$134,Calendar!$A$16:$A$134,"&gt;="&amp;MAX(V$7,$J32),Calendar!$A$16:$A$134,"&lt;="&amp;MIN(V$7+4,$K32))=0,0,IF($H32="","EXT",SUMIFS(Calendar!$C$16:$C$134,Calendar!$A$16:$A$134,"&gt;="&amp;MAX(V$7,$J32),Calendar!$A$16:$A$134,"&lt;="&amp;MIN(V$7+4,$K32))*$H32/$G32)))</x:f>
        <x:v>0</x:v>
      </x:c>
      <x:c r="W32" s="44" t="n">
        <x:f>IF(OR($J32="",$K32=""),"",IF(SUMIFS(Calendar!$C$16:$C$134,Calendar!$A$16:$A$134,"&gt;="&amp;MAX(W$7,$J32),Calendar!$A$16:$A$134,"&lt;="&amp;MIN(W$7+4,$K32))=0,0,IF($H32="","EXT",SUMIFS(Calendar!$C$16:$C$134,Calendar!$A$16:$A$134,"&gt;="&amp;MAX(W$7,$J32),Calendar!$A$16:$A$134,"&lt;="&amp;MIN(W$7+4,$K32))*$H32/$G32)))</x:f>
        <x:v>0</x:v>
      </x:c>
      <x:c r="X32" s="44" t="n">
        <x:f>IF(OR($J32="",$K32=""),"",IF(SUMIFS(Calendar!$C$16:$C$134,Calendar!$A$16:$A$134,"&gt;="&amp;MAX(X$7,$J32),Calendar!$A$16:$A$134,"&lt;="&amp;MIN(X$7+4,$K32))=0,0,IF($H32="","EXT",SUMIFS(Calendar!$C$16:$C$134,Calendar!$A$16:$A$134,"&gt;="&amp;MAX(X$7,$J32),Calendar!$A$16:$A$134,"&lt;="&amp;MIN(X$7+4,$K32))*$H32/$G32)))</x:f>
        <x:v>4</x:v>
      </x:c>
      <x:c r="Y32" s="44" t="n">
        <x:f>IF(OR($J32="",$K32=""),"",IF(SUMIFS(Calendar!$C$16:$C$134,Calendar!$A$16:$A$134,"&gt;="&amp;MAX(Y$7,$J32),Calendar!$A$16:$A$134,"&lt;="&amp;MIN(Y$7+4,$K32))=0,0,IF($H32="","EXT",SUMIFS(Calendar!$C$16:$C$134,Calendar!$A$16:$A$134,"&gt;="&amp;MAX(Y$7,$J32),Calendar!$A$16:$A$134,"&lt;="&amp;MIN(Y$7+4,$K32))*$H32/$G32)))</x:f>
        <x:v>0</x:v>
      </x:c>
      <x:c r="Z32" s="44" t="n">
        <x:f>IF(OR($J32="",$K32=""),"",IF(SUMIFS(Calendar!$C$16:$C$134,Calendar!$A$16:$A$134,"&gt;="&amp;MAX(Z$7,$J32),Calendar!$A$16:$A$134,"&lt;="&amp;MIN(Z$7+4,$K32))=0,0,IF($H32="","EXT",SUMIFS(Calendar!$C$16:$C$134,Calendar!$A$16:$A$134,"&gt;="&amp;MAX(Z$7,$J32),Calendar!$A$16:$A$134,"&lt;="&amp;MIN(Z$7+4,$K32))*$H32/$G32)))</x:f>
        <x:v>0</x:v>
      </x:c>
      <x:c r="AA32" s="44" t="n">
        <x:f>IF(OR($J32="",$K32=""),"",IF(SUMIFS(Calendar!$C$16:$C$134,Calendar!$A$16:$A$134,"&gt;="&amp;MAX(AA$7,$J32),Calendar!$A$16:$A$134,"&lt;="&amp;MIN(AA$7+4,$K32))=0,0,IF($H32="","EXT",SUMIFS(Calendar!$C$16:$C$134,Calendar!$A$16:$A$134,"&gt;="&amp;MAX(AA$7,$J32),Calendar!$A$16:$A$134,"&lt;="&amp;MIN(AA$7+4,$K32))*$H32/$G32)))</x:f>
        <x:v>0</x:v>
      </x:c>
      <x:c r="AB32" s="44" t="n">
        <x:f>IF(OR($J32="",$K32=""),"",IF(SUMIFS(Calendar!$C$16:$C$134,Calendar!$A$16:$A$134,"&gt;="&amp;MAX(AB$7,$J32),Calendar!$A$16:$A$134,"&lt;="&amp;MIN(AB$7+4,$K32))=0,0,IF($H32="","EXT",SUMIFS(Calendar!$C$16:$C$134,Calendar!$A$16:$A$134,"&gt;="&amp;MAX(AB$7,$J32),Calendar!$A$16:$A$134,"&lt;="&amp;MIN(AB$7+4,$K32))*$H32/$G32)))</x:f>
        <x:v>0</x:v>
      </x:c>
      <x:c r="AC32" s="44" t="n">
        <x:f>IF(OR($J32="",$K32=""),"",IF(SUMIFS(Calendar!$C$16:$C$134,Calendar!$A$16:$A$134,"&gt;="&amp;MAX(AC$7,$J32),Calendar!$A$16:$A$134,"&lt;="&amp;MIN(AC$7+4,$K32))=0,0,IF($H32="","EXT",SUMIFS(Calendar!$C$16:$C$134,Calendar!$A$16:$A$134,"&gt;="&amp;MAX(AC$7,$J32),Calendar!$A$16:$A$134,"&lt;="&amp;MIN(AC$7+4,$K32))*$H32/$G32)))</x:f>
        <x:v>0</x:v>
      </x:c>
      <x:c r="AD32" s="44" t="n">
        <x:f>IF(OR($J32="",$K32=""),"",IF(SUMIFS(Calendar!$C$16:$C$134,Calendar!$A$16:$A$134,"&gt;="&amp;MAX(AD$7,$J32),Calendar!$A$16:$A$134,"&lt;="&amp;MIN(AD$7+4,$K32))=0,0,IF($H32="","EXT",SUMIFS(Calendar!$C$16:$C$134,Calendar!$A$16:$A$134,"&gt;="&amp;MAX(AD$7,$J32),Calendar!$A$16:$A$134,"&lt;="&amp;MIN(AD$7+4,$K32))*$H32/$G32)))</x:f>
        <x:v>0</x:v>
      </x:c>
      <x:c r="AE32" s="42" t="n">
        <x:f>IF(OR(M32&lt;&gt;"Scheduled",INDEX('Team and Gates'!$C$7:$C$11,MATCH($D32,'Team and Gates'!$A$7:$A$11,0))=""),"CHECK",SUM(N32:AD32)*INDEX('Team and Gates'!$C$7:$C$11,MATCH($D32,'Team and Gates'!$A$7:$A$11,0)))</x:f>
        <x:v>1440</x:v>
      </x:c>
      <x:c r="AF32" s="43" t="str">
        <x:v>Candidate UI, AM guide, failure states and source context are reviewable.</x:v>
      </x:c>
      <x:c r="AG32" s="43" t="str"/>
    </x:row>
    <x:row r="33" ht="36" customHeight="1">
      <x:c r="A33" s="35" t="str">
        <x:v>B11</x:v>
      </x:c>
      <x:c r="B33" s="35" t="str">
        <x:v>API / Portal</x:v>
      </x:c>
      <x:c r="C33" s="35" t="str">
        <x:v>UAT user-story and usability fixes</x:v>
      </x:c>
      <x:c r="D33" s="20" t="str">
        <x:v>Dev 1</x:v>
      </x:c>
      <x:c r="E33" s="35" t="str">
        <x:v>B10</x:v>
      </x:c>
      <x:c r="F33" s="47" t="n">
        <x:v>56</x:v>
      </x:c>
      <x:c r="G33" s="47" t="n">
        <x:v>5</x:v>
      </x:c>
      <x:c r="H33" s="48" t="n">
        <x:v>4</x:v>
      </x:c>
      <x:c r="I33" s="35" t="n">
        <x:f>IF(OR(F33="",G33=""),"",F33+G33-1)</x:f>
        <x:v>60</x:v>
      </x:c>
      <x:c r="J33" s="37" t="n">
        <x:f>IF(OR(F33="",F33&lt;1,F33&gt;Calendar!$B$9),"",INDEX(Calendar!$A$16:$A$134,MATCH(F33,Calendar!$D$16:$D$134,0)))</x:f>
        <x:v>46405</x:v>
      </x:c>
      <x:c r="K33" s="37" t="n">
        <x:f>IF(OR(I33="",I33&lt;1,I33&gt;Calendar!$B$9),"",INDEX(Calendar!$A$16:$A$134,MATCH(I33,Calendar!$D$16:$D$134,0)))</x:f>
        <x:v>46409</x:v>
      </x:c>
      <x:c r="L33" s="50" t="n">
        <x:v>0</x:v>
      </x:c>
      <x:c r="M33" s="35" t="str">
        <x:f>IF(OR(F33="",G33="",H33=""),"Missing input",IF(OR(F33&lt;1,G33&lt;1,I33&gt;Calendar!$B$9),"Outside calendar",IF(F33&lt;MAX(INDEX($I$8:$I$85,MATCH("B10",$A$8:$A$85,0))+1),"Dependency conflict","Scheduled")))</x:f>
        <x:v>Scheduled</x:v>
      </x:c>
      <x:c r="N33" s="44" t="n">
        <x:f>IF(OR($J33="",$K33=""),"",IF(SUMIFS(Calendar!$C$16:$C$134,Calendar!$A$16:$A$134,"&gt;="&amp;MAX(N$7,$J33),Calendar!$A$16:$A$134,"&lt;="&amp;MIN(N$7+4,$K33))=0,0,IF($H33="","EXT",SUMIFS(Calendar!$C$16:$C$134,Calendar!$A$16:$A$134,"&gt;="&amp;MAX(N$7,$J33),Calendar!$A$16:$A$134,"&lt;="&amp;MIN(N$7+4,$K33))*$H33/$G33)))</x:f>
        <x:v>0</x:v>
      </x:c>
      <x:c r="O33" s="44" t="n">
        <x:f>IF(OR($J33="",$K33=""),"",IF(SUMIFS(Calendar!$C$16:$C$134,Calendar!$A$16:$A$134,"&gt;="&amp;MAX(O$7,$J33),Calendar!$A$16:$A$134,"&lt;="&amp;MIN(O$7+4,$K33))=0,0,IF($H33="","EXT",SUMIFS(Calendar!$C$16:$C$134,Calendar!$A$16:$A$134,"&gt;="&amp;MAX(O$7,$J33),Calendar!$A$16:$A$134,"&lt;="&amp;MIN(O$7+4,$K33))*$H33/$G33)))</x:f>
        <x:v>0</x:v>
      </x:c>
      <x:c r="P33" s="44" t="n">
        <x:f>IF(OR($J33="",$K33=""),"",IF(SUMIFS(Calendar!$C$16:$C$134,Calendar!$A$16:$A$134,"&gt;="&amp;MAX(P$7,$J33),Calendar!$A$16:$A$134,"&lt;="&amp;MIN(P$7+4,$K33))=0,0,IF($H33="","EXT",SUMIFS(Calendar!$C$16:$C$134,Calendar!$A$16:$A$134,"&gt;="&amp;MAX(P$7,$J33),Calendar!$A$16:$A$134,"&lt;="&amp;MIN(P$7+4,$K33))*$H33/$G33)))</x:f>
        <x:v>0</x:v>
      </x:c>
      <x:c r="Q33" s="44" t="n">
        <x:f>IF(OR($J33="",$K33=""),"",IF(SUMIFS(Calendar!$C$16:$C$134,Calendar!$A$16:$A$134,"&gt;="&amp;MAX(Q$7,$J33),Calendar!$A$16:$A$134,"&lt;="&amp;MIN(Q$7+4,$K33))=0,0,IF($H33="","EXT",SUMIFS(Calendar!$C$16:$C$134,Calendar!$A$16:$A$134,"&gt;="&amp;MAX(Q$7,$J33),Calendar!$A$16:$A$134,"&lt;="&amp;MIN(Q$7+4,$K33))*$H33/$G33)))</x:f>
        <x:v>0</x:v>
      </x:c>
      <x:c r="R33" s="44" t="n">
        <x:f>IF(OR($J33="",$K33=""),"",IF(SUMIFS(Calendar!$C$16:$C$134,Calendar!$A$16:$A$134,"&gt;="&amp;MAX(R$7,$J33),Calendar!$A$16:$A$134,"&lt;="&amp;MIN(R$7+4,$K33))=0,0,IF($H33="","EXT",SUMIFS(Calendar!$C$16:$C$134,Calendar!$A$16:$A$134,"&gt;="&amp;MAX(R$7,$J33),Calendar!$A$16:$A$134,"&lt;="&amp;MIN(R$7+4,$K33))*$H33/$G33)))</x:f>
        <x:v>0</x:v>
      </x:c>
      <x:c r="S33" s="44" t="n">
        <x:f>IF(OR($J33="",$K33=""),"",IF(SUMIFS(Calendar!$C$16:$C$134,Calendar!$A$16:$A$134,"&gt;="&amp;MAX(S$7,$J33),Calendar!$A$16:$A$134,"&lt;="&amp;MIN(S$7+4,$K33))=0,0,IF($H33="","EXT",SUMIFS(Calendar!$C$16:$C$134,Calendar!$A$16:$A$134,"&gt;="&amp;MAX(S$7,$J33),Calendar!$A$16:$A$134,"&lt;="&amp;MIN(S$7+4,$K33))*$H33/$G33)))</x:f>
        <x:v>0</x:v>
      </x:c>
      <x:c r="T33" s="44" t="n">
        <x:f>IF(OR($J33="",$K33=""),"",IF(SUMIFS(Calendar!$C$16:$C$134,Calendar!$A$16:$A$134,"&gt;="&amp;MAX(T$7,$J33),Calendar!$A$16:$A$134,"&lt;="&amp;MIN(T$7+4,$K33))=0,0,IF($H33="","EXT",SUMIFS(Calendar!$C$16:$C$134,Calendar!$A$16:$A$134,"&gt;="&amp;MAX(T$7,$J33),Calendar!$A$16:$A$134,"&lt;="&amp;MIN(T$7+4,$K33))*$H33/$G33)))</x:f>
        <x:v>0</x:v>
      </x:c>
      <x:c r="U33" s="44" t="n">
        <x:f>IF(OR($J33="",$K33=""),"",IF(SUMIFS(Calendar!$C$16:$C$134,Calendar!$A$16:$A$134,"&gt;="&amp;MAX(U$7,$J33),Calendar!$A$16:$A$134,"&lt;="&amp;MIN(U$7+4,$K33))=0,0,IF($H33="","EXT",SUMIFS(Calendar!$C$16:$C$134,Calendar!$A$16:$A$134,"&gt;="&amp;MAX(U$7,$J33),Calendar!$A$16:$A$134,"&lt;="&amp;MIN(U$7+4,$K33))*$H33/$G33)))</x:f>
        <x:v>0</x:v>
      </x:c>
      <x:c r="V33" s="44" t="n">
        <x:f>IF(OR($J33="",$K33=""),"",IF(SUMIFS(Calendar!$C$16:$C$134,Calendar!$A$16:$A$134,"&gt;="&amp;MAX(V$7,$J33),Calendar!$A$16:$A$134,"&lt;="&amp;MIN(V$7+4,$K33))=0,0,IF($H33="","EXT",SUMIFS(Calendar!$C$16:$C$134,Calendar!$A$16:$A$134,"&gt;="&amp;MAX(V$7,$J33),Calendar!$A$16:$A$134,"&lt;="&amp;MIN(V$7+4,$K33))*$H33/$G33)))</x:f>
        <x:v>0</x:v>
      </x:c>
      <x:c r="W33" s="44" t="n">
        <x:f>IF(OR($J33="",$K33=""),"",IF(SUMIFS(Calendar!$C$16:$C$134,Calendar!$A$16:$A$134,"&gt;="&amp;MAX(W$7,$J33),Calendar!$A$16:$A$134,"&lt;="&amp;MIN(W$7+4,$K33))=0,0,IF($H33="","EXT",SUMIFS(Calendar!$C$16:$C$134,Calendar!$A$16:$A$134,"&gt;="&amp;MAX(W$7,$J33),Calendar!$A$16:$A$134,"&lt;="&amp;MIN(W$7+4,$K33))*$H33/$G33)))</x:f>
        <x:v>0</x:v>
      </x:c>
      <x:c r="X33" s="44" t="n">
        <x:f>IF(OR($J33="",$K33=""),"",IF(SUMIFS(Calendar!$C$16:$C$134,Calendar!$A$16:$A$134,"&gt;="&amp;MAX(X$7,$J33),Calendar!$A$16:$A$134,"&lt;="&amp;MIN(X$7+4,$K33))=0,0,IF($H33="","EXT",SUMIFS(Calendar!$C$16:$C$134,Calendar!$A$16:$A$134,"&gt;="&amp;MAX(X$7,$J33),Calendar!$A$16:$A$134,"&lt;="&amp;MIN(X$7+4,$K33))*$H33/$G33)))</x:f>
        <x:v>0</x:v>
      </x:c>
      <x:c r="Y33" s="44" t="n">
        <x:f>IF(OR($J33="",$K33=""),"",IF(SUMIFS(Calendar!$C$16:$C$134,Calendar!$A$16:$A$134,"&gt;="&amp;MAX(Y$7,$J33),Calendar!$A$16:$A$134,"&lt;="&amp;MIN(Y$7+4,$K33))=0,0,IF($H33="","EXT",SUMIFS(Calendar!$C$16:$C$134,Calendar!$A$16:$A$134,"&gt;="&amp;MAX(Y$7,$J33),Calendar!$A$16:$A$134,"&lt;="&amp;MIN(Y$7+4,$K33))*$H33/$G33)))</x:f>
        <x:v>4</x:v>
      </x:c>
      <x:c r="Z33" s="44" t="n">
        <x:f>IF(OR($J33="",$K33=""),"",IF(SUMIFS(Calendar!$C$16:$C$134,Calendar!$A$16:$A$134,"&gt;="&amp;MAX(Z$7,$J33),Calendar!$A$16:$A$134,"&lt;="&amp;MIN(Z$7+4,$K33))=0,0,IF($H33="","EXT",SUMIFS(Calendar!$C$16:$C$134,Calendar!$A$16:$A$134,"&gt;="&amp;MAX(Z$7,$J33),Calendar!$A$16:$A$134,"&lt;="&amp;MIN(Z$7+4,$K33))*$H33/$G33)))</x:f>
        <x:v>0</x:v>
      </x:c>
      <x:c r="AA33" s="44" t="n">
        <x:f>IF(OR($J33="",$K33=""),"",IF(SUMIFS(Calendar!$C$16:$C$134,Calendar!$A$16:$A$134,"&gt;="&amp;MAX(AA$7,$J33),Calendar!$A$16:$A$134,"&lt;="&amp;MIN(AA$7+4,$K33))=0,0,IF($H33="","EXT",SUMIFS(Calendar!$C$16:$C$134,Calendar!$A$16:$A$134,"&gt;="&amp;MAX(AA$7,$J33),Calendar!$A$16:$A$134,"&lt;="&amp;MIN(AA$7+4,$K33))*$H33/$G33)))</x:f>
        <x:v>0</x:v>
      </x:c>
      <x:c r="AB33" s="44" t="n">
        <x:f>IF(OR($J33="",$K33=""),"",IF(SUMIFS(Calendar!$C$16:$C$134,Calendar!$A$16:$A$134,"&gt;="&amp;MAX(AB$7,$J33),Calendar!$A$16:$A$134,"&lt;="&amp;MIN(AB$7+4,$K33))=0,0,IF($H33="","EXT",SUMIFS(Calendar!$C$16:$C$134,Calendar!$A$16:$A$134,"&gt;="&amp;MAX(AB$7,$J33),Calendar!$A$16:$A$134,"&lt;="&amp;MIN(AB$7+4,$K33))*$H33/$G33)))</x:f>
        <x:v>0</x:v>
      </x:c>
      <x:c r="AC33" s="44" t="n">
        <x:f>IF(OR($J33="",$K33=""),"",IF(SUMIFS(Calendar!$C$16:$C$134,Calendar!$A$16:$A$134,"&gt;="&amp;MAX(AC$7,$J33),Calendar!$A$16:$A$134,"&lt;="&amp;MIN(AC$7+4,$K33))=0,0,IF($H33="","EXT",SUMIFS(Calendar!$C$16:$C$134,Calendar!$A$16:$A$134,"&gt;="&amp;MAX(AC$7,$J33),Calendar!$A$16:$A$134,"&lt;="&amp;MIN(AC$7+4,$K33))*$H33/$G33)))</x:f>
        <x:v>0</x:v>
      </x:c>
      <x:c r="AD33" s="44" t="n">
        <x:f>IF(OR($J33="",$K33=""),"",IF(SUMIFS(Calendar!$C$16:$C$134,Calendar!$A$16:$A$134,"&gt;="&amp;MAX(AD$7,$J33),Calendar!$A$16:$A$134,"&lt;="&amp;MIN(AD$7+4,$K33))=0,0,IF($H33="","EXT",SUMIFS(Calendar!$C$16:$C$134,Calendar!$A$16:$A$134,"&gt;="&amp;MAX(AD$7,$J33),Calendar!$A$16:$A$134,"&lt;="&amp;MIN(AD$7+4,$K33))*$H33/$G33)))</x:f>
        <x:v>0</x:v>
      </x:c>
      <x:c r="AE33" s="42" t="n">
        <x:f>IF(OR(M33&lt;&gt;"Scheduled",INDEX('Team and Gates'!$C$7:$C$11,MATCH($D33,'Team and Gates'!$A$7:$A$11,0))=""),"CHECK",SUM(N33:AD33)*INDEX('Team and Gates'!$C$7:$C$11,MATCH($D33,'Team and Gates'!$A$7:$A$11,0)))</x:f>
        <x:v>1440</x:v>
      </x:c>
      <x:c r="AF33" s="43" t="str">
        <x:v>Core user-story defects are fixed and affected business paths retested.</x:v>
      </x:c>
      <x:c r="AG33" s="43" t="str"/>
    </x:row>
    <x:row r="34" ht="36" customHeight="1">
      <x:c r="A34" s="2" t="str">
        <x:v>B12</x:v>
      </x:c>
      <x:c r="B34" s="2" t="str">
        <x:v>API / Portal</x:v>
      </x:c>
      <x:c r="C34" s="2" t="str">
        <x:v>API rollout, rollback and production configuration</x:v>
      </x:c>
      <x:c r="D34" s="20" t="str">
        <x:v>Dev 1</x:v>
      </x:c>
      <x:c r="E34" s="2" t="str">
        <x:v>B11, U11</x:v>
      </x:c>
      <x:c r="F34" s="47" t="n">
        <x:v>61</x:v>
      </x:c>
      <x:c r="G34" s="47" t="n">
        <x:v>5</x:v>
      </x:c>
      <x:c r="H34" s="48" t="n">
        <x:v>4</x:v>
      </x:c>
      <x:c r="I34" s="2" t="n">
        <x:f>IF(OR(F34="",G34=""),"",F34+G34-1)</x:f>
        <x:v>65</x:v>
      </x:c>
      <x:c r="J34" s="5" t="n">
        <x:f>IF(OR(F34="",F34&lt;1,F34&gt;Calendar!$B$9),"",INDEX(Calendar!$A$16:$A$134,MATCH(F34,Calendar!$D$16:$D$134,0)))</x:f>
        <x:v>46412</x:v>
      </x:c>
      <x:c r="K34" s="5" t="n">
        <x:f>IF(OR(I34="",I34&lt;1,I34&gt;Calendar!$B$9),"",INDEX(Calendar!$A$16:$A$134,MATCH(I34,Calendar!$D$16:$D$134,0)))</x:f>
        <x:v>46416</x:v>
      </x:c>
      <x:c r="L34" s="50" t="n">
        <x:v>0</x:v>
      </x:c>
      <x:c r="M34" s="2" t="str">
        <x:f>IF(OR(F34="",G34="",H34=""),"Missing input",IF(OR(F34&lt;1,G34&lt;1,I34&gt;Calendar!$B$9),"Outside calendar",IF(F34&lt;MAX(INDEX($I$8:$I$85,MATCH("B11",$A$8:$A$85,0))+1,INDEX($I$8:$I$85,MATCH("U11",$A$8:$A$85,0))+1),"Dependency conflict","Scheduled")))</x:f>
        <x:v>Scheduled</x:v>
      </x:c>
      <x:c r="N34" s="44" t="n">
        <x:f>IF(OR($J34="",$K34=""),"",IF(SUMIFS(Calendar!$C$16:$C$134,Calendar!$A$16:$A$134,"&gt;="&amp;MAX(N$7,$J34),Calendar!$A$16:$A$134,"&lt;="&amp;MIN(N$7+4,$K34))=0,0,IF($H34="","EXT",SUMIFS(Calendar!$C$16:$C$134,Calendar!$A$16:$A$134,"&gt;="&amp;MAX(N$7,$J34),Calendar!$A$16:$A$134,"&lt;="&amp;MIN(N$7+4,$K34))*$H34/$G34)))</x:f>
        <x:v>0</x:v>
      </x:c>
      <x:c r="O34" s="44" t="n">
        <x:f>IF(OR($J34="",$K34=""),"",IF(SUMIFS(Calendar!$C$16:$C$134,Calendar!$A$16:$A$134,"&gt;="&amp;MAX(O$7,$J34),Calendar!$A$16:$A$134,"&lt;="&amp;MIN(O$7+4,$K34))=0,0,IF($H34="","EXT",SUMIFS(Calendar!$C$16:$C$134,Calendar!$A$16:$A$134,"&gt;="&amp;MAX(O$7,$J34),Calendar!$A$16:$A$134,"&lt;="&amp;MIN(O$7+4,$K34))*$H34/$G34)))</x:f>
        <x:v>0</x:v>
      </x:c>
      <x:c r="P34" s="44" t="n">
        <x:f>IF(OR($J34="",$K34=""),"",IF(SUMIFS(Calendar!$C$16:$C$134,Calendar!$A$16:$A$134,"&gt;="&amp;MAX(P$7,$J34),Calendar!$A$16:$A$134,"&lt;="&amp;MIN(P$7+4,$K34))=0,0,IF($H34="","EXT",SUMIFS(Calendar!$C$16:$C$134,Calendar!$A$16:$A$134,"&gt;="&amp;MAX(P$7,$J34),Calendar!$A$16:$A$134,"&lt;="&amp;MIN(P$7+4,$K34))*$H34/$G34)))</x:f>
        <x:v>0</x:v>
      </x:c>
      <x:c r="Q34" s="44" t="n">
        <x:f>IF(OR($J34="",$K34=""),"",IF(SUMIFS(Calendar!$C$16:$C$134,Calendar!$A$16:$A$134,"&gt;="&amp;MAX(Q$7,$J34),Calendar!$A$16:$A$134,"&lt;="&amp;MIN(Q$7+4,$K34))=0,0,IF($H34="","EXT",SUMIFS(Calendar!$C$16:$C$134,Calendar!$A$16:$A$134,"&gt;="&amp;MAX(Q$7,$J34),Calendar!$A$16:$A$134,"&lt;="&amp;MIN(Q$7+4,$K34))*$H34/$G34)))</x:f>
        <x:v>0</x:v>
      </x:c>
      <x:c r="R34" s="44" t="n">
        <x:f>IF(OR($J34="",$K34=""),"",IF(SUMIFS(Calendar!$C$16:$C$134,Calendar!$A$16:$A$134,"&gt;="&amp;MAX(R$7,$J34),Calendar!$A$16:$A$134,"&lt;="&amp;MIN(R$7+4,$K34))=0,0,IF($H34="","EXT",SUMIFS(Calendar!$C$16:$C$134,Calendar!$A$16:$A$134,"&gt;="&amp;MAX(R$7,$J34),Calendar!$A$16:$A$134,"&lt;="&amp;MIN(R$7+4,$K34))*$H34/$G34)))</x:f>
        <x:v>0</x:v>
      </x:c>
      <x:c r="S34" s="44" t="n">
        <x:f>IF(OR($J34="",$K34=""),"",IF(SUMIFS(Calendar!$C$16:$C$134,Calendar!$A$16:$A$134,"&gt;="&amp;MAX(S$7,$J34),Calendar!$A$16:$A$134,"&lt;="&amp;MIN(S$7+4,$K34))=0,0,IF($H34="","EXT",SUMIFS(Calendar!$C$16:$C$134,Calendar!$A$16:$A$134,"&gt;="&amp;MAX(S$7,$J34),Calendar!$A$16:$A$134,"&lt;="&amp;MIN(S$7+4,$K34))*$H34/$G34)))</x:f>
        <x:v>0</x:v>
      </x:c>
      <x:c r="T34" s="44" t="n">
        <x:f>IF(OR($J34="",$K34=""),"",IF(SUMIFS(Calendar!$C$16:$C$134,Calendar!$A$16:$A$134,"&gt;="&amp;MAX(T$7,$J34),Calendar!$A$16:$A$134,"&lt;="&amp;MIN(T$7+4,$K34))=0,0,IF($H34="","EXT",SUMIFS(Calendar!$C$16:$C$134,Calendar!$A$16:$A$134,"&gt;="&amp;MAX(T$7,$J34),Calendar!$A$16:$A$134,"&lt;="&amp;MIN(T$7+4,$K34))*$H34/$G34)))</x:f>
        <x:v>0</x:v>
      </x:c>
      <x:c r="U34" s="44" t="n">
        <x:f>IF(OR($J34="",$K34=""),"",IF(SUMIFS(Calendar!$C$16:$C$134,Calendar!$A$16:$A$134,"&gt;="&amp;MAX(U$7,$J34),Calendar!$A$16:$A$134,"&lt;="&amp;MIN(U$7+4,$K34))=0,0,IF($H34="","EXT",SUMIFS(Calendar!$C$16:$C$134,Calendar!$A$16:$A$134,"&gt;="&amp;MAX(U$7,$J34),Calendar!$A$16:$A$134,"&lt;="&amp;MIN(U$7+4,$K34))*$H34/$G34)))</x:f>
        <x:v>0</x:v>
      </x:c>
      <x:c r="V34" s="44" t="n">
        <x:f>IF(OR($J34="",$K34=""),"",IF(SUMIFS(Calendar!$C$16:$C$134,Calendar!$A$16:$A$134,"&gt;="&amp;MAX(V$7,$J34),Calendar!$A$16:$A$134,"&lt;="&amp;MIN(V$7+4,$K34))=0,0,IF($H34="","EXT",SUMIFS(Calendar!$C$16:$C$134,Calendar!$A$16:$A$134,"&gt;="&amp;MAX(V$7,$J34),Calendar!$A$16:$A$134,"&lt;="&amp;MIN(V$7+4,$K34))*$H34/$G34)))</x:f>
        <x:v>0</x:v>
      </x:c>
      <x:c r="W34" s="44" t="n">
        <x:f>IF(OR($J34="",$K34=""),"",IF(SUMIFS(Calendar!$C$16:$C$134,Calendar!$A$16:$A$134,"&gt;="&amp;MAX(W$7,$J34),Calendar!$A$16:$A$134,"&lt;="&amp;MIN(W$7+4,$K34))=0,0,IF($H34="","EXT",SUMIFS(Calendar!$C$16:$C$134,Calendar!$A$16:$A$134,"&gt;="&amp;MAX(W$7,$J34),Calendar!$A$16:$A$134,"&lt;="&amp;MIN(W$7+4,$K34))*$H34/$G34)))</x:f>
        <x:v>0</x:v>
      </x:c>
      <x:c r="X34" s="44" t="n">
        <x:f>IF(OR($J34="",$K34=""),"",IF(SUMIFS(Calendar!$C$16:$C$134,Calendar!$A$16:$A$134,"&gt;="&amp;MAX(X$7,$J34),Calendar!$A$16:$A$134,"&lt;="&amp;MIN(X$7+4,$K34))=0,0,IF($H34="","EXT",SUMIFS(Calendar!$C$16:$C$134,Calendar!$A$16:$A$134,"&gt;="&amp;MAX(X$7,$J34),Calendar!$A$16:$A$134,"&lt;="&amp;MIN(X$7+4,$K34))*$H34/$G34)))</x:f>
        <x:v>0</x:v>
      </x:c>
      <x:c r="Y34" s="44" t="n">
        <x:f>IF(OR($J34="",$K34=""),"",IF(SUMIFS(Calendar!$C$16:$C$134,Calendar!$A$16:$A$134,"&gt;="&amp;MAX(Y$7,$J34),Calendar!$A$16:$A$134,"&lt;="&amp;MIN(Y$7+4,$K34))=0,0,IF($H34="","EXT",SUMIFS(Calendar!$C$16:$C$134,Calendar!$A$16:$A$134,"&gt;="&amp;MAX(Y$7,$J34),Calendar!$A$16:$A$134,"&lt;="&amp;MIN(Y$7+4,$K34))*$H34/$G34)))</x:f>
        <x:v>0</x:v>
      </x:c>
      <x:c r="Z34" s="44" t="n">
        <x:f>IF(OR($J34="",$K34=""),"",IF(SUMIFS(Calendar!$C$16:$C$134,Calendar!$A$16:$A$134,"&gt;="&amp;MAX(Z$7,$J34),Calendar!$A$16:$A$134,"&lt;="&amp;MIN(Z$7+4,$K34))=0,0,IF($H34="","EXT",SUMIFS(Calendar!$C$16:$C$134,Calendar!$A$16:$A$134,"&gt;="&amp;MAX(Z$7,$J34),Calendar!$A$16:$A$134,"&lt;="&amp;MIN(Z$7+4,$K34))*$H34/$G34)))</x:f>
        <x:v>4</x:v>
      </x:c>
      <x:c r="AA34" s="44" t="n">
        <x:f>IF(OR($J34="",$K34=""),"",IF(SUMIFS(Calendar!$C$16:$C$134,Calendar!$A$16:$A$134,"&gt;="&amp;MAX(AA$7,$J34),Calendar!$A$16:$A$134,"&lt;="&amp;MIN(AA$7+4,$K34))=0,0,IF($H34="","EXT",SUMIFS(Calendar!$C$16:$C$134,Calendar!$A$16:$A$134,"&gt;="&amp;MAX(AA$7,$J34),Calendar!$A$16:$A$134,"&lt;="&amp;MIN(AA$7+4,$K34))*$H34/$G34)))</x:f>
        <x:v>0</x:v>
      </x:c>
      <x:c r="AB34" s="44" t="n">
        <x:f>IF(OR($J34="",$K34=""),"",IF(SUMIFS(Calendar!$C$16:$C$134,Calendar!$A$16:$A$134,"&gt;="&amp;MAX(AB$7,$J34),Calendar!$A$16:$A$134,"&lt;="&amp;MIN(AB$7+4,$K34))=0,0,IF($H34="","EXT",SUMIFS(Calendar!$C$16:$C$134,Calendar!$A$16:$A$134,"&gt;="&amp;MAX(AB$7,$J34),Calendar!$A$16:$A$134,"&lt;="&amp;MIN(AB$7+4,$K34))*$H34/$G34)))</x:f>
        <x:v>0</x:v>
      </x:c>
      <x:c r="AC34" s="44" t="n">
        <x:f>IF(OR($J34="",$K34=""),"",IF(SUMIFS(Calendar!$C$16:$C$134,Calendar!$A$16:$A$134,"&gt;="&amp;MAX(AC$7,$J34),Calendar!$A$16:$A$134,"&lt;="&amp;MIN(AC$7+4,$K34))=0,0,IF($H34="","EXT",SUMIFS(Calendar!$C$16:$C$134,Calendar!$A$16:$A$134,"&gt;="&amp;MAX(AC$7,$J34),Calendar!$A$16:$A$134,"&lt;="&amp;MIN(AC$7+4,$K34))*$H34/$G34)))</x:f>
        <x:v>0</x:v>
      </x:c>
      <x:c r="AD34" s="44" t="n">
        <x:f>IF(OR($J34="",$K34=""),"",IF(SUMIFS(Calendar!$C$16:$C$134,Calendar!$A$16:$A$134,"&gt;="&amp;MAX(AD$7,$J34),Calendar!$A$16:$A$134,"&lt;="&amp;MIN(AD$7+4,$K34))=0,0,IF($H34="","EXT",SUMIFS(Calendar!$C$16:$C$134,Calendar!$A$16:$A$134,"&gt;="&amp;MAX(AD$7,$J34),Calendar!$A$16:$A$134,"&lt;="&amp;MIN(AD$7+4,$K34))*$H34/$G34)))</x:f>
        <x:v>0</x:v>
      </x:c>
      <x:c r="AE34" s="42" t="n">
        <x:f>IF(OR(M34&lt;&gt;"Scheduled",INDEX('Team and Gates'!$C$7:$C$11,MATCH($D34,'Team and Gates'!$A$7:$A$11,0))=""),"CHECK",SUM(N34:AD34)*INDEX('Team and Gates'!$C$7:$C$11,MATCH($D34,'Team and Gates'!$A$7:$A$11,0)))</x:f>
        <x:v>1440</x:v>
      </x:c>
      <x:c r="AF34" s="43" t="str">
        <x:v>Owner mapping, access lists, API release checks and rollback are validated.</x:v>
      </x:c>
      <x:c r="AG34" s="43" t="str"/>
    </x:row>
    <x:row r="35" ht="36" customHeight="1">
      <x:c r="A35" s="35" t="str">
        <x:v>B13</x:v>
      </x:c>
      <x:c r="B35" s="35" t="str">
        <x:v>API / Portal</x:v>
      </x:c>
      <x:c r="C35" s="35" t="str">
        <x:v>Pre-holiday scope and configuration freeze</x:v>
      </x:c>
      <x:c r="D35" s="20" t="str">
        <x:v>Dev 1</x:v>
      </x:c>
      <x:c r="E35" s="35" t="str">
        <x:v>B12, U12</x:v>
      </x:c>
      <x:c r="F35" s="47" t="n">
        <x:v>66</x:v>
      </x:c>
      <x:c r="G35" s="47" t="n">
        <x:v>2</x:v>
      </x:c>
      <x:c r="H35" s="48" t="n">
        <x:v>1.5</x:v>
      </x:c>
      <x:c r="I35" s="35" t="n">
        <x:f>IF(OR(F35="",G35=""),"",F35+G35-1)</x:f>
        <x:v>67</x:v>
      </x:c>
      <x:c r="J35" s="37" t="n">
        <x:f>IF(OR(F35="",F35&lt;1,F35&gt;Calendar!$B$9),"",INDEX(Calendar!$A$16:$A$134,MATCH(F35,Calendar!$D$16:$D$134,0)))</x:f>
        <x:v>46419</x:v>
      </x:c>
      <x:c r="K35" s="37" t="n">
        <x:f>IF(OR(I35="",I35&lt;1,I35&gt;Calendar!$B$9),"",INDEX(Calendar!$A$16:$A$134,MATCH(I35,Calendar!$D$16:$D$134,0)))</x:f>
        <x:v>46420</x:v>
      </x:c>
      <x:c r="L35" s="50" t="n">
        <x:v>0</x:v>
      </x:c>
      <x:c r="M35" s="35" t="str">
        <x:f>IF(OR(F35="",G35="",H35=""),"Missing input",IF(OR(F35&lt;1,G35&lt;1,I35&gt;Calendar!$B$9),"Outside calendar",IF(F35&lt;MAX(INDEX($I$8:$I$85,MATCH("B12",$A$8:$A$85,0))+1,INDEX($I$8:$I$85,MATCH("U12",$A$8:$A$85,0))+1),"Dependency conflict","Scheduled")))</x:f>
        <x:v>Scheduled</x:v>
      </x:c>
      <x:c r="N35" s="44" t="n">
        <x:f>IF(OR($J35="",$K35=""),"",IF(SUMIFS(Calendar!$C$16:$C$134,Calendar!$A$16:$A$134,"&gt;="&amp;MAX(N$7,$J35),Calendar!$A$16:$A$134,"&lt;="&amp;MIN(N$7+4,$K35))=0,0,IF($H35="","EXT",SUMIFS(Calendar!$C$16:$C$134,Calendar!$A$16:$A$134,"&gt;="&amp;MAX(N$7,$J35),Calendar!$A$16:$A$134,"&lt;="&amp;MIN(N$7+4,$K35))*$H35/$G35)))</x:f>
        <x:v>0</x:v>
      </x:c>
      <x:c r="O35" s="44" t="n">
        <x:f>IF(OR($J35="",$K35=""),"",IF(SUMIFS(Calendar!$C$16:$C$134,Calendar!$A$16:$A$134,"&gt;="&amp;MAX(O$7,$J35),Calendar!$A$16:$A$134,"&lt;="&amp;MIN(O$7+4,$K35))=0,0,IF($H35="","EXT",SUMIFS(Calendar!$C$16:$C$134,Calendar!$A$16:$A$134,"&gt;="&amp;MAX(O$7,$J35),Calendar!$A$16:$A$134,"&lt;="&amp;MIN(O$7+4,$K35))*$H35/$G35)))</x:f>
        <x:v>0</x:v>
      </x:c>
      <x:c r="P35" s="44" t="n">
        <x:f>IF(OR($J35="",$K35=""),"",IF(SUMIFS(Calendar!$C$16:$C$134,Calendar!$A$16:$A$134,"&gt;="&amp;MAX(P$7,$J35),Calendar!$A$16:$A$134,"&lt;="&amp;MIN(P$7+4,$K35))=0,0,IF($H35="","EXT",SUMIFS(Calendar!$C$16:$C$134,Calendar!$A$16:$A$134,"&gt;="&amp;MAX(P$7,$J35),Calendar!$A$16:$A$134,"&lt;="&amp;MIN(P$7+4,$K35))*$H35/$G35)))</x:f>
        <x:v>0</x:v>
      </x:c>
      <x:c r="Q35" s="44" t="n">
        <x:f>IF(OR($J35="",$K35=""),"",IF(SUMIFS(Calendar!$C$16:$C$134,Calendar!$A$16:$A$134,"&gt;="&amp;MAX(Q$7,$J35),Calendar!$A$16:$A$134,"&lt;="&amp;MIN(Q$7+4,$K35))=0,0,IF($H35="","EXT",SUMIFS(Calendar!$C$16:$C$134,Calendar!$A$16:$A$134,"&gt;="&amp;MAX(Q$7,$J35),Calendar!$A$16:$A$134,"&lt;="&amp;MIN(Q$7+4,$K35))*$H35/$G35)))</x:f>
        <x:v>0</x:v>
      </x:c>
      <x:c r="R35" s="44" t="n">
        <x:f>IF(OR($J35="",$K35=""),"",IF(SUMIFS(Calendar!$C$16:$C$134,Calendar!$A$16:$A$134,"&gt;="&amp;MAX(R$7,$J35),Calendar!$A$16:$A$134,"&lt;="&amp;MIN(R$7+4,$K35))=0,0,IF($H35="","EXT",SUMIFS(Calendar!$C$16:$C$134,Calendar!$A$16:$A$134,"&gt;="&amp;MAX(R$7,$J35),Calendar!$A$16:$A$134,"&lt;="&amp;MIN(R$7+4,$K35))*$H35/$G35)))</x:f>
        <x:v>0</x:v>
      </x:c>
      <x:c r="S35" s="44" t="n">
        <x:f>IF(OR($J35="",$K35=""),"",IF(SUMIFS(Calendar!$C$16:$C$134,Calendar!$A$16:$A$134,"&gt;="&amp;MAX(S$7,$J35),Calendar!$A$16:$A$134,"&lt;="&amp;MIN(S$7+4,$K35))=0,0,IF($H35="","EXT",SUMIFS(Calendar!$C$16:$C$134,Calendar!$A$16:$A$134,"&gt;="&amp;MAX(S$7,$J35),Calendar!$A$16:$A$134,"&lt;="&amp;MIN(S$7+4,$K35))*$H35/$G35)))</x:f>
        <x:v>0</x:v>
      </x:c>
      <x:c r="T35" s="44" t="n">
        <x:f>IF(OR($J35="",$K35=""),"",IF(SUMIFS(Calendar!$C$16:$C$134,Calendar!$A$16:$A$134,"&gt;="&amp;MAX(T$7,$J35),Calendar!$A$16:$A$134,"&lt;="&amp;MIN(T$7+4,$K35))=0,0,IF($H35="","EXT",SUMIFS(Calendar!$C$16:$C$134,Calendar!$A$16:$A$134,"&gt;="&amp;MAX(T$7,$J35),Calendar!$A$16:$A$134,"&lt;="&amp;MIN(T$7+4,$K35))*$H35/$G35)))</x:f>
        <x:v>0</x:v>
      </x:c>
      <x:c r="U35" s="44" t="n">
        <x:f>IF(OR($J35="",$K35=""),"",IF(SUMIFS(Calendar!$C$16:$C$134,Calendar!$A$16:$A$134,"&gt;="&amp;MAX(U$7,$J35),Calendar!$A$16:$A$134,"&lt;="&amp;MIN(U$7+4,$K35))=0,0,IF($H35="","EXT",SUMIFS(Calendar!$C$16:$C$134,Calendar!$A$16:$A$134,"&gt;="&amp;MAX(U$7,$J35),Calendar!$A$16:$A$134,"&lt;="&amp;MIN(U$7+4,$K35))*$H35/$G35)))</x:f>
        <x:v>0</x:v>
      </x:c>
      <x:c r="V35" s="44" t="n">
        <x:f>IF(OR($J35="",$K35=""),"",IF(SUMIFS(Calendar!$C$16:$C$134,Calendar!$A$16:$A$134,"&gt;="&amp;MAX(V$7,$J35),Calendar!$A$16:$A$134,"&lt;="&amp;MIN(V$7+4,$K35))=0,0,IF($H35="","EXT",SUMIFS(Calendar!$C$16:$C$134,Calendar!$A$16:$A$134,"&gt;="&amp;MAX(V$7,$J35),Calendar!$A$16:$A$134,"&lt;="&amp;MIN(V$7+4,$K35))*$H35/$G35)))</x:f>
        <x:v>0</x:v>
      </x:c>
      <x:c r="W35" s="44" t="n">
        <x:f>IF(OR($J35="",$K35=""),"",IF(SUMIFS(Calendar!$C$16:$C$134,Calendar!$A$16:$A$134,"&gt;="&amp;MAX(W$7,$J35),Calendar!$A$16:$A$134,"&lt;="&amp;MIN(W$7+4,$K35))=0,0,IF($H35="","EXT",SUMIFS(Calendar!$C$16:$C$134,Calendar!$A$16:$A$134,"&gt;="&amp;MAX(W$7,$J35),Calendar!$A$16:$A$134,"&lt;="&amp;MIN(W$7+4,$K35))*$H35/$G35)))</x:f>
        <x:v>0</x:v>
      </x:c>
      <x:c r="X35" s="44" t="n">
        <x:f>IF(OR($J35="",$K35=""),"",IF(SUMIFS(Calendar!$C$16:$C$134,Calendar!$A$16:$A$134,"&gt;="&amp;MAX(X$7,$J35),Calendar!$A$16:$A$134,"&lt;="&amp;MIN(X$7+4,$K35))=0,0,IF($H35="","EXT",SUMIFS(Calendar!$C$16:$C$134,Calendar!$A$16:$A$134,"&gt;="&amp;MAX(X$7,$J35),Calendar!$A$16:$A$134,"&lt;="&amp;MIN(X$7+4,$K35))*$H35/$G35)))</x:f>
        <x:v>0</x:v>
      </x:c>
      <x:c r="Y35" s="44" t="n">
        <x:f>IF(OR($J35="",$K35=""),"",IF(SUMIFS(Calendar!$C$16:$C$134,Calendar!$A$16:$A$134,"&gt;="&amp;MAX(Y$7,$J35),Calendar!$A$16:$A$134,"&lt;="&amp;MIN(Y$7+4,$K35))=0,0,IF($H35="","EXT",SUMIFS(Calendar!$C$16:$C$134,Calendar!$A$16:$A$134,"&gt;="&amp;MAX(Y$7,$J35),Calendar!$A$16:$A$134,"&lt;="&amp;MIN(Y$7+4,$K35))*$H35/$G35)))</x:f>
        <x:v>0</x:v>
      </x:c>
      <x:c r="Z35" s="44" t="n">
        <x:f>IF(OR($J35="",$K35=""),"",IF(SUMIFS(Calendar!$C$16:$C$134,Calendar!$A$16:$A$134,"&gt;="&amp;MAX(Z$7,$J35),Calendar!$A$16:$A$134,"&lt;="&amp;MIN(Z$7+4,$K35))=0,0,IF($H35="","EXT",SUMIFS(Calendar!$C$16:$C$134,Calendar!$A$16:$A$134,"&gt;="&amp;MAX(Z$7,$J35),Calendar!$A$16:$A$134,"&lt;="&amp;MIN(Z$7+4,$K35))*$H35/$G35)))</x:f>
        <x:v>0</x:v>
      </x:c>
      <x:c r="AA35" s="44" t="n">
        <x:f>IF(OR($J35="",$K35=""),"",IF(SUMIFS(Calendar!$C$16:$C$134,Calendar!$A$16:$A$134,"&gt;="&amp;MAX(AA$7,$J35),Calendar!$A$16:$A$134,"&lt;="&amp;MIN(AA$7+4,$K35))=0,0,IF($H35="","EXT",SUMIFS(Calendar!$C$16:$C$134,Calendar!$A$16:$A$134,"&gt;="&amp;MAX(AA$7,$J35),Calendar!$A$16:$A$134,"&lt;="&amp;MIN(AA$7+4,$K35))*$H35/$G35)))</x:f>
        <x:v>1.5</x:v>
      </x:c>
      <x:c r="AB35" s="44" t="n">
        <x:f>IF(OR($J35="",$K35=""),"",IF(SUMIFS(Calendar!$C$16:$C$134,Calendar!$A$16:$A$134,"&gt;="&amp;MAX(AB$7,$J35),Calendar!$A$16:$A$134,"&lt;="&amp;MIN(AB$7+4,$K35))=0,0,IF($H35="","EXT",SUMIFS(Calendar!$C$16:$C$134,Calendar!$A$16:$A$134,"&gt;="&amp;MAX(AB$7,$J35),Calendar!$A$16:$A$134,"&lt;="&amp;MIN(AB$7+4,$K35))*$H35/$G35)))</x:f>
        <x:v>0</x:v>
      </x:c>
      <x:c r="AC35" s="44" t="n">
        <x:f>IF(OR($J35="",$K35=""),"",IF(SUMIFS(Calendar!$C$16:$C$134,Calendar!$A$16:$A$134,"&gt;="&amp;MAX(AC$7,$J35),Calendar!$A$16:$A$134,"&lt;="&amp;MIN(AC$7+4,$K35))=0,0,IF($H35="","EXT",SUMIFS(Calendar!$C$16:$C$134,Calendar!$A$16:$A$134,"&gt;="&amp;MAX(AC$7,$J35),Calendar!$A$16:$A$134,"&lt;="&amp;MIN(AC$7+4,$K35))*$H35/$G35)))</x:f>
        <x:v>0</x:v>
      </x:c>
      <x:c r="AD35" s="44" t="n">
        <x:f>IF(OR($J35="",$K35=""),"",IF(SUMIFS(Calendar!$C$16:$C$134,Calendar!$A$16:$A$134,"&gt;="&amp;MAX(AD$7,$J35),Calendar!$A$16:$A$134,"&lt;="&amp;MIN(AD$7+4,$K35))=0,0,IF($H35="","EXT",SUMIFS(Calendar!$C$16:$C$134,Calendar!$A$16:$A$134,"&gt;="&amp;MAX(AD$7,$J35),Calendar!$A$16:$A$134,"&lt;="&amp;MIN(AD$7+4,$K35))*$H35/$G35)))</x:f>
        <x:v>0</x:v>
      </x:c>
      <x:c r="AE35" s="42" t="n">
        <x:f>IF(OR(M35&lt;&gt;"Scheduled",INDEX('Team and Gates'!$C$7:$C$11,MATCH($D35,'Team and Gates'!$A$7:$A$11,0))=""),"CHECK",SUM(N35:AD35)*INDEX('Team and Gates'!$C$7:$C$11,MATCH($D35,'Team and Gates'!$A$7:$A$11,0)))</x:f>
        <x:v>540</x:v>
      </x:c>
      <x:c r="AF35" s="43" t="str">
        <x:v>Approved scope, configuration and AM communications are frozen before leave.</x:v>
      </x:c>
      <x:c r="AG35" s="43" t="str"/>
    </x:row>
    <x:row r="36" ht="36" customHeight="1">
      <x:c r="A36" s="2" t="str">
        <x:v>B14</x:v>
      </x:c>
      <x:c r="B36" s="2" t="str">
        <x:v>API / Portal</x:v>
      </x:c>
      <x:c r="C36" s="2" t="str">
        <x:v>Post-holiday API/Portal readiness and fixes</x:v>
      </x:c>
      <x:c r="D36" s="20" t="str">
        <x:v>Dev 1</x:v>
      </x:c>
      <x:c r="E36" s="2" t="str">
        <x:v>B13</x:v>
      </x:c>
      <x:c r="F36" s="47" t="n">
        <x:v>68</x:v>
      </x:c>
      <x:c r="G36" s="47" t="n">
        <x:v>5</x:v>
      </x:c>
      <x:c r="H36" s="48" t="n">
        <x:v>4</x:v>
      </x:c>
      <x:c r="I36" s="2" t="n">
        <x:f>IF(OR(F36="",G36=""),"",F36+G36-1)</x:f>
        <x:v>72</x:v>
      </x:c>
      <x:c r="J36" s="5" t="n">
        <x:f>IF(OR(F36="",F36&lt;1,F36&gt;Calendar!$B$9),"",INDEX(Calendar!$A$16:$A$134,MATCH(F36,Calendar!$D$16:$D$134,0)))</x:f>
        <x:v>46433</x:v>
      </x:c>
      <x:c r="K36" s="5" t="n">
        <x:f>IF(OR(I36="",I36&lt;1,I36&gt;Calendar!$B$9),"",INDEX(Calendar!$A$16:$A$134,MATCH(I36,Calendar!$D$16:$D$134,0)))</x:f>
        <x:v>46437</x:v>
      </x:c>
      <x:c r="L36" s="50" t="n">
        <x:v>0</x:v>
      </x:c>
      <x:c r="M36" s="2" t="str">
        <x:f>IF(OR(F36="",G36="",H36=""),"Missing input",IF(OR(F36&lt;1,G36&lt;1,I36&gt;Calendar!$B$9),"Outside calendar",IF(F36&lt;MAX(INDEX($I$8:$I$85,MATCH("B13",$A$8:$A$85,0))+1),"Dependency conflict","Scheduled")))</x:f>
        <x:v>Scheduled</x:v>
      </x:c>
      <x:c r="N36" s="44" t="n">
        <x:f>IF(OR($J36="",$K36=""),"",IF(SUMIFS(Calendar!$C$16:$C$134,Calendar!$A$16:$A$134,"&gt;="&amp;MAX(N$7,$J36),Calendar!$A$16:$A$134,"&lt;="&amp;MIN(N$7+4,$K36))=0,0,IF($H36="","EXT",SUMIFS(Calendar!$C$16:$C$134,Calendar!$A$16:$A$134,"&gt;="&amp;MAX(N$7,$J36),Calendar!$A$16:$A$134,"&lt;="&amp;MIN(N$7+4,$K36))*$H36/$G36)))</x:f>
        <x:v>0</x:v>
      </x:c>
      <x:c r="O36" s="44" t="n">
        <x:f>IF(OR($J36="",$K36=""),"",IF(SUMIFS(Calendar!$C$16:$C$134,Calendar!$A$16:$A$134,"&gt;="&amp;MAX(O$7,$J36),Calendar!$A$16:$A$134,"&lt;="&amp;MIN(O$7+4,$K36))=0,0,IF($H36="","EXT",SUMIFS(Calendar!$C$16:$C$134,Calendar!$A$16:$A$134,"&gt;="&amp;MAX(O$7,$J36),Calendar!$A$16:$A$134,"&lt;="&amp;MIN(O$7+4,$K36))*$H36/$G36)))</x:f>
        <x:v>0</x:v>
      </x:c>
      <x:c r="P36" s="44" t="n">
        <x:f>IF(OR($J36="",$K36=""),"",IF(SUMIFS(Calendar!$C$16:$C$134,Calendar!$A$16:$A$134,"&gt;="&amp;MAX(P$7,$J36),Calendar!$A$16:$A$134,"&lt;="&amp;MIN(P$7+4,$K36))=0,0,IF($H36="","EXT",SUMIFS(Calendar!$C$16:$C$134,Calendar!$A$16:$A$134,"&gt;="&amp;MAX(P$7,$J36),Calendar!$A$16:$A$134,"&lt;="&amp;MIN(P$7+4,$K36))*$H36/$G36)))</x:f>
        <x:v>0</x:v>
      </x:c>
      <x:c r="Q36" s="44" t="n">
        <x:f>IF(OR($J36="",$K36=""),"",IF(SUMIFS(Calendar!$C$16:$C$134,Calendar!$A$16:$A$134,"&gt;="&amp;MAX(Q$7,$J36),Calendar!$A$16:$A$134,"&lt;="&amp;MIN(Q$7+4,$K36))=0,0,IF($H36="","EXT",SUMIFS(Calendar!$C$16:$C$134,Calendar!$A$16:$A$134,"&gt;="&amp;MAX(Q$7,$J36),Calendar!$A$16:$A$134,"&lt;="&amp;MIN(Q$7+4,$K36))*$H36/$G36)))</x:f>
        <x:v>0</x:v>
      </x:c>
      <x:c r="R36" s="44" t="n">
        <x:f>IF(OR($J36="",$K36=""),"",IF(SUMIFS(Calendar!$C$16:$C$134,Calendar!$A$16:$A$134,"&gt;="&amp;MAX(R$7,$J36),Calendar!$A$16:$A$134,"&lt;="&amp;MIN(R$7+4,$K36))=0,0,IF($H36="","EXT",SUMIFS(Calendar!$C$16:$C$134,Calendar!$A$16:$A$134,"&gt;="&amp;MAX(R$7,$J36),Calendar!$A$16:$A$134,"&lt;="&amp;MIN(R$7+4,$K36))*$H36/$G36)))</x:f>
        <x:v>0</x:v>
      </x:c>
      <x:c r="S36" s="44" t="n">
        <x:f>IF(OR($J36="",$K36=""),"",IF(SUMIFS(Calendar!$C$16:$C$134,Calendar!$A$16:$A$134,"&gt;="&amp;MAX(S$7,$J36),Calendar!$A$16:$A$134,"&lt;="&amp;MIN(S$7+4,$K36))=0,0,IF($H36="","EXT",SUMIFS(Calendar!$C$16:$C$134,Calendar!$A$16:$A$134,"&gt;="&amp;MAX(S$7,$J36),Calendar!$A$16:$A$134,"&lt;="&amp;MIN(S$7+4,$K36))*$H36/$G36)))</x:f>
        <x:v>0</x:v>
      </x:c>
      <x:c r="T36" s="44" t="n">
        <x:f>IF(OR($J36="",$K36=""),"",IF(SUMIFS(Calendar!$C$16:$C$134,Calendar!$A$16:$A$134,"&gt;="&amp;MAX(T$7,$J36),Calendar!$A$16:$A$134,"&lt;="&amp;MIN(T$7+4,$K36))=0,0,IF($H36="","EXT",SUMIFS(Calendar!$C$16:$C$134,Calendar!$A$16:$A$134,"&gt;="&amp;MAX(T$7,$J36),Calendar!$A$16:$A$134,"&lt;="&amp;MIN(T$7+4,$K36))*$H36/$G36)))</x:f>
        <x:v>0</x:v>
      </x:c>
      <x:c r="U36" s="44" t="n">
        <x:f>IF(OR($J36="",$K36=""),"",IF(SUMIFS(Calendar!$C$16:$C$134,Calendar!$A$16:$A$134,"&gt;="&amp;MAX(U$7,$J36),Calendar!$A$16:$A$134,"&lt;="&amp;MIN(U$7+4,$K36))=0,0,IF($H36="","EXT",SUMIFS(Calendar!$C$16:$C$134,Calendar!$A$16:$A$134,"&gt;="&amp;MAX(U$7,$J36),Calendar!$A$16:$A$134,"&lt;="&amp;MIN(U$7+4,$K36))*$H36/$G36)))</x:f>
        <x:v>0</x:v>
      </x:c>
      <x:c r="V36" s="44" t="n">
        <x:f>IF(OR($J36="",$K36=""),"",IF(SUMIFS(Calendar!$C$16:$C$134,Calendar!$A$16:$A$134,"&gt;="&amp;MAX(V$7,$J36),Calendar!$A$16:$A$134,"&lt;="&amp;MIN(V$7+4,$K36))=0,0,IF($H36="","EXT",SUMIFS(Calendar!$C$16:$C$134,Calendar!$A$16:$A$134,"&gt;="&amp;MAX(V$7,$J36),Calendar!$A$16:$A$134,"&lt;="&amp;MIN(V$7+4,$K36))*$H36/$G36)))</x:f>
        <x:v>0</x:v>
      </x:c>
      <x:c r="W36" s="44" t="n">
        <x:f>IF(OR($J36="",$K36=""),"",IF(SUMIFS(Calendar!$C$16:$C$134,Calendar!$A$16:$A$134,"&gt;="&amp;MAX(W$7,$J36),Calendar!$A$16:$A$134,"&lt;="&amp;MIN(W$7+4,$K36))=0,0,IF($H36="","EXT",SUMIFS(Calendar!$C$16:$C$134,Calendar!$A$16:$A$134,"&gt;="&amp;MAX(W$7,$J36),Calendar!$A$16:$A$134,"&lt;="&amp;MIN(W$7+4,$K36))*$H36/$G36)))</x:f>
        <x:v>0</x:v>
      </x:c>
      <x:c r="X36" s="44" t="n">
        <x:f>IF(OR($J36="",$K36=""),"",IF(SUMIFS(Calendar!$C$16:$C$134,Calendar!$A$16:$A$134,"&gt;="&amp;MAX(X$7,$J36),Calendar!$A$16:$A$134,"&lt;="&amp;MIN(X$7+4,$K36))=0,0,IF($H36="","EXT",SUMIFS(Calendar!$C$16:$C$134,Calendar!$A$16:$A$134,"&gt;="&amp;MAX(X$7,$J36),Calendar!$A$16:$A$134,"&lt;="&amp;MIN(X$7+4,$K36))*$H36/$G36)))</x:f>
        <x:v>0</x:v>
      </x:c>
      <x:c r="Y36" s="44" t="n">
        <x:f>IF(OR($J36="",$K36=""),"",IF(SUMIFS(Calendar!$C$16:$C$134,Calendar!$A$16:$A$134,"&gt;="&amp;MAX(Y$7,$J36),Calendar!$A$16:$A$134,"&lt;="&amp;MIN(Y$7+4,$K36))=0,0,IF($H36="","EXT",SUMIFS(Calendar!$C$16:$C$134,Calendar!$A$16:$A$134,"&gt;="&amp;MAX(Y$7,$J36),Calendar!$A$16:$A$134,"&lt;="&amp;MIN(Y$7+4,$K36))*$H36/$G36)))</x:f>
        <x:v>0</x:v>
      </x:c>
      <x:c r="Z36" s="44" t="n">
        <x:f>IF(OR($J36="",$K36=""),"",IF(SUMIFS(Calendar!$C$16:$C$134,Calendar!$A$16:$A$134,"&gt;="&amp;MAX(Z$7,$J36),Calendar!$A$16:$A$134,"&lt;="&amp;MIN(Z$7+4,$K36))=0,0,IF($H36="","EXT",SUMIFS(Calendar!$C$16:$C$134,Calendar!$A$16:$A$134,"&gt;="&amp;MAX(Z$7,$J36),Calendar!$A$16:$A$134,"&lt;="&amp;MIN(Z$7+4,$K36))*$H36/$G36)))</x:f>
        <x:v>0</x:v>
      </x:c>
      <x:c r="AA36" s="44" t="n">
        <x:f>IF(OR($J36="",$K36=""),"",IF(SUMIFS(Calendar!$C$16:$C$134,Calendar!$A$16:$A$134,"&gt;="&amp;MAX(AA$7,$J36),Calendar!$A$16:$A$134,"&lt;="&amp;MIN(AA$7+4,$K36))=0,0,IF($H36="","EXT",SUMIFS(Calendar!$C$16:$C$134,Calendar!$A$16:$A$134,"&gt;="&amp;MAX(AA$7,$J36),Calendar!$A$16:$A$134,"&lt;="&amp;MIN(AA$7+4,$K36))*$H36/$G36)))</x:f>
        <x:v>0</x:v>
      </x:c>
      <x:c r="AB36" s="44" t="n">
        <x:f>IF(OR($J36="",$K36=""),"",IF(SUMIFS(Calendar!$C$16:$C$134,Calendar!$A$16:$A$134,"&gt;="&amp;MAX(AB$7,$J36),Calendar!$A$16:$A$134,"&lt;="&amp;MIN(AB$7+4,$K36))=0,0,IF($H36="","EXT",SUMIFS(Calendar!$C$16:$C$134,Calendar!$A$16:$A$134,"&gt;="&amp;MAX(AB$7,$J36),Calendar!$A$16:$A$134,"&lt;="&amp;MIN(AB$7+4,$K36))*$H36/$G36)))</x:f>
        <x:v>0</x:v>
      </x:c>
      <x:c r="AC36" s="44" t="n">
        <x:f>IF(OR($J36="",$K36=""),"",IF(SUMIFS(Calendar!$C$16:$C$134,Calendar!$A$16:$A$134,"&gt;="&amp;MAX(AC$7,$J36),Calendar!$A$16:$A$134,"&lt;="&amp;MIN(AC$7+4,$K36))=0,0,IF($H36="","EXT",SUMIFS(Calendar!$C$16:$C$134,Calendar!$A$16:$A$134,"&gt;="&amp;MAX(AC$7,$J36),Calendar!$A$16:$A$134,"&lt;="&amp;MIN(AC$7+4,$K36))*$H36/$G36)))</x:f>
        <x:v>4</x:v>
      </x:c>
      <x:c r="AD36" s="44" t="n">
        <x:f>IF(OR($J36="",$K36=""),"",IF(SUMIFS(Calendar!$C$16:$C$134,Calendar!$A$16:$A$134,"&gt;="&amp;MAX(AD$7,$J36),Calendar!$A$16:$A$134,"&lt;="&amp;MIN(AD$7+4,$K36))=0,0,IF($H36="","EXT",SUMIFS(Calendar!$C$16:$C$134,Calendar!$A$16:$A$134,"&gt;="&amp;MAX(AD$7,$J36),Calendar!$A$16:$A$134,"&lt;="&amp;MIN(AD$7+4,$K36))*$H36/$G36)))</x:f>
        <x:v>0</x:v>
      </x:c>
      <x:c r="AE36" s="42" t="n">
        <x:f>IF(OR(M36&lt;&gt;"Scheduled",INDEX('Team and Gates'!$C$7:$C$11,MATCH($D36,'Team and Gates'!$A$7:$A$11,0))=""),"CHECK",SUM(N36:AD36)*INDEX('Team and Gates'!$C$7:$C$11,MATCH($D36,'Team and Gates'!$A$7:$A$11,0)))</x:f>
        <x:v>1440</x:v>
      </x:c>
      <x:c r="AF36" s="43" t="str">
        <x:v>Login/session, Case mutations, approval and business views pass re-entry tests.</x:v>
      </x:c>
      <x:c r="AG36" s="43" t="str"/>
    </x:row>
    <x:row r="37" ht="36" customHeight="1">
      <x:c r="A37" s="35" t="str">
        <x:v>B15</x:v>
      </x:c>
      <x:c r="B37" s="35" t="str">
        <x:v>API / Portal</x:v>
      </x:c>
      <x:c r="C37" s="35" t="str">
        <x:v>Production user-flow support and care</x:v>
      </x:c>
      <x:c r="D37" s="20" t="str">
        <x:v>Dev 1</x:v>
      </x:c>
      <x:c r="E37" s="35" t="str">
        <x:v>B14, Q14, U14</x:v>
      </x:c>
      <x:c r="F37" s="47" t="n">
        <x:v>73</x:v>
      </x:c>
      <x:c r="G37" s="47" t="n">
        <x:v>5</x:v>
      </x:c>
      <x:c r="H37" s="48" t="n">
        <x:v>3</x:v>
      </x:c>
      <x:c r="I37" s="35" t="n">
        <x:f>IF(OR(F37="",G37=""),"",F37+G37-1)</x:f>
        <x:v>77</x:v>
      </x:c>
      <x:c r="J37" s="37" t="n">
        <x:f>IF(OR(F37="",F37&lt;1,F37&gt;Calendar!$B$9),"",INDEX(Calendar!$A$16:$A$134,MATCH(F37,Calendar!$D$16:$D$134,0)))</x:f>
        <x:v>46440</x:v>
      </x:c>
      <x:c r="K37" s="37" t="n">
        <x:f>IF(OR(I37="",I37&lt;1,I37&gt;Calendar!$B$9),"",INDEX(Calendar!$A$16:$A$134,MATCH(I37,Calendar!$D$16:$D$134,0)))</x:f>
        <x:v>46444</x:v>
      </x:c>
      <x:c r="L37" s="50" t="n">
        <x:v>0</x:v>
      </x:c>
      <x:c r="M37" s="35" t="str">
        <x:f>IF(OR(F37="",G37="",H37=""),"Missing input",IF(OR(F37&lt;1,G37&lt;1,I37&gt;Calendar!$B$9),"Outside calendar",IF(F37&lt;MAX(INDEX($I$8:$I$85,MATCH("B14",$A$8:$A$85,0))+1,INDEX($I$8:$I$85,MATCH("Q14",$A$8:$A$85,0))+1,INDEX($I$8:$I$85,MATCH("U14",$A$8:$A$85,0))+1),"Dependency conflict","Scheduled")))</x:f>
        <x:v>Scheduled</x:v>
      </x:c>
      <x:c r="N37" s="44" t="n">
        <x:f>IF(OR($J37="",$K37=""),"",IF(SUMIFS(Calendar!$C$16:$C$134,Calendar!$A$16:$A$134,"&gt;="&amp;MAX(N$7,$J37),Calendar!$A$16:$A$134,"&lt;="&amp;MIN(N$7+4,$K37))=0,0,IF($H37="","EXT",SUMIFS(Calendar!$C$16:$C$134,Calendar!$A$16:$A$134,"&gt;="&amp;MAX(N$7,$J37),Calendar!$A$16:$A$134,"&lt;="&amp;MIN(N$7+4,$K37))*$H37/$G37)))</x:f>
        <x:v>0</x:v>
      </x:c>
      <x:c r="O37" s="44" t="n">
        <x:f>IF(OR($J37="",$K37=""),"",IF(SUMIFS(Calendar!$C$16:$C$134,Calendar!$A$16:$A$134,"&gt;="&amp;MAX(O$7,$J37),Calendar!$A$16:$A$134,"&lt;="&amp;MIN(O$7+4,$K37))=0,0,IF($H37="","EXT",SUMIFS(Calendar!$C$16:$C$134,Calendar!$A$16:$A$134,"&gt;="&amp;MAX(O$7,$J37),Calendar!$A$16:$A$134,"&lt;="&amp;MIN(O$7+4,$K37))*$H37/$G37)))</x:f>
        <x:v>0</x:v>
      </x:c>
      <x:c r="P37" s="44" t="n">
        <x:f>IF(OR($J37="",$K37=""),"",IF(SUMIFS(Calendar!$C$16:$C$134,Calendar!$A$16:$A$134,"&gt;="&amp;MAX(P$7,$J37),Calendar!$A$16:$A$134,"&lt;="&amp;MIN(P$7+4,$K37))=0,0,IF($H37="","EXT",SUMIFS(Calendar!$C$16:$C$134,Calendar!$A$16:$A$134,"&gt;="&amp;MAX(P$7,$J37),Calendar!$A$16:$A$134,"&lt;="&amp;MIN(P$7+4,$K37))*$H37/$G37)))</x:f>
        <x:v>0</x:v>
      </x:c>
      <x:c r="Q37" s="44" t="n">
        <x:f>IF(OR($J37="",$K37=""),"",IF(SUMIFS(Calendar!$C$16:$C$134,Calendar!$A$16:$A$134,"&gt;="&amp;MAX(Q$7,$J37),Calendar!$A$16:$A$134,"&lt;="&amp;MIN(Q$7+4,$K37))=0,0,IF($H37="","EXT",SUMIFS(Calendar!$C$16:$C$134,Calendar!$A$16:$A$134,"&gt;="&amp;MAX(Q$7,$J37),Calendar!$A$16:$A$134,"&lt;="&amp;MIN(Q$7+4,$K37))*$H37/$G37)))</x:f>
        <x:v>0</x:v>
      </x:c>
      <x:c r="R37" s="44" t="n">
        <x:f>IF(OR($J37="",$K37=""),"",IF(SUMIFS(Calendar!$C$16:$C$134,Calendar!$A$16:$A$134,"&gt;="&amp;MAX(R$7,$J37),Calendar!$A$16:$A$134,"&lt;="&amp;MIN(R$7+4,$K37))=0,0,IF($H37="","EXT",SUMIFS(Calendar!$C$16:$C$134,Calendar!$A$16:$A$134,"&gt;="&amp;MAX(R$7,$J37),Calendar!$A$16:$A$134,"&lt;="&amp;MIN(R$7+4,$K37))*$H37/$G37)))</x:f>
        <x:v>0</x:v>
      </x:c>
      <x:c r="S37" s="44" t="n">
        <x:f>IF(OR($J37="",$K37=""),"",IF(SUMIFS(Calendar!$C$16:$C$134,Calendar!$A$16:$A$134,"&gt;="&amp;MAX(S$7,$J37),Calendar!$A$16:$A$134,"&lt;="&amp;MIN(S$7+4,$K37))=0,0,IF($H37="","EXT",SUMIFS(Calendar!$C$16:$C$134,Calendar!$A$16:$A$134,"&gt;="&amp;MAX(S$7,$J37),Calendar!$A$16:$A$134,"&lt;="&amp;MIN(S$7+4,$K37))*$H37/$G37)))</x:f>
        <x:v>0</x:v>
      </x:c>
      <x:c r="T37" s="44" t="n">
        <x:f>IF(OR($J37="",$K37=""),"",IF(SUMIFS(Calendar!$C$16:$C$134,Calendar!$A$16:$A$134,"&gt;="&amp;MAX(T$7,$J37),Calendar!$A$16:$A$134,"&lt;="&amp;MIN(T$7+4,$K37))=0,0,IF($H37="","EXT",SUMIFS(Calendar!$C$16:$C$134,Calendar!$A$16:$A$134,"&gt;="&amp;MAX(T$7,$J37),Calendar!$A$16:$A$134,"&lt;="&amp;MIN(T$7+4,$K37))*$H37/$G37)))</x:f>
        <x:v>0</x:v>
      </x:c>
      <x:c r="U37" s="44" t="n">
        <x:f>IF(OR($J37="",$K37=""),"",IF(SUMIFS(Calendar!$C$16:$C$134,Calendar!$A$16:$A$134,"&gt;="&amp;MAX(U$7,$J37),Calendar!$A$16:$A$134,"&lt;="&amp;MIN(U$7+4,$K37))=0,0,IF($H37="","EXT",SUMIFS(Calendar!$C$16:$C$134,Calendar!$A$16:$A$134,"&gt;="&amp;MAX(U$7,$J37),Calendar!$A$16:$A$134,"&lt;="&amp;MIN(U$7+4,$K37))*$H37/$G37)))</x:f>
        <x:v>0</x:v>
      </x:c>
      <x:c r="V37" s="44" t="n">
        <x:f>IF(OR($J37="",$K37=""),"",IF(SUMIFS(Calendar!$C$16:$C$134,Calendar!$A$16:$A$134,"&gt;="&amp;MAX(V$7,$J37),Calendar!$A$16:$A$134,"&lt;="&amp;MIN(V$7+4,$K37))=0,0,IF($H37="","EXT",SUMIFS(Calendar!$C$16:$C$134,Calendar!$A$16:$A$134,"&gt;="&amp;MAX(V$7,$J37),Calendar!$A$16:$A$134,"&lt;="&amp;MIN(V$7+4,$K37))*$H37/$G37)))</x:f>
        <x:v>0</x:v>
      </x:c>
      <x:c r="W37" s="44" t="n">
        <x:f>IF(OR($J37="",$K37=""),"",IF(SUMIFS(Calendar!$C$16:$C$134,Calendar!$A$16:$A$134,"&gt;="&amp;MAX(W$7,$J37),Calendar!$A$16:$A$134,"&lt;="&amp;MIN(W$7+4,$K37))=0,0,IF($H37="","EXT",SUMIFS(Calendar!$C$16:$C$134,Calendar!$A$16:$A$134,"&gt;="&amp;MAX(W$7,$J37),Calendar!$A$16:$A$134,"&lt;="&amp;MIN(W$7+4,$K37))*$H37/$G37)))</x:f>
        <x:v>0</x:v>
      </x:c>
      <x:c r="X37" s="44" t="n">
        <x:f>IF(OR($J37="",$K37=""),"",IF(SUMIFS(Calendar!$C$16:$C$134,Calendar!$A$16:$A$134,"&gt;="&amp;MAX(X$7,$J37),Calendar!$A$16:$A$134,"&lt;="&amp;MIN(X$7+4,$K37))=0,0,IF($H37="","EXT",SUMIFS(Calendar!$C$16:$C$134,Calendar!$A$16:$A$134,"&gt;="&amp;MAX(X$7,$J37),Calendar!$A$16:$A$134,"&lt;="&amp;MIN(X$7+4,$K37))*$H37/$G37)))</x:f>
        <x:v>0</x:v>
      </x:c>
      <x:c r="Y37" s="44" t="n">
        <x:f>IF(OR($J37="",$K37=""),"",IF(SUMIFS(Calendar!$C$16:$C$134,Calendar!$A$16:$A$134,"&gt;="&amp;MAX(Y$7,$J37),Calendar!$A$16:$A$134,"&lt;="&amp;MIN(Y$7+4,$K37))=0,0,IF($H37="","EXT",SUMIFS(Calendar!$C$16:$C$134,Calendar!$A$16:$A$134,"&gt;="&amp;MAX(Y$7,$J37),Calendar!$A$16:$A$134,"&lt;="&amp;MIN(Y$7+4,$K37))*$H37/$G37)))</x:f>
        <x:v>0</x:v>
      </x:c>
      <x:c r="Z37" s="44" t="n">
        <x:f>IF(OR($J37="",$K37=""),"",IF(SUMIFS(Calendar!$C$16:$C$134,Calendar!$A$16:$A$134,"&gt;="&amp;MAX(Z$7,$J37),Calendar!$A$16:$A$134,"&lt;="&amp;MIN(Z$7+4,$K37))=0,0,IF($H37="","EXT",SUMIFS(Calendar!$C$16:$C$134,Calendar!$A$16:$A$134,"&gt;="&amp;MAX(Z$7,$J37),Calendar!$A$16:$A$134,"&lt;="&amp;MIN(Z$7+4,$K37))*$H37/$G37)))</x:f>
        <x:v>0</x:v>
      </x:c>
      <x:c r="AA37" s="44" t="n">
        <x:f>IF(OR($J37="",$K37=""),"",IF(SUMIFS(Calendar!$C$16:$C$134,Calendar!$A$16:$A$134,"&gt;="&amp;MAX(AA$7,$J37),Calendar!$A$16:$A$134,"&lt;="&amp;MIN(AA$7+4,$K37))=0,0,IF($H37="","EXT",SUMIFS(Calendar!$C$16:$C$134,Calendar!$A$16:$A$134,"&gt;="&amp;MAX(AA$7,$J37),Calendar!$A$16:$A$134,"&lt;="&amp;MIN(AA$7+4,$K37))*$H37/$G37)))</x:f>
        <x:v>0</x:v>
      </x:c>
      <x:c r="AB37" s="44" t="n">
        <x:f>IF(OR($J37="",$K37=""),"",IF(SUMIFS(Calendar!$C$16:$C$134,Calendar!$A$16:$A$134,"&gt;="&amp;MAX(AB$7,$J37),Calendar!$A$16:$A$134,"&lt;="&amp;MIN(AB$7+4,$K37))=0,0,IF($H37="","EXT",SUMIFS(Calendar!$C$16:$C$134,Calendar!$A$16:$A$134,"&gt;="&amp;MAX(AB$7,$J37),Calendar!$A$16:$A$134,"&lt;="&amp;MIN(AB$7+4,$K37))*$H37/$G37)))</x:f>
        <x:v>0</x:v>
      </x:c>
      <x:c r="AC37" s="44" t="n">
        <x:f>IF(OR($J37="",$K37=""),"",IF(SUMIFS(Calendar!$C$16:$C$134,Calendar!$A$16:$A$134,"&gt;="&amp;MAX(AC$7,$J37),Calendar!$A$16:$A$134,"&lt;="&amp;MIN(AC$7+4,$K37))=0,0,IF($H37="","EXT",SUMIFS(Calendar!$C$16:$C$134,Calendar!$A$16:$A$134,"&gt;="&amp;MAX(AC$7,$J37),Calendar!$A$16:$A$134,"&lt;="&amp;MIN(AC$7+4,$K37))*$H37/$G37)))</x:f>
        <x:v>0</x:v>
      </x:c>
      <x:c r="AD37" s="44" t="n">
        <x:f>IF(OR($J37="",$K37=""),"",IF(SUMIFS(Calendar!$C$16:$C$134,Calendar!$A$16:$A$134,"&gt;="&amp;MAX(AD$7,$J37),Calendar!$A$16:$A$134,"&lt;="&amp;MIN(AD$7+4,$K37))=0,0,IF($H37="","EXT",SUMIFS(Calendar!$C$16:$C$134,Calendar!$A$16:$A$134,"&gt;="&amp;MAX(AD$7,$J37),Calendar!$A$16:$A$134,"&lt;="&amp;MIN(AD$7+4,$K37))*$H37/$G37)))</x:f>
        <x:v>3</x:v>
      </x:c>
      <x:c r="AE37" s="42" t="n">
        <x:f>IF(OR(M37&lt;&gt;"Scheduled",INDEX('Team and Gates'!$C$7:$C$11,MATCH($D37,'Team and Gates'!$A$7:$A$11,0))=""),"CHECK",SUM(N37:AD37)*INDEX('Team and Gates'!$C$7:$C$11,MATCH($D37,'Team and Gates'!$A$7:$A$11,0)))</x:f>
        <x:v>1080</x:v>
      </x:c>
      <x:c r="AF37" s="43" t="str">
        <x:v>First AM actions, permissions, Case state and approval flows are monitored.</x:v>
      </x:c>
      <x:c r="AG37" s="43" t="str"/>
    </x:row>
    <x:row r="38" ht="36" customHeight="1">
      <x:c r="A38" s="2" t="str">
        <x:v>S01</x:v>
      </x:c>
      <x:c r="B38" s="2" t="str">
        <x:v>Model quality</x:v>
      </x:c>
      <x:c r="C38" s="2" t="str">
        <x:v>Intent taxonomy, annotation rubric and evaluation design</x:v>
      </x:c>
      <x:c r="D38" s="24" t="str">
        <x:v>DS</x:v>
      </x:c>
      <x:c r="E38" s="2" t="str">
        <x:v>E02:SS</x:v>
      </x:c>
      <x:c r="F38" s="47" t="n">
        <x:v>1</x:v>
      </x:c>
      <x:c r="G38" s="47" t="n">
        <x:v>5</x:v>
      </x:c>
      <x:c r="H38" s="48" t="n">
        <x:v>4</x:v>
      </x:c>
      <x:c r="I38" s="2" t="n">
        <x:f>IF(OR(F38="",G38=""),"",F38+G38-1)</x:f>
        <x:v>5</x:v>
      </x:c>
      <x:c r="J38" s="5" t="n">
        <x:f>IF(OR(F38="",F38&lt;1,F38&gt;Calendar!$B$9),"",INDEX(Calendar!$A$16:$A$134,MATCH(F38,Calendar!$D$16:$D$134,0)))</x:f>
        <x:v>46328</x:v>
      </x:c>
      <x:c r="K38" s="5" t="n">
        <x:f>IF(OR(I38="",I38&lt;1,I38&gt;Calendar!$B$9),"",INDEX(Calendar!$A$16:$A$134,MATCH(I38,Calendar!$D$16:$D$134,0)))</x:f>
        <x:v>46332</x:v>
      </x:c>
      <x:c r="L38" s="50" t="n">
        <x:v>0</x:v>
      </x:c>
      <x:c r="M38" s="2" t="str">
        <x:f>IF(OR(F38="",G38="",H38=""),"Missing input",IF(OR(F38&lt;1,G38&lt;1,I38&gt;Calendar!$B$9),"Outside calendar",IF(F38&lt;MAX(INDEX($F$8:$F$85,MATCH("E02",$A$8:$A$85,0))),"Dependency conflict","Scheduled")))</x:f>
        <x:v>Scheduled</x:v>
      </x:c>
      <x:c r="N38" s="44" t="n">
        <x:f>IF(OR($J38="",$K38=""),"",IF(SUMIFS(Calendar!$C$16:$C$134,Calendar!$A$16:$A$134,"&gt;="&amp;MAX(N$7,$J38),Calendar!$A$16:$A$134,"&lt;="&amp;MIN(N$7+4,$K38))=0,0,IF($H38="","EXT",SUMIFS(Calendar!$C$16:$C$134,Calendar!$A$16:$A$134,"&gt;="&amp;MAX(N$7,$J38),Calendar!$A$16:$A$134,"&lt;="&amp;MIN(N$7+4,$K38))*$H38/$G38)))</x:f>
        <x:v>4</x:v>
      </x:c>
      <x:c r="O38" s="44" t="n">
        <x:f>IF(OR($J38="",$K38=""),"",IF(SUMIFS(Calendar!$C$16:$C$134,Calendar!$A$16:$A$134,"&gt;="&amp;MAX(O$7,$J38),Calendar!$A$16:$A$134,"&lt;="&amp;MIN(O$7+4,$K38))=0,0,IF($H38="","EXT",SUMIFS(Calendar!$C$16:$C$134,Calendar!$A$16:$A$134,"&gt;="&amp;MAX(O$7,$J38),Calendar!$A$16:$A$134,"&lt;="&amp;MIN(O$7+4,$K38))*$H38/$G38)))</x:f>
        <x:v>0</x:v>
      </x:c>
      <x:c r="P38" s="44" t="n">
        <x:f>IF(OR($J38="",$K38=""),"",IF(SUMIFS(Calendar!$C$16:$C$134,Calendar!$A$16:$A$134,"&gt;="&amp;MAX(P$7,$J38),Calendar!$A$16:$A$134,"&lt;="&amp;MIN(P$7+4,$K38))=0,0,IF($H38="","EXT",SUMIFS(Calendar!$C$16:$C$134,Calendar!$A$16:$A$134,"&gt;="&amp;MAX(P$7,$J38),Calendar!$A$16:$A$134,"&lt;="&amp;MIN(P$7+4,$K38))*$H38/$G38)))</x:f>
        <x:v>0</x:v>
      </x:c>
      <x:c r="Q38" s="44" t="n">
        <x:f>IF(OR($J38="",$K38=""),"",IF(SUMIFS(Calendar!$C$16:$C$134,Calendar!$A$16:$A$134,"&gt;="&amp;MAX(Q$7,$J38),Calendar!$A$16:$A$134,"&lt;="&amp;MIN(Q$7+4,$K38))=0,0,IF($H38="","EXT",SUMIFS(Calendar!$C$16:$C$134,Calendar!$A$16:$A$134,"&gt;="&amp;MAX(Q$7,$J38),Calendar!$A$16:$A$134,"&lt;="&amp;MIN(Q$7+4,$K38))*$H38/$G38)))</x:f>
        <x:v>0</x:v>
      </x:c>
      <x:c r="R38" s="44" t="n">
        <x:f>IF(OR($J38="",$K38=""),"",IF(SUMIFS(Calendar!$C$16:$C$134,Calendar!$A$16:$A$134,"&gt;="&amp;MAX(R$7,$J38),Calendar!$A$16:$A$134,"&lt;="&amp;MIN(R$7+4,$K38))=0,0,IF($H38="","EXT",SUMIFS(Calendar!$C$16:$C$134,Calendar!$A$16:$A$134,"&gt;="&amp;MAX(R$7,$J38),Calendar!$A$16:$A$134,"&lt;="&amp;MIN(R$7+4,$K38))*$H38/$G38)))</x:f>
        <x:v>0</x:v>
      </x:c>
      <x:c r="S38" s="44" t="n">
        <x:f>IF(OR($J38="",$K38=""),"",IF(SUMIFS(Calendar!$C$16:$C$134,Calendar!$A$16:$A$134,"&gt;="&amp;MAX(S$7,$J38),Calendar!$A$16:$A$134,"&lt;="&amp;MIN(S$7+4,$K38))=0,0,IF($H38="","EXT",SUMIFS(Calendar!$C$16:$C$134,Calendar!$A$16:$A$134,"&gt;="&amp;MAX(S$7,$J38),Calendar!$A$16:$A$134,"&lt;="&amp;MIN(S$7+4,$K38))*$H38/$G38)))</x:f>
        <x:v>0</x:v>
      </x:c>
      <x:c r="T38" s="44" t="n">
        <x:f>IF(OR($J38="",$K38=""),"",IF(SUMIFS(Calendar!$C$16:$C$134,Calendar!$A$16:$A$134,"&gt;="&amp;MAX(T$7,$J38),Calendar!$A$16:$A$134,"&lt;="&amp;MIN(T$7+4,$K38))=0,0,IF($H38="","EXT",SUMIFS(Calendar!$C$16:$C$134,Calendar!$A$16:$A$134,"&gt;="&amp;MAX(T$7,$J38),Calendar!$A$16:$A$134,"&lt;="&amp;MIN(T$7+4,$K38))*$H38/$G38)))</x:f>
        <x:v>0</x:v>
      </x:c>
      <x:c r="U38" s="44" t="n">
        <x:f>IF(OR($J38="",$K38=""),"",IF(SUMIFS(Calendar!$C$16:$C$134,Calendar!$A$16:$A$134,"&gt;="&amp;MAX(U$7,$J38),Calendar!$A$16:$A$134,"&lt;="&amp;MIN(U$7+4,$K38))=0,0,IF($H38="","EXT",SUMIFS(Calendar!$C$16:$C$134,Calendar!$A$16:$A$134,"&gt;="&amp;MAX(U$7,$J38),Calendar!$A$16:$A$134,"&lt;="&amp;MIN(U$7+4,$K38))*$H38/$G38)))</x:f>
        <x:v>0</x:v>
      </x:c>
      <x:c r="V38" s="44" t="n">
        <x:f>IF(OR($J38="",$K38=""),"",IF(SUMIFS(Calendar!$C$16:$C$134,Calendar!$A$16:$A$134,"&gt;="&amp;MAX(V$7,$J38),Calendar!$A$16:$A$134,"&lt;="&amp;MIN(V$7+4,$K38))=0,0,IF($H38="","EXT",SUMIFS(Calendar!$C$16:$C$134,Calendar!$A$16:$A$134,"&gt;="&amp;MAX(V$7,$J38),Calendar!$A$16:$A$134,"&lt;="&amp;MIN(V$7+4,$K38))*$H38/$G38)))</x:f>
        <x:v>0</x:v>
      </x:c>
      <x:c r="W38" s="44" t="n">
        <x:f>IF(OR($J38="",$K38=""),"",IF(SUMIFS(Calendar!$C$16:$C$134,Calendar!$A$16:$A$134,"&gt;="&amp;MAX(W$7,$J38),Calendar!$A$16:$A$134,"&lt;="&amp;MIN(W$7+4,$K38))=0,0,IF($H38="","EXT",SUMIFS(Calendar!$C$16:$C$134,Calendar!$A$16:$A$134,"&gt;="&amp;MAX(W$7,$J38),Calendar!$A$16:$A$134,"&lt;="&amp;MIN(W$7+4,$K38))*$H38/$G38)))</x:f>
        <x:v>0</x:v>
      </x:c>
      <x:c r="X38" s="44" t="n">
        <x:f>IF(OR($J38="",$K38=""),"",IF(SUMIFS(Calendar!$C$16:$C$134,Calendar!$A$16:$A$134,"&gt;="&amp;MAX(X$7,$J38),Calendar!$A$16:$A$134,"&lt;="&amp;MIN(X$7+4,$K38))=0,0,IF($H38="","EXT",SUMIFS(Calendar!$C$16:$C$134,Calendar!$A$16:$A$134,"&gt;="&amp;MAX(X$7,$J38),Calendar!$A$16:$A$134,"&lt;="&amp;MIN(X$7+4,$K38))*$H38/$G38)))</x:f>
        <x:v>0</x:v>
      </x:c>
      <x:c r="Y38" s="44" t="n">
        <x:f>IF(OR($J38="",$K38=""),"",IF(SUMIFS(Calendar!$C$16:$C$134,Calendar!$A$16:$A$134,"&gt;="&amp;MAX(Y$7,$J38),Calendar!$A$16:$A$134,"&lt;="&amp;MIN(Y$7+4,$K38))=0,0,IF($H38="","EXT",SUMIFS(Calendar!$C$16:$C$134,Calendar!$A$16:$A$134,"&gt;="&amp;MAX(Y$7,$J38),Calendar!$A$16:$A$134,"&lt;="&amp;MIN(Y$7+4,$K38))*$H38/$G38)))</x:f>
        <x:v>0</x:v>
      </x:c>
      <x:c r="Z38" s="44" t="n">
        <x:f>IF(OR($J38="",$K38=""),"",IF(SUMIFS(Calendar!$C$16:$C$134,Calendar!$A$16:$A$134,"&gt;="&amp;MAX(Z$7,$J38),Calendar!$A$16:$A$134,"&lt;="&amp;MIN(Z$7+4,$K38))=0,0,IF($H38="","EXT",SUMIFS(Calendar!$C$16:$C$134,Calendar!$A$16:$A$134,"&gt;="&amp;MAX(Z$7,$J38),Calendar!$A$16:$A$134,"&lt;="&amp;MIN(Z$7+4,$K38))*$H38/$G38)))</x:f>
        <x:v>0</x:v>
      </x:c>
      <x:c r="AA38" s="44" t="n">
        <x:f>IF(OR($J38="",$K38=""),"",IF(SUMIFS(Calendar!$C$16:$C$134,Calendar!$A$16:$A$134,"&gt;="&amp;MAX(AA$7,$J38),Calendar!$A$16:$A$134,"&lt;="&amp;MIN(AA$7+4,$K38))=0,0,IF($H38="","EXT",SUMIFS(Calendar!$C$16:$C$134,Calendar!$A$16:$A$134,"&gt;="&amp;MAX(AA$7,$J38),Calendar!$A$16:$A$134,"&lt;="&amp;MIN(AA$7+4,$K38))*$H38/$G38)))</x:f>
        <x:v>0</x:v>
      </x:c>
      <x:c r="AB38" s="44" t="n">
        <x:f>IF(OR($J38="",$K38=""),"",IF(SUMIFS(Calendar!$C$16:$C$134,Calendar!$A$16:$A$134,"&gt;="&amp;MAX(AB$7,$J38),Calendar!$A$16:$A$134,"&lt;="&amp;MIN(AB$7+4,$K38))=0,0,IF($H38="","EXT",SUMIFS(Calendar!$C$16:$C$134,Calendar!$A$16:$A$134,"&gt;="&amp;MAX(AB$7,$J38),Calendar!$A$16:$A$134,"&lt;="&amp;MIN(AB$7+4,$K38))*$H38/$G38)))</x:f>
        <x:v>0</x:v>
      </x:c>
      <x:c r="AC38" s="44" t="n">
        <x:f>IF(OR($J38="",$K38=""),"",IF(SUMIFS(Calendar!$C$16:$C$134,Calendar!$A$16:$A$134,"&gt;="&amp;MAX(AC$7,$J38),Calendar!$A$16:$A$134,"&lt;="&amp;MIN(AC$7+4,$K38))=0,0,IF($H38="","EXT",SUMIFS(Calendar!$C$16:$C$134,Calendar!$A$16:$A$134,"&gt;="&amp;MAX(AC$7,$J38),Calendar!$A$16:$A$134,"&lt;="&amp;MIN(AC$7+4,$K38))*$H38/$G38)))</x:f>
        <x:v>0</x:v>
      </x:c>
      <x:c r="AD38" s="44" t="n">
        <x:f>IF(OR($J38="",$K38=""),"",IF(SUMIFS(Calendar!$C$16:$C$134,Calendar!$A$16:$A$134,"&gt;="&amp;MAX(AD$7,$J38),Calendar!$A$16:$A$134,"&lt;="&amp;MIN(AD$7+4,$K38))=0,0,IF($H38="","EXT",SUMIFS(Calendar!$C$16:$C$134,Calendar!$A$16:$A$134,"&gt;="&amp;MAX(AD$7,$J38),Calendar!$A$16:$A$134,"&lt;="&amp;MIN(AD$7+4,$K38))*$H38/$G38)))</x:f>
        <x:v>0</x:v>
      </x:c>
      <x:c r="AE38" s="42" t="n">
        <x:f>IF(OR(M38&lt;&gt;"Scheduled",INDEX('Team and Gates'!$C$7:$C$11,MATCH($D38,'Team and Gates'!$A$7:$A$11,0))=""),"CHECK",SUM(N38:AD38)*INDEX('Team and Gates'!$C$7:$C$11,MATCH($D38,'Team and Gates'!$A$7:$A$11,0)))</x:f>
        <x:v>1440</x:v>
      </x:c>
      <x:c r="AF38" s="43" t="str">
        <x:v>Actionability, matching, evidence and reply quality have agreed labels.</x:v>
      </x:c>
      <x:c r="AG38" s="43" t="str"/>
    </x:row>
    <x:row r="39" ht="36" customHeight="1">
      <x:c r="A39" s="35" t="str">
        <x:v>S02</x:v>
      </x:c>
      <x:c r="B39" s="35" t="str">
        <x:v>Model quality</x:v>
      </x:c>
      <x:c r="C39" s="35" t="str">
        <x:v>Corpus audit and tuning/dev/holdout split</x:v>
      </x:c>
      <x:c r="D39" s="24" t="str">
        <x:v>DS</x:v>
      </x:c>
      <x:c r="E39" s="35" t="str">
        <x:v>S01, U01</x:v>
      </x:c>
      <x:c r="F39" s="47" t="n">
        <x:v>6</x:v>
      </x:c>
      <x:c r="G39" s="47" t="n">
        <x:v>5</x:v>
      </x:c>
      <x:c r="H39" s="48" t="n">
        <x:v>4</x:v>
      </x:c>
      <x:c r="I39" s="35" t="n">
        <x:f>IF(OR(F39="",G39=""),"",F39+G39-1)</x:f>
        <x:v>10</x:v>
      </x:c>
      <x:c r="J39" s="37" t="n">
        <x:f>IF(OR(F39="",F39&lt;1,F39&gt;Calendar!$B$9),"",INDEX(Calendar!$A$16:$A$134,MATCH(F39,Calendar!$D$16:$D$134,0)))</x:f>
        <x:v>46335</x:v>
      </x:c>
      <x:c r="K39" s="37" t="n">
        <x:f>IF(OR(I39="",I39&lt;1,I39&gt;Calendar!$B$9),"",INDEX(Calendar!$A$16:$A$134,MATCH(I39,Calendar!$D$16:$D$134,0)))</x:f>
        <x:v>46339</x:v>
      </x:c>
      <x:c r="L39" s="50" t="n">
        <x:v>0</x:v>
      </x:c>
      <x:c r="M39" s="35" t="str">
        <x:f>IF(OR(F39="",G39="",H39=""),"Missing input",IF(OR(F39&lt;1,G39&lt;1,I39&gt;Calendar!$B$9),"Outside calendar",IF(F39&lt;MAX(INDEX($I$8:$I$85,MATCH("S01",$A$8:$A$85,0))+1,INDEX($I$8:$I$85,MATCH("U01",$A$8:$A$85,0))+1),"Dependency conflict","Scheduled")))</x:f>
        <x:v>Scheduled</x:v>
      </x:c>
      <x:c r="N39" s="44" t="n">
        <x:f>IF(OR($J39="",$K39=""),"",IF(SUMIFS(Calendar!$C$16:$C$134,Calendar!$A$16:$A$134,"&gt;="&amp;MAX(N$7,$J39),Calendar!$A$16:$A$134,"&lt;="&amp;MIN(N$7+4,$K39))=0,0,IF($H39="","EXT",SUMIFS(Calendar!$C$16:$C$134,Calendar!$A$16:$A$134,"&gt;="&amp;MAX(N$7,$J39),Calendar!$A$16:$A$134,"&lt;="&amp;MIN(N$7+4,$K39))*$H39/$G39)))</x:f>
        <x:v>0</x:v>
      </x:c>
      <x:c r="O39" s="44" t="n">
        <x:f>IF(OR($J39="",$K39=""),"",IF(SUMIFS(Calendar!$C$16:$C$134,Calendar!$A$16:$A$134,"&gt;="&amp;MAX(O$7,$J39),Calendar!$A$16:$A$134,"&lt;="&amp;MIN(O$7+4,$K39))=0,0,IF($H39="","EXT",SUMIFS(Calendar!$C$16:$C$134,Calendar!$A$16:$A$134,"&gt;="&amp;MAX(O$7,$J39),Calendar!$A$16:$A$134,"&lt;="&amp;MIN(O$7+4,$K39))*$H39/$G39)))</x:f>
        <x:v>4</x:v>
      </x:c>
      <x:c r="P39" s="44" t="n">
        <x:f>IF(OR($J39="",$K39=""),"",IF(SUMIFS(Calendar!$C$16:$C$134,Calendar!$A$16:$A$134,"&gt;="&amp;MAX(P$7,$J39),Calendar!$A$16:$A$134,"&lt;="&amp;MIN(P$7+4,$K39))=0,0,IF($H39="","EXT",SUMIFS(Calendar!$C$16:$C$134,Calendar!$A$16:$A$134,"&gt;="&amp;MAX(P$7,$J39),Calendar!$A$16:$A$134,"&lt;="&amp;MIN(P$7+4,$K39))*$H39/$G39)))</x:f>
        <x:v>0</x:v>
      </x:c>
      <x:c r="Q39" s="44" t="n">
        <x:f>IF(OR($J39="",$K39=""),"",IF(SUMIFS(Calendar!$C$16:$C$134,Calendar!$A$16:$A$134,"&gt;="&amp;MAX(Q$7,$J39),Calendar!$A$16:$A$134,"&lt;="&amp;MIN(Q$7+4,$K39))=0,0,IF($H39="","EXT",SUMIFS(Calendar!$C$16:$C$134,Calendar!$A$16:$A$134,"&gt;="&amp;MAX(Q$7,$J39),Calendar!$A$16:$A$134,"&lt;="&amp;MIN(Q$7+4,$K39))*$H39/$G39)))</x:f>
        <x:v>0</x:v>
      </x:c>
      <x:c r="R39" s="44" t="n">
        <x:f>IF(OR($J39="",$K39=""),"",IF(SUMIFS(Calendar!$C$16:$C$134,Calendar!$A$16:$A$134,"&gt;="&amp;MAX(R$7,$J39),Calendar!$A$16:$A$134,"&lt;="&amp;MIN(R$7+4,$K39))=0,0,IF($H39="","EXT",SUMIFS(Calendar!$C$16:$C$134,Calendar!$A$16:$A$134,"&gt;="&amp;MAX(R$7,$J39),Calendar!$A$16:$A$134,"&lt;="&amp;MIN(R$7+4,$K39))*$H39/$G39)))</x:f>
        <x:v>0</x:v>
      </x:c>
      <x:c r="S39" s="44" t="n">
        <x:f>IF(OR($J39="",$K39=""),"",IF(SUMIFS(Calendar!$C$16:$C$134,Calendar!$A$16:$A$134,"&gt;="&amp;MAX(S$7,$J39),Calendar!$A$16:$A$134,"&lt;="&amp;MIN(S$7+4,$K39))=0,0,IF($H39="","EXT",SUMIFS(Calendar!$C$16:$C$134,Calendar!$A$16:$A$134,"&gt;="&amp;MAX(S$7,$J39),Calendar!$A$16:$A$134,"&lt;="&amp;MIN(S$7+4,$K39))*$H39/$G39)))</x:f>
        <x:v>0</x:v>
      </x:c>
      <x:c r="T39" s="44" t="n">
        <x:f>IF(OR($J39="",$K39=""),"",IF(SUMIFS(Calendar!$C$16:$C$134,Calendar!$A$16:$A$134,"&gt;="&amp;MAX(T$7,$J39),Calendar!$A$16:$A$134,"&lt;="&amp;MIN(T$7+4,$K39))=0,0,IF($H39="","EXT",SUMIFS(Calendar!$C$16:$C$134,Calendar!$A$16:$A$134,"&gt;="&amp;MAX(T$7,$J39),Calendar!$A$16:$A$134,"&lt;="&amp;MIN(T$7+4,$K39))*$H39/$G39)))</x:f>
        <x:v>0</x:v>
      </x:c>
      <x:c r="U39" s="44" t="n">
        <x:f>IF(OR($J39="",$K39=""),"",IF(SUMIFS(Calendar!$C$16:$C$134,Calendar!$A$16:$A$134,"&gt;="&amp;MAX(U$7,$J39),Calendar!$A$16:$A$134,"&lt;="&amp;MIN(U$7+4,$K39))=0,0,IF($H39="","EXT",SUMIFS(Calendar!$C$16:$C$134,Calendar!$A$16:$A$134,"&gt;="&amp;MAX(U$7,$J39),Calendar!$A$16:$A$134,"&lt;="&amp;MIN(U$7+4,$K39))*$H39/$G39)))</x:f>
        <x:v>0</x:v>
      </x:c>
      <x:c r="V39" s="44" t="n">
        <x:f>IF(OR($J39="",$K39=""),"",IF(SUMIFS(Calendar!$C$16:$C$134,Calendar!$A$16:$A$134,"&gt;="&amp;MAX(V$7,$J39),Calendar!$A$16:$A$134,"&lt;="&amp;MIN(V$7+4,$K39))=0,0,IF($H39="","EXT",SUMIFS(Calendar!$C$16:$C$134,Calendar!$A$16:$A$134,"&gt;="&amp;MAX(V$7,$J39),Calendar!$A$16:$A$134,"&lt;="&amp;MIN(V$7+4,$K39))*$H39/$G39)))</x:f>
        <x:v>0</x:v>
      </x:c>
      <x:c r="W39" s="44" t="n">
        <x:f>IF(OR($J39="",$K39=""),"",IF(SUMIFS(Calendar!$C$16:$C$134,Calendar!$A$16:$A$134,"&gt;="&amp;MAX(W$7,$J39),Calendar!$A$16:$A$134,"&lt;="&amp;MIN(W$7+4,$K39))=0,0,IF($H39="","EXT",SUMIFS(Calendar!$C$16:$C$134,Calendar!$A$16:$A$134,"&gt;="&amp;MAX(W$7,$J39),Calendar!$A$16:$A$134,"&lt;="&amp;MIN(W$7+4,$K39))*$H39/$G39)))</x:f>
        <x:v>0</x:v>
      </x:c>
      <x:c r="X39" s="44" t="n">
        <x:f>IF(OR($J39="",$K39=""),"",IF(SUMIFS(Calendar!$C$16:$C$134,Calendar!$A$16:$A$134,"&gt;="&amp;MAX(X$7,$J39),Calendar!$A$16:$A$134,"&lt;="&amp;MIN(X$7+4,$K39))=0,0,IF($H39="","EXT",SUMIFS(Calendar!$C$16:$C$134,Calendar!$A$16:$A$134,"&gt;="&amp;MAX(X$7,$J39),Calendar!$A$16:$A$134,"&lt;="&amp;MIN(X$7+4,$K39))*$H39/$G39)))</x:f>
        <x:v>0</x:v>
      </x:c>
      <x:c r="Y39" s="44" t="n">
        <x:f>IF(OR($J39="",$K39=""),"",IF(SUMIFS(Calendar!$C$16:$C$134,Calendar!$A$16:$A$134,"&gt;="&amp;MAX(Y$7,$J39),Calendar!$A$16:$A$134,"&lt;="&amp;MIN(Y$7+4,$K39))=0,0,IF($H39="","EXT",SUMIFS(Calendar!$C$16:$C$134,Calendar!$A$16:$A$134,"&gt;="&amp;MAX(Y$7,$J39),Calendar!$A$16:$A$134,"&lt;="&amp;MIN(Y$7+4,$K39))*$H39/$G39)))</x:f>
        <x:v>0</x:v>
      </x:c>
      <x:c r="Z39" s="44" t="n">
        <x:f>IF(OR($J39="",$K39=""),"",IF(SUMIFS(Calendar!$C$16:$C$134,Calendar!$A$16:$A$134,"&gt;="&amp;MAX(Z$7,$J39),Calendar!$A$16:$A$134,"&lt;="&amp;MIN(Z$7+4,$K39))=0,0,IF($H39="","EXT",SUMIFS(Calendar!$C$16:$C$134,Calendar!$A$16:$A$134,"&gt;="&amp;MAX(Z$7,$J39),Calendar!$A$16:$A$134,"&lt;="&amp;MIN(Z$7+4,$K39))*$H39/$G39)))</x:f>
        <x:v>0</x:v>
      </x:c>
      <x:c r="AA39" s="44" t="n">
        <x:f>IF(OR($J39="",$K39=""),"",IF(SUMIFS(Calendar!$C$16:$C$134,Calendar!$A$16:$A$134,"&gt;="&amp;MAX(AA$7,$J39),Calendar!$A$16:$A$134,"&lt;="&amp;MIN(AA$7+4,$K39))=0,0,IF($H39="","EXT",SUMIFS(Calendar!$C$16:$C$134,Calendar!$A$16:$A$134,"&gt;="&amp;MAX(AA$7,$J39),Calendar!$A$16:$A$134,"&lt;="&amp;MIN(AA$7+4,$K39))*$H39/$G39)))</x:f>
        <x:v>0</x:v>
      </x:c>
      <x:c r="AB39" s="44" t="n">
        <x:f>IF(OR($J39="",$K39=""),"",IF(SUMIFS(Calendar!$C$16:$C$134,Calendar!$A$16:$A$134,"&gt;="&amp;MAX(AB$7,$J39),Calendar!$A$16:$A$134,"&lt;="&amp;MIN(AB$7+4,$K39))=0,0,IF($H39="","EXT",SUMIFS(Calendar!$C$16:$C$134,Calendar!$A$16:$A$134,"&gt;="&amp;MAX(AB$7,$J39),Calendar!$A$16:$A$134,"&lt;="&amp;MIN(AB$7+4,$K39))*$H39/$G39)))</x:f>
        <x:v>0</x:v>
      </x:c>
      <x:c r="AC39" s="44" t="n">
        <x:f>IF(OR($J39="",$K39=""),"",IF(SUMIFS(Calendar!$C$16:$C$134,Calendar!$A$16:$A$134,"&gt;="&amp;MAX(AC$7,$J39),Calendar!$A$16:$A$134,"&lt;="&amp;MIN(AC$7+4,$K39))=0,0,IF($H39="","EXT",SUMIFS(Calendar!$C$16:$C$134,Calendar!$A$16:$A$134,"&gt;="&amp;MAX(AC$7,$J39),Calendar!$A$16:$A$134,"&lt;="&amp;MIN(AC$7+4,$K39))*$H39/$G39)))</x:f>
        <x:v>0</x:v>
      </x:c>
      <x:c r="AD39" s="44" t="n">
        <x:f>IF(OR($J39="",$K39=""),"",IF(SUMIFS(Calendar!$C$16:$C$134,Calendar!$A$16:$A$134,"&gt;="&amp;MAX(AD$7,$J39),Calendar!$A$16:$A$134,"&lt;="&amp;MIN(AD$7+4,$K39))=0,0,IF($H39="","EXT",SUMIFS(Calendar!$C$16:$C$134,Calendar!$A$16:$A$134,"&gt;="&amp;MAX(AD$7,$J39),Calendar!$A$16:$A$134,"&lt;="&amp;MIN(AD$7+4,$K39))*$H39/$G39)))</x:f>
        <x:v>0</x:v>
      </x:c>
      <x:c r="AE39" s="42" t="n">
        <x:f>IF(OR(M39&lt;&gt;"Scheduled",INDEX('Team and Gates'!$C$7:$C$11,MATCH($D39,'Team and Gates'!$A$7:$A$11,0))=""),"CHECK",SUM(N39:AD39)*INDEX('Team and Gates'!$C$7:$C$11,MATCH($D39,'Team and Gates'!$A$7:$A$11,0)))</x:f>
        <x:v>1440</x:v>
      </x:c>
      <x:c r="AF39" s="43" t="str">
        <x:v>Authorized de-identified threads are split by thread/Case to prevent leakage.</x:v>
      </x:c>
      <x:c r="AG39" s="43" t="str"/>
    </x:row>
    <x:row r="40" ht="36" customHeight="1">
      <x:c r="A40" s="2" t="str">
        <x:v>S03</x:v>
      </x:c>
      <x:c r="B40" s="2" t="str">
        <x:v>Model quality</x:v>
      </x:c>
      <x:c r="C40" s="2" t="str">
        <x:v>Foundry baseline, schemas and starter prompts</x:v>
      </x:c>
      <x:c r="D40" s="24" t="str">
        <x:v>DS</x:v>
      </x:c>
      <x:c r="E40" s="2" t="str">
        <x:v>S02, A02</x:v>
      </x:c>
      <x:c r="F40" s="47" t="n">
        <x:v>11</x:v>
      </x:c>
      <x:c r="G40" s="47" t="n">
        <x:v>5</x:v>
      </x:c>
      <x:c r="H40" s="48" t="n">
        <x:v>4</x:v>
      </x:c>
      <x:c r="I40" s="2" t="n">
        <x:f>IF(OR(F40="",G40=""),"",F40+G40-1)</x:f>
        <x:v>15</x:v>
      </x:c>
      <x:c r="J40" s="5" t="n">
        <x:f>IF(OR(F40="",F40&lt;1,F40&gt;Calendar!$B$9),"",INDEX(Calendar!$A$16:$A$134,MATCH(F40,Calendar!$D$16:$D$134,0)))</x:f>
        <x:v>46342</x:v>
      </x:c>
      <x:c r="K40" s="5" t="n">
        <x:f>IF(OR(I40="",I40&lt;1,I40&gt;Calendar!$B$9),"",INDEX(Calendar!$A$16:$A$134,MATCH(I40,Calendar!$D$16:$D$134,0)))</x:f>
        <x:v>46346</x:v>
      </x:c>
      <x:c r="L40" s="50" t="n">
        <x:v>0</x:v>
      </x:c>
      <x:c r="M40" s="2" t="str">
        <x:f>IF(OR(F40="",G40="",H40=""),"Missing input",IF(OR(F40&lt;1,G40&lt;1,I40&gt;Calendar!$B$9),"Outside calendar",IF(F40&lt;MAX(INDEX($I$8:$I$85,MATCH("S02",$A$8:$A$85,0))+1,INDEX($I$8:$I$85,MATCH("A02",$A$8:$A$85,0))+1),"Dependency conflict","Scheduled")))</x:f>
        <x:v>Scheduled</x:v>
      </x:c>
      <x:c r="N40" s="44" t="n">
        <x:f>IF(OR($J40="",$K40=""),"",IF(SUMIFS(Calendar!$C$16:$C$134,Calendar!$A$16:$A$134,"&gt;="&amp;MAX(N$7,$J40),Calendar!$A$16:$A$134,"&lt;="&amp;MIN(N$7+4,$K40))=0,0,IF($H40="","EXT",SUMIFS(Calendar!$C$16:$C$134,Calendar!$A$16:$A$134,"&gt;="&amp;MAX(N$7,$J40),Calendar!$A$16:$A$134,"&lt;="&amp;MIN(N$7+4,$K40))*$H40/$G40)))</x:f>
        <x:v>0</x:v>
      </x:c>
      <x:c r="O40" s="44" t="n">
        <x:f>IF(OR($J40="",$K40=""),"",IF(SUMIFS(Calendar!$C$16:$C$134,Calendar!$A$16:$A$134,"&gt;="&amp;MAX(O$7,$J40),Calendar!$A$16:$A$134,"&lt;="&amp;MIN(O$7+4,$K40))=0,0,IF($H40="","EXT",SUMIFS(Calendar!$C$16:$C$134,Calendar!$A$16:$A$134,"&gt;="&amp;MAX(O$7,$J40),Calendar!$A$16:$A$134,"&lt;="&amp;MIN(O$7+4,$K40))*$H40/$G40)))</x:f>
        <x:v>0</x:v>
      </x:c>
      <x:c r="P40" s="44" t="n">
        <x:f>IF(OR($J40="",$K40=""),"",IF(SUMIFS(Calendar!$C$16:$C$134,Calendar!$A$16:$A$134,"&gt;="&amp;MAX(P$7,$J40),Calendar!$A$16:$A$134,"&lt;="&amp;MIN(P$7+4,$K40))=0,0,IF($H40="","EXT",SUMIFS(Calendar!$C$16:$C$134,Calendar!$A$16:$A$134,"&gt;="&amp;MAX(P$7,$J40),Calendar!$A$16:$A$134,"&lt;="&amp;MIN(P$7+4,$K40))*$H40/$G40)))</x:f>
        <x:v>4</x:v>
      </x:c>
      <x:c r="Q40" s="44" t="n">
        <x:f>IF(OR($J40="",$K40=""),"",IF(SUMIFS(Calendar!$C$16:$C$134,Calendar!$A$16:$A$134,"&gt;="&amp;MAX(Q$7,$J40),Calendar!$A$16:$A$134,"&lt;="&amp;MIN(Q$7+4,$K40))=0,0,IF($H40="","EXT",SUMIFS(Calendar!$C$16:$C$134,Calendar!$A$16:$A$134,"&gt;="&amp;MAX(Q$7,$J40),Calendar!$A$16:$A$134,"&lt;="&amp;MIN(Q$7+4,$K40))*$H40/$G40)))</x:f>
        <x:v>0</x:v>
      </x:c>
      <x:c r="R40" s="44" t="n">
        <x:f>IF(OR($J40="",$K40=""),"",IF(SUMIFS(Calendar!$C$16:$C$134,Calendar!$A$16:$A$134,"&gt;="&amp;MAX(R$7,$J40),Calendar!$A$16:$A$134,"&lt;="&amp;MIN(R$7+4,$K40))=0,0,IF($H40="","EXT",SUMIFS(Calendar!$C$16:$C$134,Calendar!$A$16:$A$134,"&gt;="&amp;MAX(R$7,$J40),Calendar!$A$16:$A$134,"&lt;="&amp;MIN(R$7+4,$K40))*$H40/$G40)))</x:f>
        <x:v>0</x:v>
      </x:c>
      <x:c r="S40" s="44" t="n">
        <x:f>IF(OR($J40="",$K40=""),"",IF(SUMIFS(Calendar!$C$16:$C$134,Calendar!$A$16:$A$134,"&gt;="&amp;MAX(S$7,$J40),Calendar!$A$16:$A$134,"&lt;="&amp;MIN(S$7+4,$K40))=0,0,IF($H40="","EXT",SUMIFS(Calendar!$C$16:$C$134,Calendar!$A$16:$A$134,"&gt;="&amp;MAX(S$7,$J40),Calendar!$A$16:$A$134,"&lt;="&amp;MIN(S$7+4,$K40))*$H40/$G40)))</x:f>
        <x:v>0</x:v>
      </x:c>
      <x:c r="T40" s="44" t="n">
        <x:f>IF(OR($J40="",$K40=""),"",IF(SUMIFS(Calendar!$C$16:$C$134,Calendar!$A$16:$A$134,"&gt;="&amp;MAX(T$7,$J40),Calendar!$A$16:$A$134,"&lt;="&amp;MIN(T$7+4,$K40))=0,0,IF($H40="","EXT",SUMIFS(Calendar!$C$16:$C$134,Calendar!$A$16:$A$134,"&gt;="&amp;MAX(T$7,$J40),Calendar!$A$16:$A$134,"&lt;="&amp;MIN(T$7+4,$K40))*$H40/$G40)))</x:f>
        <x:v>0</x:v>
      </x:c>
      <x:c r="U40" s="44" t="n">
        <x:f>IF(OR($J40="",$K40=""),"",IF(SUMIFS(Calendar!$C$16:$C$134,Calendar!$A$16:$A$134,"&gt;="&amp;MAX(U$7,$J40),Calendar!$A$16:$A$134,"&lt;="&amp;MIN(U$7+4,$K40))=0,0,IF($H40="","EXT",SUMIFS(Calendar!$C$16:$C$134,Calendar!$A$16:$A$134,"&gt;="&amp;MAX(U$7,$J40),Calendar!$A$16:$A$134,"&lt;="&amp;MIN(U$7+4,$K40))*$H40/$G40)))</x:f>
        <x:v>0</x:v>
      </x:c>
      <x:c r="V40" s="44" t="n">
        <x:f>IF(OR($J40="",$K40=""),"",IF(SUMIFS(Calendar!$C$16:$C$134,Calendar!$A$16:$A$134,"&gt;="&amp;MAX(V$7,$J40),Calendar!$A$16:$A$134,"&lt;="&amp;MIN(V$7+4,$K40))=0,0,IF($H40="","EXT",SUMIFS(Calendar!$C$16:$C$134,Calendar!$A$16:$A$134,"&gt;="&amp;MAX(V$7,$J40),Calendar!$A$16:$A$134,"&lt;="&amp;MIN(V$7+4,$K40))*$H40/$G40)))</x:f>
        <x:v>0</x:v>
      </x:c>
      <x:c r="W40" s="44" t="n">
        <x:f>IF(OR($J40="",$K40=""),"",IF(SUMIFS(Calendar!$C$16:$C$134,Calendar!$A$16:$A$134,"&gt;="&amp;MAX(W$7,$J40),Calendar!$A$16:$A$134,"&lt;="&amp;MIN(W$7+4,$K40))=0,0,IF($H40="","EXT",SUMIFS(Calendar!$C$16:$C$134,Calendar!$A$16:$A$134,"&gt;="&amp;MAX(W$7,$J40),Calendar!$A$16:$A$134,"&lt;="&amp;MIN(W$7+4,$K40))*$H40/$G40)))</x:f>
        <x:v>0</x:v>
      </x:c>
      <x:c r="X40" s="44" t="n">
        <x:f>IF(OR($J40="",$K40=""),"",IF(SUMIFS(Calendar!$C$16:$C$134,Calendar!$A$16:$A$134,"&gt;="&amp;MAX(X$7,$J40),Calendar!$A$16:$A$134,"&lt;="&amp;MIN(X$7+4,$K40))=0,0,IF($H40="","EXT",SUMIFS(Calendar!$C$16:$C$134,Calendar!$A$16:$A$134,"&gt;="&amp;MAX(X$7,$J40),Calendar!$A$16:$A$134,"&lt;="&amp;MIN(X$7+4,$K40))*$H40/$G40)))</x:f>
        <x:v>0</x:v>
      </x:c>
      <x:c r="Y40" s="44" t="n">
        <x:f>IF(OR($J40="",$K40=""),"",IF(SUMIFS(Calendar!$C$16:$C$134,Calendar!$A$16:$A$134,"&gt;="&amp;MAX(Y$7,$J40),Calendar!$A$16:$A$134,"&lt;="&amp;MIN(Y$7+4,$K40))=0,0,IF($H40="","EXT",SUMIFS(Calendar!$C$16:$C$134,Calendar!$A$16:$A$134,"&gt;="&amp;MAX(Y$7,$J40),Calendar!$A$16:$A$134,"&lt;="&amp;MIN(Y$7+4,$K40))*$H40/$G40)))</x:f>
        <x:v>0</x:v>
      </x:c>
      <x:c r="Z40" s="44" t="n">
        <x:f>IF(OR($J40="",$K40=""),"",IF(SUMIFS(Calendar!$C$16:$C$134,Calendar!$A$16:$A$134,"&gt;="&amp;MAX(Z$7,$J40),Calendar!$A$16:$A$134,"&lt;="&amp;MIN(Z$7+4,$K40))=0,0,IF($H40="","EXT",SUMIFS(Calendar!$C$16:$C$134,Calendar!$A$16:$A$134,"&gt;="&amp;MAX(Z$7,$J40),Calendar!$A$16:$A$134,"&lt;="&amp;MIN(Z$7+4,$K40))*$H40/$G40)))</x:f>
        <x:v>0</x:v>
      </x:c>
      <x:c r="AA40" s="44" t="n">
        <x:f>IF(OR($J40="",$K40=""),"",IF(SUMIFS(Calendar!$C$16:$C$134,Calendar!$A$16:$A$134,"&gt;="&amp;MAX(AA$7,$J40),Calendar!$A$16:$A$134,"&lt;="&amp;MIN(AA$7+4,$K40))=0,0,IF($H40="","EXT",SUMIFS(Calendar!$C$16:$C$134,Calendar!$A$16:$A$134,"&gt;="&amp;MAX(AA$7,$J40),Calendar!$A$16:$A$134,"&lt;="&amp;MIN(AA$7+4,$K40))*$H40/$G40)))</x:f>
        <x:v>0</x:v>
      </x:c>
      <x:c r="AB40" s="44" t="n">
        <x:f>IF(OR($J40="",$K40=""),"",IF(SUMIFS(Calendar!$C$16:$C$134,Calendar!$A$16:$A$134,"&gt;="&amp;MAX(AB$7,$J40),Calendar!$A$16:$A$134,"&lt;="&amp;MIN(AB$7+4,$K40))=0,0,IF($H40="","EXT",SUMIFS(Calendar!$C$16:$C$134,Calendar!$A$16:$A$134,"&gt;="&amp;MAX(AB$7,$J40),Calendar!$A$16:$A$134,"&lt;="&amp;MIN(AB$7+4,$K40))*$H40/$G40)))</x:f>
        <x:v>0</x:v>
      </x:c>
      <x:c r="AC40" s="44" t="n">
        <x:f>IF(OR($J40="",$K40=""),"",IF(SUMIFS(Calendar!$C$16:$C$134,Calendar!$A$16:$A$134,"&gt;="&amp;MAX(AC$7,$J40),Calendar!$A$16:$A$134,"&lt;="&amp;MIN(AC$7+4,$K40))=0,0,IF($H40="","EXT",SUMIFS(Calendar!$C$16:$C$134,Calendar!$A$16:$A$134,"&gt;="&amp;MAX(AC$7,$J40),Calendar!$A$16:$A$134,"&lt;="&amp;MIN(AC$7+4,$K40))*$H40/$G40)))</x:f>
        <x:v>0</x:v>
      </x:c>
      <x:c r="AD40" s="44" t="n">
        <x:f>IF(OR($J40="",$K40=""),"",IF(SUMIFS(Calendar!$C$16:$C$134,Calendar!$A$16:$A$134,"&gt;="&amp;MAX(AD$7,$J40),Calendar!$A$16:$A$134,"&lt;="&amp;MIN(AD$7+4,$K40))=0,0,IF($H40="","EXT",SUMIFS(Calendar!$C$16:$C$134,Calendar!$A$16:$A$134,"&gt;="&amp;MAX(AD$7,$J40),Calendar!$A$16:$A$134,"&lt;="&amp;MIN(AD$7+4,$K40))*$H40/$G40)))</x:f>
        <x:v>0</x:v>
      </x:c>
      <x:c r="AE40" s="42" t="n">
        <x:f>IF(OR(M40&lt;&gt;"Scheduled",INDEX('Team and Gates'!$C$7:$C$11,MATCH($D40,'Team and Gates'!$A$7:$A$11,0))=""),"CHECK",SUM(N40:AD40)*INDEX('Team and Gates'!$C$7:$C$11,MATCH($D40,'Team and Gates'!$A$7:$A$11,0)))</x:f>
        <x:v>1440</x:v>
      </x:c>
      <x:c r="AF40" s="43" t="str">
        <x:v>Repeatable baseline reports errors, latency and token consumption.</x:v>
      </x:c>
      <x:c r="AG40" s="43" t="str"/>
    </x:row>
    <x:row r="41" ht="36" customHeight="1">
      <x:c r="A41" s="35" t="str">
        <x:v>S04</x:v>
      </x:c>
      <x:c r="B41" s="35" t="str">
        <x:v>Model quality</x:v>
      </x:c>
      <x:c r="C41" s="35" t="str">
        <x:v>Intent, Case matching and evidence extraction tuning</x:v>
      </x:c>
      <x:c r="D41" s="24" t="str">
        <x:v>DS</x:v>
      </x:c>
      <x:c r="E41" s="35" t="str">
        <x:v>S03, U03</x:v>
      </x:c>
      <x:c r="F41" s="47" t="n">
        <x:v>16</x:v>
      </x:c>
      <x:c r="G41" s="47" t="n">
        <x:v>5</x:v>
      </x:c>
      <x:c r="H41" s="48" t="n">
        <x:v>4</x:v>
      </x:c>
      <x:c r="I41" s="35" t="n">
        <x:f>IF(OR(F41="",G41=""),"",F41+G41-1)</x:f>
        <x:v>20</x:v>
      </x:c>
      <x:c r="J41" s="37" t="n">
        <x:f>IF(OR(F41="",F41&lt;1,F41&gt;Calendar!$B$9),"",INDEX(Calendar!$A$16:$A$134,MATCH(F41,Calendar!$D$16:$D$134,0)))</x:f>
        <x:v>46349</x:v>
      </x:c>
      <x:c r="K41" s="37" t="n">
        <x:f>IF(OR(I41="",I41&lt;1,I41&gt;Calendar!$B$9),"",INDEX(Calendar!$A$16:$A$134,MATCH(I41,Calendar!$D$16:$D$134,0)))</x:f>
        <x:v>46353</x:v>
      </x:c>
      <x:c r="L41" s="50" t="n">
        <x:v>0</x:v>
      </x:c>
      <x:c r="M41" s="35" t="str">
        <x:f>IF(OR(F41="",G41="",H41=""),"Missing input",IF(OR(F41&lt;1,G41&lt;1,I41&gt;Calendar!$B$9),"Outside calendar",IF(F41&lt;MAX(INDEX($I$8:$I$85,MATCH("S03",$A$8:$A$85,0))+1,INDEX($I$8:$I$85,MATCH("U03",$A$8:$A$85,0))+1),"Dependency conflict","Scheduled")))</x:f>
        <x:v>Scheduled</x:v>
      </x:c>
      <x:c r="N41" s="44" t="n">
        <x:f>IF(OR($J41="",$K41=""),"",IF(SUMIFS(Calendar!$C$16:$C$134,Calendar!$A$16:$A$134,"&gt;="&amp;MAX(N$7,$J41),Calendar!$A$16:$A$134,"&lt;="&amp;MIN(N$7+4,$K41))=0,0,IF($H41="","EXT",SUMIFS(Calendar!$C$16:$C$134,Calendar!$A$16:$A$134,"&gt;="&amp;MAX(N$7,$J41),Calendar!$A$16:$A$134,"&lt;="&amp;MIN(N$7+4,$K41))*$H41/$G41)))</x:f>
        <x:v>0</x:v>
      </x:c>
      <x:c r="O41" s="44" t="n">
        <x:f>IF(OR($J41="",$K41=""),"",IF(SUMIFS(Calendar!$C$16:$C$134,Calendar!$A$16:$A$134,"&gt;="&amp;MAX(O$7,$J41),Calendar!$A$16:$A$134,"&lt;="&amp;MIN(O$7+4,$K41))=0,0,IF($H41="","EXT",SUMIFS(Calendar!$C$16:$C$134,Calendar!$A$16:$A$134,"&gt;="&amp;MAX(O$7,$J41),Calendar!$A$16:$A$134,"&lt;="&amp;MIN(O$7+4,$K41))*$H41/$G41)))</x:f>
        <x:v>0</x:v>
      </x:c>
      <x:c r="P41" s="44" t="n">
        <x:f>IF(OR($J41="",$K41=""),"",IF(SUMIFS(Calendar!$C$16:$C$134,Calendar!$A$16:$A$134,"&gt;="&amp;MAX(P$7,$J41),Calendar!$A$16:$A$134,"&lt;="&amp;MIN(P$7+4,$K41))=0,0,IF($H41="","EXT",SUMIFS(Calendar!$C$16:$C$134,Calendar!$A$16:$A$134,"&gt;="&amp;MAX(P$7,$J41),Calendar!$A$16:$A$134,"&lt;="&amp;MIN(P$7+4,$K41))*$H41/$G41)))</x:f>
        <x:v>0</x:v>
      </x:c>
      <x:c r="Q41" s="44" t="n">
        <x:f>IF(OR($J41="",$K41=""),"",IF(SUMIFS(Calendar!$C$16:$C$134,Calendar!$A$16:$A$134,"&gt;="&amp;MAX(Q$7,$J41),Calendar!$A$16:$A$134,"&lt;="&amp;MIN(Q$7+4,$K41))=0,0,IF($H41="","EXT",SUMIFS(Calendar!$C$16:$C$134,Calendar!$A$16:$A$134,"&gt;="&amp;MAX(Q$7,$J41),Calendar!$A$16:$A$134,"&lt;="&amp;MIN(Q$7+4,$K41))*$H41/$G41)))</x:f>
        <x:v>4</x:v>
      </x:c>
      <x:c r="R41" s="44" t="n">
        <x:f>IF(OR($J41="",$K41=""),"",IF(SUMIFS(Calendar!$C$16:$C$134,Calendar!$A$16:$A$134,"&gt;="&amp;MAX(R$7,$J41),Calendar!$A$16:$A$134,"&lt;="&amp;MIN(R$7+4,$K41))=0,0,IF($H41="","EXT",SUMIFS(Calendar!$C$16:$C$134,Calendar!$A$16:$A$134,"&gt;="&amp;MAX(R$7,$J41),Calendar!$A$16:$A$134,"&lt;="&amp;MIN(R$7+4,$K41))*$H41/$G41)))</x:f>
        <x:v>0</x:v>
      </x:c>
      <x:c r="S41" s="44" t="n">
        <x:f>IF(OR($J41="",$K41=""),"",IF(SUMIFS(Calendar!$C$16:$C$134,Calendar!$A$16:$A$134,"&gt;="&amp;MAX(S$7,$J41),Calendar!$A$16:$A$134,"&lt;="&amp;MIN(S$7+4,$K41))=0,0,IF($H41="","EXT",SUMIFS(Calendar!$C$16:$C$134,Calendar!$A$16:$A$134,"&gt;="&amp;MAX(S$7,$J41),Calendar!$A$16:$A$134,"&lt;="&amp;MIN(S$7+4,$K41))*$H41/$G41)))</x:f>
        <x:v>0</x:v>
      </x:c>
      <x:c r="T41" s="44" t="n">
        <x:f>IF(OR($J41="",$K41=""),"",IF(SUMIFS(Calendar!$C$16:$C$134,Calendar!$A$16:$A$134,"&gt;="&amp;MAX(T$7,$J41),Calendar!$A$16:$A$134,"&lt;="&amp;MIN(T$7+4,$K41))=0,0,IF($H41="","EXT",SUMIFS(Calendar!$C$16:$C$134,Calendar!$A$16:$A$134,"&gt;="&amp;MAX(T$7,$J41),Calendar!$A$16:$A$134,"&lt;="&amp;MIN(T$7+4,$K41))*$H41/$G41)))</x:f>
        <x:v>0</x:v>
      </x:c>
      <x:c r="U41" s="44" t="n">
        <x:f>IF(OR($J41="",$K41=""),"",IF(SUMIFS(Calendar!$C$16:$C$134,Calendar!$A$16:$A$134,"&gt;="&amp;MAX(U$7,$J41),Calendar!$A$16:$A$134,"&lt;="&amp;MIN(U$7+4,$K41))=0,0,IF($H41="","EXT",SUMIFS(Calendar!$C$16:$C$134,Calendar!$A$16:$A$134,"&gt;="&amp;MAX(U$7,$J41),Calendar!$A$16:$A$134,"&lt;="&amp;MIN(U$7+4,$K41))*$H41/$G41)))</x:f>
        <x:v>0</x:v>
      </x:c>
      <x:c r="V41" s="44" t="n">
        <x:f>IF(OR($J41="",$K41=""),"",IF(SUMIFS(Calendar!$C$16:$C$134,Calendar!$A$16:$A$134,"&gt;="&amp;MAX(V$7,$J41),Calendar!$A$16:$A$134,"&lt;="&amp;MIN(V$7+4,$K41))=0,0,IF($H41="","EXT",SUMIFS(Calendar!$C$16:$C$134,Calendar!$A$16:$A$134,"&gt;="&amp;MAX(V$7,$J41),Calendar!$A$16:$A$134,"&lt;="&amp;MIN(V$7+4,$K41))*$H41/$G41)))</x:f>
        <x:v>0</x:v>
      </x:c>
      <x:c r="W41" s="44" t="n">
        <x:f>IF(OR($J41="",$K41=""),"",IF(SUMIFS(Calendar!$C$16:$C$134,Calendar!$A$16:$A$134,"&gt;="&amp;MAX(W$7,$J41),Calendar!$A$16:$A$134,"&lt;="&amp;MIN(W$7+4,$K41))=0,0,IF($H41="","EXT",SUMIFS(Calendar!$C$16:$C$134,Calendar!$A$16:$A$134,"&gt;="&amp;MAX(W$7,$J41),Calendar!$A$16:$A$134,"&lt;="&amp;MIN(W$7+4,$K41))*$H41/$G41)))</x:f>
        <x:v>0</x:v>
      </x:c>
      <x:c r="X41" s="44" t="n">
        <x:f>IF(OR($J41="",$K41=""),"",IF(SUMIFS(Calendar!$C$16:$C$134,Calendar!$A$16:$A$134,"&gt;="&amp;MAX(X$7,$J41),Calendar!$A$16:$A$134,"&lt;="&amp;MIN(X$7+4,$K41))=0,0,IF($H41="","EXT",SUMIFS(Calendar!$C$16:$C$134,Calendar!$A$16:$A$134,"&gt;="&amp;MAX(X$7,$J41),Calendar!$A$16:$A$134,"&lt;="&amp;MIN(X$7+4,$K41))*$H41/$G41)))</x:f>
        <x:v>0</x:v>
      </x:c>
      <x:c r="Y41" s="44" t="n">
        <x:f>IF(OR($J41="",$K41=""),"",IF(SUMIFS(Calendar!$C$16:$C$134,Calendar!$A$16:$A$134,"&gt;="&amp;MAX(Y$7,$J41),Calendar!$A$16:$A$134,"&lt;="&amp;MIN(Y$7+4,$K41))=0,0,IF($H41="","EXT",SUMIFS(Calendar!$C$16:$C$134,Calendar!$A$16:$A$134,"&gt;="&amp;MAX(Y$7,$J41),Calendar!$A$16:$A$134,"&lt;="&amp;MIN(Y$7+4,$K41))*$H41/$G41)))</x:f>
        <x:v>0</x:v>
      </x:c>
      <x:c r="Z41" s="44" t="n">
        <x:f>IF(OR($J41="",$K41=""),"",IF(SUMIFS(Calendar!$C$16:$C$134,Calendar!$A$16:$A$134,"&gt;="&amp;MAX(Z$7,$J41),Calendar!$A$16:$A$134,"&lt;="&amp;MIN(Z$7+4,$K41))=0,0,IF($H41="","EXT",SUMIFS(Calendar!$C$16:$C$134,Calendar!$A$16:$A$134,"&gt;="&amp;MAX(Z$7,$J41),Calendar!$A$16:$A$134,"&lt;="&amp;MIN(Z$7+4,$K41))*$H41/$G41)))</x:f>
        <x:v>0</x:v>
      </x:c>
      <x:c r="AA41" s="44" t="n">
        <x:f>IF(OR($J41="",$K41=""),"",IF(SUMIFS(Calendar!$C$16:$C$134,Calendar!$A$16:$A$134,"&gt;="&amp;MAX(AA$7,$J41),Calendar!$A$16:$A$134,"&lt;="&amp;MIN(AA$7+4,$K41))=0,0,IF($H41="","EXT",SUMIFS(Calendar!$C$16:$C$134,Calendar!$A$16:$A$134,"&gt;="&amp;MAX(AA$7,$J41),Calendar!$A$16:$A$134,"&lt;="&amp;MIN(AA$7+4,$K41))*$H41/$G41)))</x:f>
        <x:v>0</x:v>
      </x:c>
      <x:c r="AB41" s="44" t="n">
        <x:f>IF(OR($J41="",$K41=""),"",IF(SUMIFS(Calendar!$C$16:$C$134,Calendar!$A$16:$A$134,"&gt;="&amp;MAX(AB$7,$J41),Calendar!$A$16:$A$134,"&lt;="&amp;MIN(AB$7+4,$K41))=0,0,IF($H41="","EXT",SUMIFS(Calendar!$C$16:$C$134,Calendar!$A$16:$A$134,"&gt;="&amp;MAX(AB$7,$J41),Calendar!$A$16:$A$134,"&lt;="&amp;MIN(AB$7+4,$K41))*$H41/$G41)))</x:f>
        <x:v>0</x:v>
      </x:c>
      <x:c r="AC41" s="44" t="n">
        <x:f>IF(OR($J41="",$K41=""),"",IF(SUMIFS(Calendar!$C$16:$C$134,Calendar!$A$16:$A$134,"&gt;="&amp;MAX(AC$7,$J41),Calendar!$A$16:$A$134,"&lt;="&amp;MIN(AC$7+4,$K41))=0,0,IF($H41="","EXT",SUMIFS(Calendar!$C$16:$C$134,Calendar!$A$16:$A$134,"&gt;="&amp;MAX(AC$7,$J41),Calendar!$A$16:$A$134,"&lt;="&amp;MIN(AC$7+4,$K41))*$H41/$G41)))</x:f>
        <x:v>0</x:v>
      </x:c>
      <x:c r="AD41" s="44" t="n">
        <x:f>IF(OR($J41="",$K41=""),"",IF(SUMIFS(Calendar!$C$16:$C$134,Calendar!$A$16:$A$134,"&gt;="&amp;MAX(AD$7,$J41),Calendar!$A$16:$A$134,"&lt;="&amp;MIN(AD$7+4,$K41))=0,0,IF($H41="","EXT",SUMIFS(Calendar!$C$16:$C$134,Calendar!$A$16:$A$134,"&gt;="&amp;MAX(AD$7,$J41),Calendar!$A$16:$A$134,"&lt;="&amp;MIN(AD$7+4,$K41))*$H41/$G41)))</x:f>
        <x:v>0</x:v>
      </x:c>
      <x:c r="AE41" s="42" t="n">
        <x:f>IF(OR(M41&lt;&gt;"Scheduled",INDEX('Team and Gates'!$C$7:$C$11,MATCH($D41,'Team and Gates'!$A$7:$A$11,0))=""),"CHECK",SUM(N41:AD41)*INDEX('Team and Gates'!$C$7:$C$11,MATCH($D41,'Team and Gates'!$A$7:$A$11,0)))</x:f>
        <x:v>1440</x:v>
      </x:c>
      <x:c r="AF41" s="43" t="str">
        <x:v>Ambiguous identities and periods request review; dev-set replay is repeatable.</x:v>
      </x:c>
      <x:c r="AG41" s="43" t="str"/>
    </x:row>
    <x:row r="42" ht="36" customHeight="1">
      <x:c r="A42" s="2" t="str">
        <x:v>S05</x:v>
      </x:c>
      <x:c r="B42" s="2" t="str">
        <x:v>Model quality</x:v>
      </x:c>
      <x:c r="C42" s="2" t="str">
        <x:v>Summary and reply prompt/template tuning</x:v>
      </x:c>
      <x:c r="D42" s="24" t="str">
        <x:v>DS</x:v>
      </x:c>
      <x:c r="E42" s="2" t="str">
        <x:v>S04</x:v>
      </x:c>
      <x:c r="F42" s="47" t="n">
        <x:v>21</x:v>
      </x:c>
      <x:c r="G42" s="47" t="n">
        <x:v>5</x:v>
      </x:c>
      <x:c r="H42" s="48" t="n">
        <x:v>4</x:v>
      </x:c>
      <x:c r="I42" s="2" t="n">
        <x:f>IF(OR(F42="",G42=""),"",F42+G42-1)</x:f>
        <x:v>25</x:v>
      </x:c>
      <x:c r="J42" s="5" t="n">
        <x:f>IF(OR(F42="",F42&lt;1,F42&gt;Calendar!$B$9),"",INDEX(Calendar!$A$16:$A$134,MATCH(F42,Calendar!$D$16:$D$134,0)))</x:f>
        <x:v>46356</x:v>
      </x:c>
      <x:c r="K42" s="5" t="n">
        <x:f>IF(OR(I42="",I42&lt;1,I42&gt;Calendar!$B$9),"",INDEX(Calendar!$A$16:$A$134,MATCH(I42,Calendar!$D$16:$D$134,0)))</x:f>
        <x:v>46360</x:v>
      </x:c>
      <x:c r="L42" s="50" t="n">
        <x:v>0</x:v>
      </x:c>
      <x:c r="M42" s="2" t="str">
        <x:f>IF(OR(F42="",G42="",H42=""),"Missing input",IF(OR(F42&lt;1,G42&lt;1,I42&gt;Calendar!$B$9),"Outside calendar",IF(F42&lt;MAX(INDEX($I$8:$I$85,MATCH("S04",$A$8:$A$85,0))+1),"Dependency conflict","Scheduled")))</x:f>
        <x:v>Scheduled</x:v>
      </x:c>
      <x:c r="N42" s="44" t="n">
        <x:f>IF(OR($J42="",$K42=""),"",IF(SUMIFS(Calendar!$C$16:$C$134,Calendar!$A$16:$A$134,"&gt;="&amp;MAX(N$7,$J42),Calendar!$A$16:$A$134,"&lt;="&amp;MIN(N$7+4,$K42))=0,0,IF($H42="","EXT",SUMIFS(Calendar!$C$16:$C$134,Calendar!$A$16:$A$134,"&gt;="&amp;MAX(N$7,$J42),Calendar!$A$16:$A$134,"&lt;="&amp;MIN(N$7+4,$K42))*$H42/$G42)))</x:f>
        <x:v>0</x:v>
      </x:c>
      <x:c r="O42" s="44" t="n">
        <x:f>IF(OR($J42="",$K42=""),"",IF(SUMIFS(Calendar!$C$16:$C$134,Calendar!$A$16:$A$134,"&gt;="&amp;MAX(O$7,$J42),Calendar!$A$16:$A$134,"&lt;="&amp;MIN(O$7+4,$K42))=0,0,IF($H42="","EXT",SUMIFS(Calendar!$C$16:$C$134,Calendar!$A$16:$A$134,"&gt;="&amp;MAX(O$7,$J42),Calendar!$A$16:$A$134,"&lt;="&amp;MIN(O$7+4,$K42))*$H42/$G42)))</x:f>
        <x:v>0</x:v>
      </x:c>
      <x:c r="P42" s="44" t="n">
        <x:f>IF(OR($J42="",$K42=""),"",IF(SUMIFS(Calendar!$C$16:$C$134,Calendar!$A$16:$A$134,"&gt;="&amp;MAX(P$7,$J42),Calendar!$A$16:$A$134,"&lt;="&amp;MIN(P$7+4,$K42))=0,0,IF($H42="","EXT",SUMIFS(Calendar!$C$16:$C$134,Calendar!$A$16:$A$134,"&gt;="&amp;MAX(P$7,$J42),Calendar!$A$16:$A$134,"&lt;="&amp;MIN(P$7+4,$K42))*$H42/$G42)))</x:f>
        <x:v>0</x:v>
      </x:c>
      <x:c r="Q42" s="44" t="n">
        <x:f>IF(OR($J42="",$K42=""),"",IF(SUMIFS(Calendar!$C$16:$C$134,Calendar!$A$16:$A$134,"&gt;="&amp;MAX(Q$7,$J42),Calendar!$A$16:$A$134,"&lt;="&amp;MIN(Q$7+4,$K42))=0,0,IF($H42="","EXT",SUMIFS(Calendar!$C$16:$C$134,Calendar!$A$16:$A$134,"&gt;="&amp;MAX(Q$7,$J42),Calendar!$A$16:$A$134,"&lt;="&amp;MIN(Q$7+4,$K42))*$H42/$G42)))</x:f>
        <x:v>0</x:v>
      </x:c>
      <x:c r="R42" s="44" t="n">
        <x:f>IF(OR($J42="",$K42=""),"",IF(SUMIFS(Calendar!$C$16:$C$134,Calendar!$A$16:$A$134,"&gt;="&amp;MAX(R$7,$J42),Calendar!$A$16:$A$134,"&lt;="&amp;MIN(R$7+4,$K42))=0,0,IF($H42="","EXT",SUMIFS(Calendar!$C$16:$C$134,Calendar!$A$16:$A$134,"&gt;="&amp;MAX(R$7,$J42),Calendar!$A$16:$A$134,"&lt;="&amp;MIN(R$7+4,$K42))*$H42/$G42)))</x:f>
        <x:v>4</x:v>
      </x:c>
      <x:c r="S42" s="44" t="n">
        <x:f>IF(OR($J42="",$K42=""),"",IF(SUMIFS(Calendar!$C$16:$C$134,Calendar!$A$16:$A$134,"&gt;="&amp;MAX(S$7,$J42),Calendar!$A$16:$A$134,"&lt;="&amp;MIN(S$7+4,$K42))=0,0,IF($H42="","EXT",SUMIFS(Calendar!$C$16:$C$134,Calendar!$A$16:$A$134,"&gt;="&amp;MAX(S$7,$J42),Calendar!$A$16:$A$134,"&lt;="&amp;MIN(S$7+4,$K42))*$H42/$G42)))</x:f>
        <x:v>0</x:v>
      </x:c>
      <x:c r="T42" s="44" t="n">
        <x:f>IF(OR($J42="",$K42=""),"",IF(SUMIFS(Calendar!$C$16:$C$134,Calendar!$A$16:$A$134,"&gt;="&amp;MAX(T$7,$J42),Calendar!$A$16:$A$134,"&lt;="&amp;MIN(T$7+4,$K42))=0,0,IF($H42="","EXT",SUMIFS(Calendar!$C$16:$C$134,Calendar!$A$16:$A$134,"&gt;="&amp;MAX(T$7,$J42),Calendar!$A$16:$A$134,"&lt;="&amp;MIN(T$7+4,$K42))*$H42/$G42)))</x:f>
        <x:v>0</x:v>
      </x:c>
      <x:c r="U42" s="44" t="n">
        <x:f>IF(OR($J42="",$K42=""),"",IF(SUMIFS(Calendar!$C$16:$C$134,Calendar!$A$16:$A$134,"&gt;="&amp;MAX(U$7,$J42),Calendar!$A$16:$A$134,"&lt;="&amp;MIN(U$7+4,$K42))=0,0,IF($H42="","EXT",SUMIFS(Calendar!$C$16:$C$134,Calendar!$A$16:$A$134,"&gt;="&amp;MAX(U$7,$J42),Calendar!$A$16:$A$134,"&lt;="&amp;MIN(U$7+4,$K42))*$H42/$G42)))</x:f>
        <x:v>0</x:v>
      </x:c>
      <x:c r="V42" s="44" t="n">
        <x:f>IF(OR($J42="",$K42=""),"",IF(SUMIFS(Calendar!$C$16:$C$134,Calendar!$A$16:$A$134,"&gt;="&amp;MAX(V$7,$J42),Calendar!$A$16:$A$134,"&lt;="&amp;MIN(V$7+4,$K42))=0,0,IF($H42="","EXT",SUMIFS(Calendar!$C$16:$C$134,Calendar!$A$16:$A$134,"&gt;="&amp;MAX(V$7,$J42),Calendar!$A$16:$A$134,"&lt;="&amp;MIN(V$7+4,$K42))*$H42/$G42)))</x:f>
        <x:v>0</x:v>
      </x:c>
      <x:c r="W42" s="44" t="n">
        <x:f>IF(OR($J42="",$K42=""),"",IF(SUMIFS(Calendar!$C$16:$C$134,Calendar!$A$16:$A$134,"&gt;="&amp;MAX(W$7,$J42),Calendar!$A$16:$A$134,"&lt;="&amp;MIN(W$7+4,$K42))=0,0,IF($H42="","EXT",SUMIFS(Calendar!$C$16:$C$134,Calendar!$A$16:$A$134,"&gt;="&amp;MAX(W$7,$J42),Calendar!$A$16:$A$134,"&lt;="&amp;MIN(W$7+4,$K42))*$H42/$G42)))</x:f>
        <x:v>0</x:v>
      </x:c>
      <x:c r="X42" s="44" t="n">
        <x:f>IF(OR($J42="",$K42=""),"",IF(SUMIFS(Calendar!$C$16:$C$134,Calendar!$A$16:$A$134,"&gt;="&amp;MAX(X$7,$J42),Calendar!$A$16:$A$134,"&lt;="&amp;MIN(X$7+4,$K42))=0,0,IF($H42="","EXT",SUMIFS(Calendar!$C$16:$C$134,Calendar!$A$16:$A$134,"&gt;="&amp;MAX(X$7,$J42),Calendar!$A$16:$A$134,"&lt;="&amp;MIN(X$7+4,$K42))*$H42/$G42)))</x:f>
        <x:v>0</x:v>
      </x:c>
      <x:c r="Y42" s="44" t="n">
        <x:f>IF(OR($J42="",$K42=""),"",IF(SUMIFS(Calendar!$C$16:$C$134,Calendar!$A$16:$A$134,"&gt;="&amp;MAX(Y$7,$J42),Calendar!$A$16:$A$134,"&lt;="&amp;MIN(Y$7+4,$K42))=0,0,IF($H42="","EXT",SUMIFS(Calendar!$C$16:$C$134,Calendar!$A$16:$A$134,"&gt;="&amp;MAX(Y$7,$J42),Calendar!$A$16:$A$134,"&lt;="&amp;MIN(Y$7+4,$K42))*$H42/$G42)))</x:f>
        <x:v>0</x:v>
      </x:c>
      <x:c r="Z42" s="44" t="n">
        <x:f>IF(OR($J42="",$K42=""),"",IF(SUMIFS(Calendar!$C$16:$C$134,Calendar!$A$16:$A$134,"&gt;="&amp;MAX(Z$7,$J42),Calendar!$A$16:$A$134,"&lt;="&amp;MIN(Z$7+4,$K42))=0,0,IF($H42="","EXT",SUMIFS(Calendar!$C$16:$C$134,Calendar!$A$16:$A$134,"&gt;="&amp;MAX(Z$7,$J42),Calendar!$A$16:$A$134,"&lt;="&amp;MIN(Z$7+4,$K42))*$H42/$G42)))</x:f>
        <x:v>0</x:v>
      </x:c>
      <x:c r="AA42" s="44" t="n">
        <x:f>IF(OR($J42="",$K42=""),"",IF(SUMIFS(Calendar!$C$16:$C$134,Calendar!$A$16:$A$134,"&gt;="&amp;MAX(AA$7,$J42),Calendar!$A$16:$A$134,"&lt;="&amp;MIN(AA$7+4,$K42))=0,0,IF($H42="","EXT",SUMIFS(Calendar!$C$16:$C$134,Calendar!$A$16:$A$134,"&gt;="&amp;MAX(AA$7,$J42),Calendar!$A$16:$A$134,"&lt;="&amp;MIN(AA$7+4,$K42))*$H42/$G42)))</x:f>
        <x:v>0</x:v>
      </x:c>
      <x:c r="AB42" s="44" t="n">
        <x:f>IF(OR($J42="",$K42=""),"",IF(SUMIFS(Calendar!$C$16:$C$134,Calendar!$A$16:$A$134,"&gt;="&amp;MAX(AB$7,$J42),Calendar!$A$16:$A$134,"&lt;="&amp;MIN(AB$7+4,$K42))=0,0,IF($H42="","EXT",SUMIFS(Calendar!$C$16:$C$134,Calendar!$A$16:$A$134,"&gt;="&amp;MAX(AB$7,$J42),Calendar!$A$16:$A$134,"&lt;="&amp;MIN(AB$7+4,$K42))*$H42/$G42)))</x:f>
        <x:v>0</x:v>
      </x:c>
      <x:c r="AC42" s="44" t="n">
        <x:f>IF(OR($J42="",$K42=""),"",IF(SUMIFS(Calendar!$C$16:$C$134,Calendar!$A$16:$A$134,"&gt;="&amp;MAX(AC$7,$J42),Calendar!$A$16:$A$134,"&lt;="&amp;MIN(AC$7+4,$K42))=0,0,IF($H42="","EXT",SUMIFS(Calendar!$C$16:$C$134,Calendar!$A$16:$A$134,"&gt;="&amp;MAX(AC$7,$J42),Calendar!$A$16:$A$134,"&lt;="&amp;MIN(AC$7+4,$K42))*$H42/$G42)))</x:f>
        <x:v>0</x:v>
      </x:c>
      <x:c r="AD42" s="44" t="n">
        <x:f>IF(OR($J42="",$K42=""),"",IF(SUMIFS(Calendar!$C$16:$C$134,Calendar!$A$16:$A$134,"&gt;="&amp;MAX(AD$7,$J42),Calendar!$A$16:$A$134,"&lt;="&amp;MIN(AD$7+4,$K42))=0,0,IF($H42="","EXT",SUMIFS(Calendar!$C$16:$C$134,Calendar!$A$16:$A$134,"&gt;="&amp;MAX(AD$7,$J42),Calendar!$A$16:$A$134,"&lt;="&amp;MIN(AD$7+4,$K42))*$H42/$G42)))</x:f>
        <x:v>0</x:v>
      </x:c>
      <x:c r="AE42" s="42" t="n">
        <x:f>IF(OR(M42&lt;&gt;"Scheduled",INDEX('Team and Gates'!$C$7:$C$11,MATCH($D42,'Team and Gates'!$A$7:$A$11,0))=""),"CHECK",SUM(N42:AD42)*INDEX('Team and Gates'!$C$7:$C$11,MATCH($D42,'Team and Gates'!$A$7:$A$11,0)))</x:f>
        <x:v>1440</x:v>
      </x:c>
      <x:c r="AF42" s="43" t="str">
        <x:v>Dates, commitments, attachments and unsupported facts have adverse examples.</x:v>
      </x:c>
      <x:c r="AG42" s="43" t="str"/>
    </x:row>
    <x:row r="43" ht="36" customHeight="1">
      <x:c r="A43" s="35" t="str">
        <x:v>S06</x:v>
      </x:c>
      <x:c r="B43" s="35" t="str">
        <x:v>Model quality</x:v>
      </x:c>
      <x:c r="C43" s="35" t="str">
        <x:v>End-to-end draft tuning on real test threads</x:v>
      </x:c>
      <x:c r="D43" s="24" t="str">
        <x:v>DS</x:v>
      </x:c>
      <x:c r="E43" s="35" t="str">
        <x:v>S05, B05</x:v>
      </x:c>
      <x:c r="F43" s="47" t="n">
        <x:v>26</x:v>
      </x:c>
      <x:c r="G43" s="47" t="n">
        <x:v>5</x:v>
      </x:c>
      <x:c r="H43" s="48" t="n">
        <x:v>4</x:v>
      </x:c>
      <x:c r="I43" s="35" t="n">
        <x:f>IF(OR(F43="",G43=""),"",F43+G43-1)</x:f>
        <x:v>30</x:v>
      </x:c>
      <x:c r="J43" s="37" t="n">
        <x:f>IF(OR(F43="",F43&lt;1,F43&gt;Calendar!$B$9),"",INDEX(Calendar!$A$16:$A$134,MATCH(F43,Calendar!$D$16:$D$134,0)))</x:f>
        <x:v>46363</x:v>
      </x:c>
      <x:c r="K43" s="37" t="n">
        <x:f>IF(OR(I43="",I43&lt;1,I43&gt;Calendar!$B$9),"",INDEX(Calendar!$A$16:$A$134,MATCH(I43,Calendar!$D$16:$D$134,0)))</x:f>
        <x:v>46367</x:v>
      </x:c>
      <x:c r="L43" s="50" t="n">
        <x:v>0</x:v>
      </x:c>
      <x:c r="M43" s="35" t="str">
        <x:f>IF(OR(F43="",G43="",H43=""),"Missing input",IF(OR(F43&lt;1,G43&lt;1,I43&gt;Calendar!$B$9),"Outside calendar",IF(F43&lt;MAX(INDEX($I$8:$I$85,MATCH("S05",$A$8:$A$85,0))+1,INDEX($I$8:$I$85,MATCH("B05",$A$8:$A$85,0))+1),"Dependency conflict","Scheduled")))</x:f>
        <x:v>Scheduled</x:v>
      </x:c>
      <x:c r="N43" s="44" t="n">
        <x:f>IF(OR($J43="",$K43=""),"",IF(SUMIFS(Calendar!$C$16:$C$134,Calendar!$A$16:$A$134,"&gt;="&amp;MAX(N$7,$J43),Calendar!$A$16:$A$134,"&lt;="&amp;MIN(N$7+4,$K43))=0,0,IF($H43="","EXT",SUMIFS(Calendar!$C$16:$C$134,Calendar!$A$16:$A$134,"&gt;="&amp;MAX(N$7,$J43),Calendar!$A$16:$A$134,"&lt;="&amp;MIN(N$7+4,$K43))*$H43/$G43)))</x:f>
        <x:v>0</x:v>
      </x:c>
      <x:c r="O43" s="44" t="n">
        <x:f>IF(OR($J43="",$K43=""),"",IF(SUMIFS(Calendar!$C$16:$C$134,Calendar!$A$16:$A$134,"&gt;="&amp;MAX(O$7,$J43),Calendar!$A$16:$A$134,"&lt;="&amp;MIN(O$7+4,$K43))=0,0,IF($H43="","EXT",SUMIFS(Calendar!$C$16:$C$134,Calendar!$A$16:$A$134,"&gt;="&amp;MAX(O$7,$J43),Calendar!$A$16:$A$134,"&lt;="&amp;MIN(O$7+4,$K43))*$H43/$G43)))</x:f>
        <x:v>0</x:v>
      </x:c>
      <x:c r="P43" s="44" t="n">
        <x:f>IF(OR($J43="",$K43=""),"",IF(SUMIFS(Calendar!$C$16:$C$134,Calendar!$A$16:$A$134,"&gt;="&amp;MAX(P$7,$J43),Calendar!$A$16:$A$134,"&lt;="&amp;MIN(P$7+4,$K43))=0,0,IF($H43="","EXT",SUMIFS(Calendar!$C$16:$C$134,Calendar!$A$16:$A$134,"&gt;="&amp;MAX(P$7,$J43),Calendar!$A$16:$A$134,"&lt;="&amp;MIN(P$7+4,$K43))*$H43/$G43)))</x:f>
        <x:v>0</x:v>
      </x:c>
      <x:c r="Q43" s="44" t="n">
        <x:f>IF(OR($J43="",$K43=""),"",IF(SUMIFS(Calendar!$C$16:$C$134,Calendar!$A$16:$A$134,"&gt;="&amp;MAX(Q$7,$J43),Calendar!$A$16:$A$134,"&lt;="&amp;MIN(Q$7+4,$K43))=0,0,IF($H43="","EXT",SUMIFS(Calendar!$C$16:$C$134,Calendar!$A$16:$A$134,"&gt;="&amp;MAX(Q$7,$J43),Calendar!$A$16:$A$134,"&lt;="&amp;MIN(Q$7+4,$K43))*$H43/$G43)))</x:f>
        <x:v>0</x:v>
      </x:c>
      <x:c r="R43" s="44" t="n">
        <x:f>IF(OR($J43="",$K43=""),"",IF(SUMIFS(Calendar!$C$16:$C$134,Calendar!$A$16:$A$134,"&gt;="&amp;MAX(R$7,$J43),Calendar!$A$16:$A$134,"&lt;="&amp;MIN(R$7+4,$K43))=0,0,IF($H43="","EXT",SUMIFS(Calendar!$C$16:$C$134,Calendar!$A$16:$A$134,"&gt;="&amp;MAX(R$7,$J43),Calendar!$A$16:$A$134,"&lt;="&amp;MIN(R$7+4,$K43))*$H43/$G43)))</x:f>
        <x:v>0</x:v>
      </x:c>
      <x:c r="S43" s="44" t="n">
        <x:f>IF(OR($J43="",$K43=""),"",IF(SUMIFS(Calendar!$C$16:$C$134,Calendar!$A$16:$A$134,"&gt;="&amp;MAX(S$7,$J43),Calendar!$A$16:$A$134,"&lt;="&amp;MIN(S$7+4,$K43))=0,0,IF($H43="","EXT",SUMIFS(Calendar!$C$16:$C$134,Calendar!$A$16:$A$134,"&gt;="&amp;MAX(S$7,$J43),Calendar!$A$16:$A$134,"&lt;="&amp;MIN(S$7+4,$K43))*$H43/$G43)))</x:f>
        <x:v>4</x:v>
      </x:c>
      <x:c r="T43" s="44" t="n">
        <x:f>IF(OR($J43="",$K43=""),"",IF(SUMIFS(Calendar!$C$16:$C$134,Calendar!$A$16:$A$134,"&gt;="&amp;MAX(T$7,$J43),Calendar!$A$16:$A$134,"&lt;="&amp;MIN(T$7+4,$K43))=0,0,IF($H43="","EXT",SUMIFS(Calendar!$C$16:$C$134,Calendar!$A$16:$A$134,"&gt;="&amp;MAX(T$7,$J43),Calendar!$A$16:$A$134,"&lt;="&amp;MIN(T$7+4,$K43))*$H43/$G43)))</x:f>
        <x:v>0</x:v>
      </x:c>
      <x:c r="U43" s="44" t="n">
        <x:f>IF(OR($J43="",$K43=""),"",IF(SUMIFS(Calendar!$C$16:$C$134,Calendar!$A$16:$A$134,"&gt;="&amp;MAX(U$7,$J43),Calendar!$A$16:$A$134,"&lt;="&amp;MIN(U$7+4,$K43))=0,0,IF($H43="","EXT",SUMIFS(Calendar!$C$16:$C$134,Calendar!$A$16:$A$134,"&gt;="&amp;MAX(U$7,$J43),Calendar!$A$16:$A$134,"&lt;="&amp;MIN(U$7+4,$K43))*$H43/$G43)))</x:f>
        <x:v>0</x:v>
      </x:c>
      <x:c r="V43" s="44" t="n">
        <x:f>IF(OR($J43="",$K43=""),"",IF(SUMIFS(Calendar!$C$16:$C$134,Calendar!$A$16:$A$134,"&gt;="&amp;MAX(V$7,$J43),Calendar!$A$16:$A$134,"&lt;="&amp;MIN(V$7+4,$K43))=0,0,IF($H43="","EXT",SUMIFS(Calendar!$C$16:$C$134,Calendar!$A$16:$A$134,"&gt;="&amp;MAX(V$7,$J43),Calendar!$A$16:$A$134,"&lt;="&amp;MIN(V$7+4,$K43))*$H43/$G43)))</x:f>
        <x:v>0</x:v>
      </x:c>
      <x:c r="W43" s="44" t="n">
        <x:f>IF(OR($J43="",$K43=""),"",IF(SUMIFS(Calendar!$C$16:$C$134,Calendar!$A$16:$A$134,"&gt;="&amp;MAX(W$7,$J43),Calendar!$A$16:$A$134,"&lt;="&amp;MIN(W$7+4,$K43))=0,0,IF($H43="","EXT",SUMIFS(Calendar!$C$16:$C$134,Calendar!$A$16:$A$134,"&gt;="&amp;MAX(W$7,$J43),Calendar!$A$16:$A$134,"&lt;="&amp;MIN(W$7+4,$K43))*$H43/$G43)))</x:f>
        <x:v>0</x:v>
      </x:c>
      <x:c r="X43" s="44" t="n">
        <x:f>IF(OR($J43="",$K43=""),"",IF(SUMIFS(Calendar!$C$16:$C$134,Calendar!$A$16:$A$134,"&gt;="&amp;MAX(X$7,$J43),Calendar!$A$16:$A$134,"&lt;="&amp;MIN(X$7+4,$K43))=0,0,IF($H43="","EXT",SUMIFS(Calendar!$C$16:$C$134,Calendar!$A$16:$A$134,"&gt;="&amp;MAX(X$7,$J43),Calendar!$A$16:$A$134,"&lt;="&amp;MIN(X$7+4,$K43))*$H43/$G43)))</x:f>
        <x:v>0</x:v>
      </x:c>
      <x:c r="Y43" s="44" t="n">
        <x:f>IF(OR($J43="",$K43=""),"",IF(SUMIFS(Calendar!$C$16:$C$134,Calendar!$A$16:$A$134,"&gt;="&amp;MAX(Y$7,$J43),Calendar!$A$16:$A$134,"&lt;="&amp;MIN(Y$7+4,$K43))=0,0,IF($H43="","EXT",SUMIFS(Calendar!$C$16:$C$134,Calendar!$A$16:$A$134,"&gt;="&amp;MAX(Y$7,$J43),Calendar!$A$16:$A$134,"&lt;="&amp;MIN(Y$7+4,$K43))*$H43/$G43)))</x:f>
        <x:v>0</x:v>
      </x:c>
      <x:c r="Z43" s="44" t="n">
        <x:f>IF(OR($J43="",$K43=""),"",IF(SUMIFS(Calendar!$C$16:$C$134,Calendar!$A$16:$A$134,"&gt;="&amp;MAX(Z$7,$J43),Calendar!$A$16:$A$134,"&lt;="&amp;MIN(Z$7+4,$K43))=0,0,IF($H43="","EXT",SUMIFS(Calendar!$C$16:$C$134,Calendar!$A$16:$A$134,"&gt;="&amp;MAX(Z$7,$J43),Calendar!$A$16:$A$134,"&lt;="&amp;MIN(Z$7+4,$K43))*$H43/$G43)))</x:f>
        <x:v>0</x:v>
      </x:c>
      <x:c r="AA43" s="44" t="n">
        <x:f>IF(OR($J43="",$K43=""),"",IF(SUMIFS(Calendar!$C$16:$C$134,Calendar!$A$16:$A$134,"&gt;="&amp;MAX(AA$7,$J43),Calendar!$A$16:$A$134,"&lt;="&amp;MIN(AA$7+4,$K43))=0,0,IF($H43="","EXT",SUMIFS(Calendar!$C$16:$C$134,Calendar!$A$16:$A$134,"&gt;="&amp;MAX(AA$7,$J43),Calendar!$A$16:$A$134,"&lt;="&amp;MIN(AA$7+4,$K43))*$H43/$G43)))</x:f>
        <x:v>0</x:v>
      </x:c>
      <x:c r="AB43" s="44" t="n">
        <x:f>IF(OR($J43="",$K43=""),"",IF(SUMIFS(Calendar!$C$16:$C$134,Calendar!$A$16:$A$134,"&gt;="&amp;MAX(AB$7,$J43),Calendar!$A$16:$A$134,"&lt;="&amp;MIN(AB$7+4,$K43))=0,0,IF($H43="","EXT",SUMIFS(Calendar!$C$16:$C$134,Calendar!$A$16:$A$134,"&gt;="&amp;MAX(AB$7,$J43),Calendar!$A$16:$A$134,"&lt;="&amp;MIN(AB$7+4,$K43))*$H43/$G43)))</x:f>
        <x:v>0</x:v>
      </x:c>
      <x:c r="AC43" s="44" t="n">
        <x:f>IF(OR($J43="",$K43=""),"",IF(SUMIFS(Calendar!$C$16:$C$134,Calendar!$A$16:$A$134,"&gt;="&amp;MAX(AC$7,$J43),Calendar!$A$16:$A$134,"&lt;="&amp;MIN(AC$7+4,$K43))=0,0,IF($H43="","EXT",SUMIFS(Calendar!$C$16:$C$134,Calendar!$A$16:$A$134,"&gt;="&amp;MAX(AC$7,$J43),Calendar!$A$16:$A$134,"&lt;="&amp;MIN(AC$7+4,$K43))*$H43/$G43)))</x:f>
        <x:v>0</x:v>
      </x:c>
      <x:c r="AD43" s="44" t="n">
        <x:f>IF(OR($J43="",$K43=""),"",IF(SUMIFS(Calendar!$C$16:$C$134,Calendar!$A$16:$A$134,"&gt;="&amp;MAX(AD$7,$J43),Calendar!$A$16:$A$134,"&lt;="&amp;MIN(AD$7+4,$K43))=0,0,IF($H43="","EXT",SUMIFS(Calendar!$C$16:$C$134,Calendar!$A$16:$A$134,"&gt;="&amp;MAX(AD$7,$J43),Calendar!$A$16:$A$134,"&lt;="&amp;MIN(AD$7+4,$K43))*$H43/$G43)))</x:f>
        <x:v>0</x:v>
      </x:c>
      <x:c r="AE43" s="42" t="n">
        <x:f>IF(OR(M43&lt;&gt;"Scheduled",INDEX('Team and Gates'!$C$7:$C$11,MATCH($D43,'Team and Gates'!$A$7:$A$11,0))=""),"CHECK",SUM(N43:AD43)*INDEX('Team and Gates'!$C$7:$C$11,MATCH($D43,'Team and Gates'!$A$7:$A$11,0)))</x:f>
        <x:v>1440</x:v>
      </x:c>
      <x:c r="AF43" s="43" t="str">
        <x:v>Live test-mail failures are classified and reproduced without holdout leakage.</x:v>
      </x:c>
      <x:c r="AG43" s="43" t="str"/>
    </x:row>
    <x:row r="44" ht="36" customHeight="1">
      <x:c r="A44" s="2" t="str">
        <x:v>S07</x:v>
      </x:c>
      <x:c r="B44" s="2" t="str">
        <x:v>Model quality</x:v>
      </x:c>
      <x:c r="C44" s="2" t="str">
        <x:v>Playbook generation from prompt and sample emails</x:v>
      </x:c>
      <x:c r="D44" s="24" t="str">
        <x:v>DS</x:v>
      </x:c>
      <x:c r="E44" s="2" t="str">
        <x:v>S06</x:v>
      </x:c>
      <x:c r="F44" s="47" t="n">
        <x:v>31</x:v>
      </x:c>
      <x:c r="G44" s="47" t="n">
        <x:v>5</x:v>
      </x:c>
      <x:c r="H44" s="48" t="n">
        <x:v>4</x:v>
      </x:c>
      <x:c r="I44" s="2" t="n">
        <x:f>IF(OR(F44="",G44=""),"",F44+G44-1)</x:f>
        <x:v>35</x:v>
      </x:c>
      <x:c r="J44" s="5" t="n">
        <x:f>IF(OR(F44="",F44&lt;1,F44&gt;Calendar!$B$9),"",INDEX(Calendar!$A$16:$A$134,MATCH(F44,Calendar!$D$16:$D$134,0)))</x:f>
        <x:v>46370</x:v>
      </x:c>
      <x:c r="K44" s="5" t="n">
        <x:f>IF(OR(I44="",I44&lt;1,I44&gt;Calendar!$B$9),"",INDEX(Calendar!$A$16:$A$134,MATCH(I44,Calendar!$D$16:$D$134,0)))</x:f>
        <x:v>46374</x:v>
      </x:c>
      <x:c r="L44" s="50" t="n">
        <x:v>0</x:v>
      </x:c>
      <x:c r="M44" s="2" t="str">
        <x:f>IF(OR(F44="",G44="",H44=""),"Missing input",IF(OR(F44&lt;1,G44&lt;1,I44&gt;Calendar!$B$9),"Outside calendar",IF(F44&lt;MAX(INDEX($I$8:$I$85,MATCH("S06",$A$8:$A$85,0))+1),"Dependency conflict","Scheduled")))</x:f>
        <x:v>Scheduled</x:v>
      </x:c>
      <x:c r="N44" s="44" t="n">
        <x:f>IF(OR($J44="",$K44=""),"",IF(SUMIFS(Calendar!$C$16:$C$134,Calendar!$A$16:$A$134,"&gt;="&amp;MAX(N$7,$J44),Calendar!$A$16:$A$134,"&lt;="&amp;MIN(N$7+4,$K44))=0,0,IF($H44="","EXT",SUMIFS(Calendar!$C$16:$C$134,Calendar!$A$16:$A$134,"&gt;="&amp;MAX(N$7,$J44),Calendar!$A$16:$A$134,"&lt;="&amp;MIN(N$7+4,$K44))*$H44/$G44)))</x:f>
        <x:v>0</x:v>
      </x:c>
      <x:c r="O44" s="44" t="n">
        <x:f>IF(OR($J44="",$K44=""),"",IF(SUMIFS(Calendar!$C$16:$C$134,Calendar!$A$16:$A$134,"&gt;="&amp;MAX(O$7,$J44),Calendar!$A$16:$A$134,"&lt;="&amp;MIN(O$7+4,$K44))=0,0,IF($H44="","EXT",SUMIFS(Calendar!$C$16:$C$134,Calendar!$A$16:$A$134,"&gt;="&amp;MAX(O$7,$J44),Calendar!$A$16:$A$134,"&lt;="&amp;MIN(O$7+4,$K44))*$H44/$G44)))</x:f>
        <x:v>0</x:v>
      </x:c>
      <x:c r="P44" s="44" t="n">
        <x:f>IF(OR($J44="",$K44=""),"",IF(SUMIFS(Calendar!$C$16:$C$134,Calendar!$A$16:$A$134,"&gt;="&amp;MAX(P$7,$J44),Calendar!$A$16:$A$134,"&lt;="&amp;MIN(P$7+4,$K44))=0,0,IF($H44="","EXT",SUMIFS(Calendar!$C$16:$C$134,Calendar!$A$16:$A$134,"&gt;="&amp;MAX(P$7,$J44),Calendar!$A$16:$A$134,"&lt;="&amp;MIN(P$7+4,$K44))*$H44/$G44)))</x:f>
        <x:v>0</x:v>
      </x:c>
      <x:c r="Q44" s="44" t="n">
        <x:f>IF(OR($J44="",$K44=""),"",IF(SUMIFS(Calendar!$C$16:$C$134,Calendar!$A$16:$A$134,"&gt;="&amp;MAX(Q$7,$J44),Calendar!$A$16:$A$134,"&lt;="&amp;MIN(Q$7+4,$K44))=0,0,IF($H44="","EXT",SUMIFS(Calendar!$C$16:$C$134,Calendar!$A$16:$A$134,"&gt;="&amp;MAX(Q$7,$J44),Calendar!$A$16:$A$134,"&lt;="&amp;MIN(Q$7+4,$K44))*$H44/$G44)))</x:f>
        <x:v>0</x:v>
      </x:c>
      <x:c r="R44" s="44" t="n">
        <x:f>IF(OR($J44="",$K44=""),"",IF(SUMIFS(Calendar!$C$16:$C$134,Calendar!$A$16:$A$134,"&gt;="&amp;MAX(R$7,$J44),Calendar!$A$16:$A$134,"&lt;="&amp;MIN(R$7+4,$K44))=0,0,IF($H44="","EXT",SUMIFS(Calendar!$C$16:$C$134,Calendar!$A$16:$A$134,"&gt;="&amp;MAX(R$7,$J44),Calendar!$A$16:$A$134,"&lt;="&amp;MIN(R$7+4,$K44))*$H44/$G44)))</x:f>
        <x:v>0</x:v>
      </x:c>
      <x:c r="S44" s="44" t="n">
        <x:f>IF(OR($J44="",$K44=""),"",IF(SUMIFS(Calendar!$C$16:$C$134,Calendar!$A$16:$A$134,"&gt;="&amp;MAX(S$7,$J44),Calendar!$A$16:$A$134,"&lt;="&amp;MIN(S$7+4,$K44))=0,0,IF($H44="","EXT",SUMIFS(Calendar!$C$16:$C$134,Calendar!$A$16:$A$134,"&gt;="&amp;MAX(S$7,$J44),Calendar!$A$16:$A$134,"&lt;="&amp;MIN(S$7+4,$K44))*$H44/$G44)))</x:f>
        <x:v>0</x:v>
      </x:c>
      <x:c r="T44" s="44" t="n">
        <x:f>IF(OR($J44="",$K44=""),"",IF(SUMIFS(Calendar!$C$16:$C$134,Calendar!$A$16:$A$134,"&gt;="&amp;MAX(T$7,$J44),Calendar!$A$16:$A$134,"&lt;="&amp;MIN(T$7+4,$K44))=0,0,IF($H44="","EXT",SUMIFS(Calendar!$C$16:$C$134,Calendar!$A$16:$A$134,"&gt;="&amp;MAX(T$7,$J44),Calendar!$A$16:$A$134,"&lt;="&amp;MIN(T$7+4,$K44))*$H44/$G44)))</x:f>
        <x:v>4</x:v>
      </x:c>
      <x:c r="U44" s="44" t="n">
        <x:f>IF(OR($J44="",$K44=""),"",IF(SUMIFS(Calendar!$C$16:$C$134,Calendar!$A$16:$A$134,"&gt;="&amp;MAX(U$7,$J44),Calendar!$A$16:$A$134,"&lt;="&amp;MIN(U$7+4,$K44))=0,0,IF($H44="","EXT",SUMIFS(Calendar!$C$16:$C$134,Calendar!$A$16:$A$134,"&gt;="&amp;MAX(U$7,$J44),Calendar!$A$16:$A$134,"&lt;="&amp;MIN(U$7+4,$K44))*$H44/$G44)))</x:f>
        <x:v>0</x:v>
      </x:c>
      <x:c r="V44" s="44" t="n">
        <x:f>IF(OR($J44="",$K44=""),"",IF(SUMIFS(Calendar!$C$16:$C$134,Calendar!$A$16:$A$134,"&gt;="&amp;MAX(V$7,$J44),Calendar!$A$16:$A$134,"&lt;="&amp;MIN(V$7+4,$K44))=0,0,IF($H44="","EXT",SUMIFS(Calendar!$C$16:$C$134,Calendar!$A$16:$A$134,"&gt;="&amp;MAX(V$7,$J44),Calendar!$A$16:$A$134,"&lt;="&amp;MIN(V$7+4,$K44))*$H44/$G44)))</x:f>
        <x:v>0</x:v>
      </x:c>
      <x:c r="W44" s="44" t="n">
        <x:f>IF(OR($J44="",$K44=""),"",IF(SUMIFS(Calendar!$C$16:$C$134,Calendar!$A$16:$A$134,"&gt;="&amp;MAX(W$7,$J44),Calendar!$A$16:$A$134,"&lt;="&amp;MIN(W$7+4,$K44))=0,0,IF($H44="","EXT",SUMIFS(Calendar!$C$16:$C$134,Calendar!$A$16:$A$134,"&gt;="&amp;MAX(W$7,$J44),Calendar!$A$16:$A$134,"&lt;="&amp;MIN(W$7+4,$K44))*$H44/$G44)))</x:f>
        <x:v>0</x:v>
      </x:c>
      <x:c r="X44" s="44" t="n">
        <x:f>IF(OR($J44="",$K44=""),"",IF(SUMIFS(Calendar!$C$16:$C$134,Calendar!$A$16:$A$134,"&gt;="&amp;MAX(X$7,$J44),Calendar!$A$16:$A$134,"&lt;="&amp;MIN(X$7+4,$K44))=0,0,IF($H44="","EXT",SUMIFS(Calendar!$C$16:$C$134,Calendar!$A$16:$A$134,"&gt;="&amp;MAX(X$7,$J44),Calendar!$A$16:$A$134,"&lt;="&amp;MIN(X$7+4,$K44))*$H44/$G44)))</x:f>
        <x:v>0</x:v>
      </x:c>
      <x:c r="Y44" s="44" t="n">
        <x:f>IF(OR($J44="",$K44=""),"",IF(SUMIFS(Calendar!$C$16:$C$134,Calendar!$A$16:$A$134,"&gt;="&amp;MAX(Y$7,$J44),Calendar!$A$16:$A$134,"&lt;="&amp;MIN(Y$7+4,$K44))=0,0,IF($H44="","EXT",SUMIFS(Calendar!$C$16:$C$134,Calendar!$A$16:$A$134,"&gt;="&amp;MAX(Y$7,$J44),Calendar!$A$16:$A$134,"&lt;="&amp;MIN(Y$7+4,$K44))*$H44/$G44)))</x:f>
        <x:v>0</x:v>
      </x:c>
      <x:c r="Z44" s="44" t="n">
        <x:f>IF(OR($J44="",$K44=""),"",IF(SUMIFS(Calendar!$C$16:$C$134,Calendar!$A$16:$A$134,"&gt;="&amp;MAX(Z$7,$J44),Calendar!$A$16:$A$134,"&lt;="&amp;MIN(Z$7+4,$K44))=0,0,IF($H44="","EXT",SUMIFS(Calendar!$C$16:$C$134,Calendar!$A$16:$A$134,"&gt;="&amp;MAX(Z$7,$J44),Calendar!$A$16:$A$134,"&lt;="&amp;MIN(Z$7+4,$K44))*$H44/$G44)))</x:f>
        <x:v>0</x:v>
      </x:c>
      <x:c r="AA44" s="44" t="n">
        <x:f>IF(OR($J44="",$K44=""),"",IF(SUMIFS(Calendar!$C$16:$C$134,Calendar!$A$16:$A$134,"&gt;="&amp;MAX(AA$7,$J44),Calendar!$A$16:$A$134,"&lt;="&amp;MIN(AA$7+4,$K44))=0,0,IF($H44="","EXT",SUMIFS(Calendar!$C$16:$C$134,Calendar!$A$16:$A$134,"&gt;="&amp;MAX(AA$7,$J44),Calendar!$A$16:$A$134,"&lt;="&amp;MIN(AA$7+4,$K44))*$H44/$G44)))</x:f>
        <x:v>0</x:v>
      </x:c>
      <x:c r="AB44" s="44" t="n">
        <x:f>IF(OR($J44="",$K44=""),"",IF(SUMIFS(Calendar!$C$16:$C$134,Calendar!$A$16:$A$134,"&gt;="&amp;MAX(AB$7,$J44),Calendar!$A$16:$A$134,"&lt;="&amp;MIN(AB$7+4,$K44))=0,0,IF($H44="","EXT",SUMIFS(Calendar!$C$16:$C$134,Calendar!$A$16:$A$134,"&gt;="&amp;MAX(AB$7,$J44),Calendar!$A$16:$A$134,"&lt;="&amp;MIN(AB$7+4,$K44))*$H44/$G44)))</x:f>
        <x:v>0</x:v>
      </x:c>
      <x:c r="AC44" s="44" t="n">
        <x:f>IF(OR($J44="",$K44=""),"",IF(SUMIFS(Calendar!$C$16:$C$134,Calendar!$A$16:$A$134,"&gt;="&amp;MAX(AC$7,$J44),Calendar!$A$16:$A$134,"&lt;="&amp;MIN(AC$7+4,$K44))=0,0,IF($H44="","EXT",SUMIFS(Calendar!$C$16:$C$134,Calendar!$A$16:$A$134,"&gt;="&amp;MAX(AC$7,$J44),Calendar!$A$16:$A$134,"&lt;="&amp;MIN(AC$7+4,$K44))*$H44/$G44)))</x:f>
        <x:v>0</x:v>
      </x:c>
      <x:c r="AD44" s="44" t="n">
        <x:f>IF(OR($J44="",$K44=""),"",IF(SUMIFS(Calendar!$C$16:$C$134,Calendar!$A$16:$A$134,"&gt;="&amp;MAX(AD$7,$J44),Calendar!$A$16:$A$134,"&lt;="&amp;MIN(AD$7+4,$K44))=0,0,IF($H44="","EXT",SUMIFS(Calendar!$C$16:$C$134,Calendar!$A$16:$A$134,"&gt;="&amp;MAX(AD$7,$J44),Calendar!$A$16:$A$134,"&lt;="&amp;MIN(AD$7+4,$K44))*$H44/$G44)))</x:f>
        <x:v>0</x:v>
      </x:c>
      <x:c r="AE44" s="42" t="n">
        <x:f>IF(OR(M44&lt;&gt;"Scheduled",INDEX('Team and Gates'!$C$7:$C$11,MATCH($D44,'Team and Gates'!$A$7:$A$11,0))=""),"CHECK",SUM(N44:AD44)*INDEX('Team and Gates'!$C$7:$C$11,MATCH($D44,'Team and Gates'!$A$7:$A$11,0)))</x:f>
        <x:v>1440</x:v>
      </x:c>
      <x:c r="AF44" s="43" t="str">
        <x:v>Only registered rules/schemas are generated; positive/negative replay works.</x:v>
      </x:c>
      <x:c r="AG44" s="43" t="str"/>
    </x:row>
    <x:row r="45" ht="36" customHeight="1">
      <x:c r="A45" s="35" t="str">
        <x:v>S08</x:v>
      </x:c>
      <x:c r="B45" s="35" t="str">
        <x:v>Model quality</x:v>
      </x:c>
      <x:c r="C45" s="35" t="str">
        <x:v>Language, long-thread and incomplete-evidence tuning</x:v>
      </x:c>
      <x:c r="D45" s="24" t="str">
        <x:v>DS</x:v>
      </x:c>
      <x:c r="E45" s="35" t="str">
        <x:v>S07, U07</x:v>
      </x:c>
      <x:c r="F45" s="47" t="n">
        <x:v>36</x:v>
      </x:c>
      <x:c r="G45" s="47" t="n">
        <x:v>10</x:v>
      </x:c>
      <x:c r="H45" s="48" t="n">
        <x:v>8</x:v>
      </x:c>
      <x:c r="I45" s="35" t="n">
        <x:f>IF(OR(F45="",G45=""),"",F45+G45-1)</x:f>
        <x:v>45</x:v>
      </x:c>
      <x:c r="J45" s="37" t="n">
        <x:f>IF(OR(F45="",F45&lt;1,F45&gt;Calendar!$B$9),"",INDEX(Calendar!$A$16:$A$134,MATCH(F45,Calendar!$D$16:$D$134,0)))</x:f>
        <x:v>46377</x:v>
      </x:c>
      <x:c r="K45" s="37" t="n">
        <x:f>IF(OR(I45="",I45&lt;1,I45&gt;Calendar!$B$9),"",INDEX(Calendar!$A$16:$A$134,MATCH(I45,Calendar!$D$16:$D$134,0)))</x:f>
        <x:v>46388</x:v>
      </x:c>
      <x:c r="L45" s="50" t="n">
        <x:v>0</x:v>
      </x:c>
      <x:c r="M45" s="35" t="str">
        <x:f>IF(OR(F45="",G45="",H45=""),"Missing input",IF(OR(F45&lt;1,G45&lt;1,I45&gt;Calendar!$B$9),"Outside calendar",IF(F45&lt;MAX(INDEX($I$8:$I$85,MATCH("S07",$A$8:$A$85,0))+1,INDEX($I$8:$I$85,MATCH("U07",$A$8:$A$85,0))+1),"Dependency conflict","Scheduled")))</x:f>
        <x:v>Scheduled</x:v>
      </x:c>
      <x:c r="N45" s="44" t="n">
        <x:f>IF(OR($J45="",$K45=""),"",IF(SUMIFS(Calendar!$C$16:$C$134,Calendar!$A$16:$A$134,"&gt;="&amp;MAX(N$7,$J45),Calendar!$A$16:$A$134,"&lt;="&amp;MIN(N$7+4,$K45))=0,0,IF($H45="","EXT",SUMIFS(Calendar!$C$16:$C$134,Calendar!$A$16:$A$134,"&gt;="&amp;MAX(N$7,$J45),Calendar!$A$16:$A$134,"&lt;="&amp;MIN(N$7+4,$K45))*$H45/$G45)))</x:f>
        <x:v>0</x:v>
      </x:c>
      <x:c r="O45" s="44" t="n">
        <x:f>IF(OR($J45="",$K45=""),"",IF(SUMIFS(Calendar!$C$16:$C$134,Calendar!$A$16:$A$134,"&gt;="&amp;MAX(O$7,$J45),Calendar!$A$16:$A$134,"&lt;="&amp;MIN(O$7+4,$K45))=0,0,IF($H45="","EXT",SUMIFS(Calendar!$C$16:$C$134,Calendar!$A$16:$A$134,"&gt;="&amp;MAX(O$7,$J45),Calendar!$A$16:$A$134,"&lt;="&amp;MIN(O$7+4,$K45))*$H45/$G45)))</x:f>
        <x:v>0</x:v>
      </x:c>
      <x:c r="P45" s="44" t="n">
        <x:f>IF(OR($J45="",$K45=""),"",IF(SUMIFS(Calendar!$C$16:$C$134,Calendar!$A$16:$A$134,"&gt;="&amp;MAX(P$7,$J45),Calendar!$A$16:$A$134,"&lt;="&amp;MIN(P$7+4,$K45))=0,0,IF($H45="","EXT",SUMIFS(Calendar!$C$16:$C$134,Calendar!$A$16:$A$134,"&gt;="&amp;MAX(P$7,$J45),Calendar!$A$16:$A$134,"&lt;="&amp;MIN(P$7+4,$K45))*$H45/$G45)))</x:f>
        <x:v>0</x:v>
      </x:c>
      <x:c r="Q45" s="44" t="n">
        <x:f>IF(OR($J45="",$K45=""),"",IF(SUMIFS(Calendar!$C$16:$C$134,Calendar!$A$16:$A$134,"&gt;="&amp;MAX(Q$7,$J45),Calendar!$A$16:$A$134,"&lt;="&amp;MIN(Q$7+4,$K45))=0,0,IF($H45="","EXT",SUMIFS(Calendar!$C$16:$C$134,Calendar!$A$16:$A$134,"&gt;="&amp;MAX(Q$7,$J45),Calendar!$A$16:$A$134,"&lt;="&amp;MIN(Q$7+4,$K45))*$H45/$G45)))</x:f>
        <x:v>0</x:v>
      </x:c>
      <x:c r="R45" s="44" t="n">
        <x:f>IF(OR($J45="",$K45=""),"",IF(SUMIFS(Calendar!$C$16:$C$134,Calendar!$A$16:$A$134,"&gt;="&amp;MAX(R$7,$J45),Calendar!$A$16:$A$134,"&lt;="&amp;MIN(R$7+4,$K45))=0,0,IF($H45="","EXT",SUMIFS(Calendar!$C$16:$C$134,Calendar!$A$16:$A$134,"&gt;="&amp;MAX(R$7,$J45),Calendar!$A$16:$A$134,"&lt;="&amp;MIN(R$7+4,$K45))*$H45/$G45)))</x:f>
        <x:v>0</x:v>
      </x:c>
      <x:c r="S45" s="44" t="n">
        <x:f>IF(OR($J45="",$K45=""),"",IF(SUMIFS(Calendar!$C$16:$C$134,Calendar!$A$16:$A$134,"&gt;="&amp;MAX(S$7,$J45),Calendar!$A$16:$A$134,"&lt;="&amp;MIN(S$7+4,$K45))=0,0,IF($H45="","EXT",SUMIFS(Calendar!$C$16:$C$134,Calendar!$A$16:$A$134,"&gt;="&amp;MAX(S$7,$J45),Calendar!$A$16:$A$134,"&lt;="&amp;MIN(S$7+4,$K45))*$H45/$G45)))</x:f>
        <x:v>0</x:v>
      </x:c>
      <x:c r="T45" s="44" t="n">
        <x:f>IF(OR($J45="",$K45=""),"",IF(SUMIFS(Calendar!$C$16:$C$134,Calendar!$A$16:$A$134,"&gt;="&amp;MAX(T$7,$J45),Calendar!$A$16:$A$134,"&lt;="&amp;MIN(T$7+4,$K45))=0,0,IF($H45="","EXT",SUMIFS(Calendar!$C$16:$C$134,Calendar!$A$16:$A$134,"&gt;="&amp;MAX(T$7,$J45),Calendar!$A$16:$A$134,"&lt;="&amp;MIN(T$7+4,$K45))*$H45/$G45)))</x:f>
        <x:v>0</x:v>
      </x:c>
      <x:c r="U45" s="44" t="n">
        <x:f>IF(OR($J45="",$K45=""),"",IF(SUMIFS(Calendar!$C$16:$C$134,Calendar!$A$16:$A$134,"&gt;="&amp;MAX(U$7,$J45),Calendar!$A$16:$A$134,"&lt;="&amp;MIN(U$7+4,$K45))=0,0,IF($H45="","EXT",SUMIFS(Calendar!$C$16:$C$134,Calendar!$A$16:$A$134,"&gt;="&amp;MAX(U$7,$J45),Calendar!$A$16:$A$134,"&lt;="&amp;MIN(U$7+4,$K45))*$H45/$G45)))</x:f>
        <x:v>4</x:v>
      </x:c>
      <x:c r="V45" s="44" t="n">
        <x:f>IF(OR($J45="",$K45=""),"",IF(SUMIFS(Calendar!$C$16:$C$134,Calendar!$A$16:$A$134,"&gt;="&amp;MAX(V$7,$J45),Calendar!$A$16:$A$134,"&lt;="&amp;MIN(V$7+4,$K45))=0,0,IF($H45="","EXT",SUMIFS(Calendar!$C$16:$C$134,Calendar!$A$16:$A$134,"&gt;="&amp;MAX(V$7,$J45),Calendar!$A$16:$A$134,"&lt;="&amp;MIN(V$7+4,$K45))*$H45/$G45)))</x:f>
        <x:v>4</x:v>
      </x:c>
      <x:c r="W45" s="44" t="n">
        <x:f>IF(OR($J45="",$K45=""),"",IF(SUMIFS(Calendar!$C$16:$C$134,Calendar!$A$16:$A$134,"&gt;="&amp;MAX(W$7,$J45),Calendar!$A$16:$A$134,"&lt;="&amp;MIN(W$7+4,$K45))=0,0,IF($H45="","EXT",SUMIFS(Calendar!$C$16:$C$134,Calendar!$A$16:$A$134,"&gt;="&amp;MAX(W$7,$J45),Calendar!$A$16:$A$134,"&lt;="&amp;MIN(W$7+4,$K45))*$H45/$G45)))</x:f>
        <x:v>0</x:v>
      </x:c>
      <x:c r="X45" s="44" t="n">
        <x:f>IF(OR($J45="",$K45=""),"",IF(SUMIFS(Calendar!$C$16:$C$134,Calendar!$A$16:$A$134,"&gt;="&amp;MAX(X$7,$J45),Calendar!$A$16:$A$134,"&lt;="&amp;MIN(X$7+4,$K45))=0,0,IF($H45="","EXT",SUMIFS(Calendar!$C$16:$C$134,Calendar!$A$16:$A$134,"&gt;="&amp;MAX(X$7,$J45),Calendar!$A$16:$A$134,"&lt;="&amp;MIN(X$7+4,$K45))*$H45/$G45)))</x:f>
        <x:v>0</x:v>
      </x:c>
      <x:c r="Y45" s="44" t="n">
        <x:f>IF(OR($J45="",$K45=""),"",IF(SUMIFS(Calendar!$C$16:$C$134,Calendar!$A$16:$A$134,"&gt;="&amp;MAX(Y$7,$J45),Calendar!$A$16:$A$134,"&lt;="&amp;MIN(Y$7+4,$K45))=0,0,IF($H45="","EXT",SUMIFS(Calendar!$C$16:$C$134,Calendar!$A$16:$A$134,"&gt;="&amp;MAX(Y$7,$J45),Calendar!$A$16:$A$134,"&lt;="&amp;MIN(Y$7+4,$K45))*$H45/$G45)))</x:f>
        <x:v>0</x:v>
      </x:c>
      <x:c r="Z45" s="44" t="n">
        <x:f>IF(OR($J45="",$K45=""),"",IF(SUMIFS(Calendar!$C$16:$C$134,Calendar!$A$16:$A$134,"&gt;="&amp;MAX(Z$7,$J45),Calendar!$A$16:$A$134,"&lt;="&amp;MIN(Z$7+4,$K45))=0,0,IF($H45="","EXT",SUMIFS(Calendar!$C$16:$C$134,Calendar!$A$16:$A$134,"&gt;="&amp;MAX(Z$7,$J45),Calendar!$A$16:$A$134,"&lt;="&amp;MIN(Z$7+4,$K45))*$H45/$G45)))</x:f>
        <x:v>0</x:v>
      </x:c>
      <x:c r="AA45" s="44" t="n">
        <x:f>IF(OR($J45="",$K45=""),"",IF(SUMIFS(Calendar!$C$16:$C$134,Calendar!$A$16:$A$134,"&gt;="&amp;MAX(AA$7,$J45),Calendar!$A$16:$A$134,"&lt;="&amp;MIN(AA$7+4,$K45))=0,0,IF($H45="","EXT",SUMIFS(Calendar!$C$16:$C$134,Calendar!$A$16:$A$134,"&gt;="&amp;MAX(AA$7,$J45),Calendar!$A$16:$A$134,"&lt;="&amp;MIN(AA$7+4,$K45))*$H45/$G45)))</x:f>
        <x:v>0</x:v>
      </x:c>
      <x:c r="AB45" s="44" t="n">
        <x:f>IF(OR($J45="",$K45=""),"",IF(SUMIFS(Calendar!$C$16:$C$134,Calendar!$A$16:$A$134,"&gt;="&amp;MAX(AB$7,$J45),Calendar!$A$16:$A$134,"&lt;="&amp;MIN(AB$7+4,$K45))=0,0,IF($H45="","EXT",SUMIFS(Calendar!$C$16:$C$134,Calendar!$A$16:$A$134,"&gt;="&amp;MAX(AB$7,$J45),Calendar!$A$16:$A$134,"&lt;="&amp;MIN(AB$7+4,$K45))*$H45/$G45)))</x:f>
        <x:v>0</x:v>
      </x:c>
      <x:c r="AC45" s="44" t="n">
        <x:f>IF(OR($J45="",$K45=""),"",IF(SUMIFS(Calendar!$C$16:$C$134,Calendar!$A$16:$A$134,"&gt;="&amp;MAX(AC$7,$J45),Calendar!$A$16:$A$134,"&lt;="&amp;MIN(AC$7+4,$K45))=0,0,IF($H45="","EXT",SUMIFS(Calendar!$C$16:$C$134,Calendar!$A$16:$A$134,"&gt;="&amp;MAX(AC$7,$J45),Calendar!$A$16:$A$134,"&lt;="&amp;MIN(AC$7+4,$K45))*$H45/$G45)))</x:f>
        <x:v>0</x:v>
      </x:c>
      <x:c r="AD45" s="44" t="n">
        <x:f>IF(OR($J45="",$K45=""),"",IF(SUMIFS(Calendar!$C$16:$C$134,Calendar!$A$16:$A$134,"&gt;="&amp;MAX(AD$7,$J45),Calendar!$A$16:$A$134,"&lt;="&amp;MIN(AD$7+4,$K45))=0,0,IF($H45="","EXT",SUMIFS(Calendar!$C$16:$C$134,Calendar!$A$16:$A$134,"&gt;="&amp;MAX(AD$7,$J45),Calendar!$A$16:$A$134,"&lt;="&amp;MIN(AD$7+4,$K45))*$H45/$G45)))</x:f>
        <x:v>0</x:v>
      </x:c>
      <x:c r="AE45" s="42" t="n">
        <x:f>IF(OR(M45&lt;&gt;"Scheduled",INDEX('Team and Gates'!$C$7:$C$11,MATCH($D45,'Team and Gates'!$A$7:$A$11,0))=""),"CHECK",SUM(N45:AD45)*INDEX('Team and Gates'!$C$7:$C$11,MATCH($D45,'Team and Gates'!$A$7:$A$11,0)))</x:f>
        <x:v>2880</x:v>
      </x:c>
      <x:c r="AF45" s="43" t="str">
        <x:v>Promise/completion, multiple intents and unread attachments are distinguished.</x:v>
      </x:c>
      <x:c r="AG45" s="43" t="str"/>
    </x:row>
    <x:row r="46" ht="36" customHeight="1">
      <x:c r="A46" s="2" t="str">
        <x:v>S09</x:v>
      </x:c>
      <x:c r="B46" s="2" t="str">
        <x:v>Model quality</x:v>
      </x:c>
      <x:c r="C46" s="2" t="str">
        <x:v>Error reduction and model/prompt candidate freeze</x:v>
      </x:c>
      <x:c r="D46" s="24" t="str">
        <x:v>DS</x:v>
      </x:c>
      <x:c r="E46" s="2" t="str">
        <x:v>S08</x:v>
      </x:c>
      <x:c r="F46" s="47" t="n">
        <x:v>46</x:v>
      </x:c>
      <x:c r="G46" s="47" t="n">
        <x:v>5</x:v>
      </x:c>
      <x:c r="H46" s="48" t="n">
        <x:v>4</x:v>
      </x:c>
      <x:c r="I46" s="2" t="n">
        <x:f>IF(OR(F46="",G46=""),"",F46+G46-1)</x:f>
        <x:v>50</x:v>
      </x:c>
      <x:c r="J46" s="5" t="n">
        <x:f>IF(OR(F46="",F46&lt;1,F46&gt;Calendar!$B$9),"",INDEX(Calendar!$A$16:$A$134,MATCH(F46,Calendar!$D$16:$D$134,0)))</x:f>
        <x:v>46391</x:v>
      </x:c>
      <x:c r="K46" s="5" t="n">
        <x:f>IF(OR(I46="",I46&lt;1,I46&gt;Calendar!$B$9),"",INDEX(Calendar!$A$16:$A$134,MATCH(I46,Calendar!$D$16:$D$134,0)))</x:f>
        <x:v>46395</x:v>
      </x:c>
      <x:c r="L46" s="50" t="n">
        <x:v>0</x:v>
      </x:c>
      <x:c r="M46" s="2" t="str">
        <x:f>IF(OR(F46="",G46="",H46=""),"Missing input",IF(OR(F46&lt;1,G46&lt;1,I46&gt;Calendar!$B$9),"Outside calendar",IF(F46&lt;MAX(INDEX($I$8:$I$85,MATCH("S08",$A$8:$A$85,0))+1),"Dependency conflict","Scheduled")))</x:f>
        <x:v>Scheduled</x:v>
      </x:c>
      <x:c r="N46" s="44" t="n">
        <x:f>IF(OR($J46="",$K46=""),"",IF(SUMIFS(Calendar!$C$16:$C$134,Calendar!$A$16:$A$134,"&gt;="&amp;MAX(N$7,$J46),Calendar!$A$16:$A$134,"&lt;="&amp;MIN(N$7+4,$K46))=0,0,IF($H46="","EXT",SUMIFS(Calendar!$C$16:$C$134,Calendar!$A$16:$A$134,"&gt;="&amp;MAX(N$7,$J46),Calendar!$A$16:$A$134,"&lt;="&amp;MIN(N$7+4,$K46))*$H46/$G46)))</x:f>
        <x:v>0</x:v>
      </x:c>
      <x:c r="O46" s="44" t="n">
        <x:f>IF(OR($J46="",$K46=""),"",IF(SUMIFS(Calendar!$C$16:$C$134,Calendar!$A$16:$A$134,"&gt;="&amp;MAX(O$7,$J46),Calendar!$A$16:$A$134,"&lt;="&amp;MIN(O$7+4,$K46))=0,0,IF($H46="","EXT",SUMIFS(Calendar!$C$16:$C$134,Calendar!$A$16:$A$134,"&gt;="&amp;MAX(O$7,$J46),Calendar!$A$16:$A$134,"&lt;="&amp;MIN(O$7+4,$K46))*$H46/$G46)))</x:f>
        <x:v>0</x:v>
      </x:c>
      <x:c r="P46" s="44" t="n">
        <x:f>IF(OR($J46="",$K46=""),"",IF(SUMIFS(Calendar!$C$16:$C$134,Calendar!$A$16:$A$134,"&gt;="&amp;MAX(P$7,$J46),Calendar!$A$16:$A$134,"&lt;="&amp;MIN(P$7+4,$K46))=0,0,IF($H46="","EXT",SUMIFS(Calendar!$C$16:$C$134,Calendar!$A$16:$A$134,"&gt;="&amp;MAX(P$7,$J46),Calendar!$A$16:$A$134,"&lt;="&amp;MIN(P$7+4,$K46))*$H46/$G46)))</x:f>
        <x:v>0</x:v>
      </x:c>
      <x:c r="Q46" s="44" t="n">
        <x:f>IF(OR($J46="",$K46=""),"",IF(SUMIFS(Calendar!$C$16:$C$134,Calendar!$A$16:$A$134,"&gt;="&amp;MAX(Q$7,$J46),Calendar!$A$16:$A$134,"&lt;="&amp;MIN(Q$7+4,$K46))=0,0,IF($H46="","EXT",SUMIFS(Calendar!$C$16:$C$134,Calendar!$A$16:$A$134,"&gt;="&amp;MAX(Q$7,$J46),Calendar!$A$16:$A$134,"&lt;="&amp;MIN(Q$7+4,$K46))*$H46/$G46)))</x:f>
        <x:v>0</x:v>
      </x:c>
      <x:c r="R46" s="44" t="n">
        <x:f>IF(OR($J46="",$K46=""),"",IF(SUMIFS(Calendar!$C$16:$C$134,Calendar!$A$16:$A$134,"&gt;="&amp;MAX(R$7,$J46),Calendar!$A$16:$A$134,"&lt;="&amp;MIN(R$7+4,$K46))=0,0,IF($H46="","EXT",SUMIFS(Calendar!$C$16:$C$134,Calendar!$A$16:$A$134,"&gt;="&amp;MAX(R$7,$J46),Calendar!$A$16:$A$134,"&lt;="&amp;MIN(R$7+4,$K46))*$H46/$G46)))</x:f>
        <x:v>0</x:v>
      </x:c>
      <x:c r="S46" s="44" t="n">
        <x:f>IF(OR($J46="",$K46=""),"",IF(SUMIFS(Calendar!$C$16:$C$134,Calendar!$A$16:$A$134,"&gt;="&amp;MAX(S$7,$J46),Calendar!$A$16:$A$134,"&lt;="&amp;MIN(S$7+4,$K46))=0,0,IF($H46="","EXT",SUMIFS(Calendar!$C$16:$C$134,Calendar!$A$16:$A$134,"&gt;="&amp;MAX(S$7,$J46),Calendar!$A$16:$A$134,"&lt;="&amp;MIN(S$7+4,$K46))*$H46/$G46)))</x:f>
        <x:v>0</x:v>
      </x:c>
      <x:c r="T46" s="44" t="n">
        <x:f>IF(OR($J46="",$K46=""),"",IF(SUMIFS(Calendar!$C$16:$C$134,Calendar!$A$16:$A$134,"&gt;="&amp;MAX(T$7,$J46),Calendar!$A$16:$A$134,"&lt;="&amp;MIN(T$7+4,$K46))=0,0,IF($H46="","EXT",SUMIFS(Calendar!$C$16:$C$134,Calendar!$A$16:$A$134,"&gt;="&amp;MAX(T$7,$J46),Calendar!$A$16:$A$134,"&lt;="&amp;MIN(T$7+4,$K46))*$H46/$G46)))</x:f>
        <x:v>0</x:v>
      </x:c>
      <x:c r="U46" s="44" t="n">
        <x:f>IF(OR($J46="",$K46=""),"",IF(SUMIFS(Calendar!$C$16:$C$134,Calendar!$A$16:$A$134,"&gt;="&amp;MAX(U$7,$J46),Calendar!$A$16:$A$134,"&lt;="&amp;MIN(U$7+4,$K46))=0,0,IF($H46="","EXT",SUMIFS(Calendar!$C$16:$C$134,Calendar!$A$16:$A$134,"&gt;="&amp;MAX(U$7,$J46),Calendar!$A$16:$A$134,"&lt;="&amp;MIN(U$7+4,$K46))*$H46/$G46)))</x:f>
        <x:v>0</x:v>
      </x:c>
      <x:c r="V46" s="44" t="n">
        <x:f>IF(OR($J46="",$K46=""),"",IF(SUMIFS(Calendar!$C$16:$C$134,Calendar!$A$16:$A$134,"&gt;="&amp;MAX(V$7,$J46),Calendar!$A$16:$A$134,"&lt;="&amp;MIN(V$7+4,$K46))=0,0,IF($H46="","EXT",SUMIFS(Calendar!$C$16:$C$134,Calendar!$A$16:$A$134,"&gt;="&amp;MAX(V$7,$J46),Calendar!$A$16:$A$134,"&lt;="&amp;MIN(V$7+4,$K46))*$H46/$G46)))</x:f>
        <x:v>0</x:v>
      </x:c>
      <x:c r="W46" s="44" t="n">
        <x:f>IF(OR($J46="",$K46=""),"",IF(SUMIFS(Calendar!$C$16:$C$134,Calendar!$A$16:$A$134,"&gt;="&amp;MAX(W$7,$J46),Calendar!$A$16:$A$134,"&lt;="&amp;MIN(W$7+4,$K46))=0,0,IF($H46="","EXT",SUMIFS(Calendar!$C$16:$C$134,Calendar!$A$16:$A$134,"&gt;="&amp;MAX(W$7,$J46),Calendar!$A$16:$A$134,"&lt;="&amp;MIN(W$7+4,$K46))*$H46/$G46)))</x:f>
        <x:v>4</x:v>
      </x:c>
      <x:c r="X46" s="44" t="n">
        <x:f>IF(OR($J46="",$K46=""),"",IF(SUMIFS(Calendar!$C$16:$C$134,Calendar!$A$16:$A$134,"&gt;="&amp;MAX(X$7,$J46),Calendar!$A$16:$A$134,"&lt;="&amp;MIN(X$7+4,$K46))=0,0,IF($H46="","EXT",SUMIFS(Calendar!$C$16:$C$134,Calendar!$A$16:$A$134,"&gt;="&amp;MAX(X$7,$J46),Calendar!$A$16:$A$134,"&lt;="&amp;MIN(X$7+4,$K46))*$H46/$G46)))</x:f>
        <x:v>0</x:v>
      </x:c>
      <x:c r="Y46" s="44" t="n">
        <x:f>IF(OR($J46="",$K46=""),"",IF(SUMIFS(Calendar!$C$16:$C$134,Calendar!$A$16:$A$134,"&gt;="&amp;MAX(Y$7,$J46),Calendar!$A$16:$A$134,"&lt;="&amp;MIN(Y$7+4,$K46))=0,0,IF($H46="","EXT",SUMIFS(Calendar!$C$16:$C$134,Calendar!$A$16:$A$134,"&gt;="&amp;MAX(Y$7,$J46),Calendar!$A$16:$A$134,"&lt;="&amp;MIN(Y$7+4,$K46))*$H46/$G46)))</x:f>
        <x:v>0</x:v>
      </x:c>
      <x:c r="Z46" s="44" t="n">
        <x:f>IF(OR($J46="",$K46=""),"",IF(SUMIFS(Calendar!$C$16:$C$134,Calendar!$A$16:$A$134,"&gt;="&amp;MAX(Z$7,$J46),Calendar!$A$16:$A$134,"&lt;="&amp;MIN(Z$7+4,$K46))=0,0,IF($H46="","EXT",SUMIFS(Calendar!$C$16:$C$134,Calendar!$A$16:$A$134,"&gt;="&amp;MAX(Z$7,$J46),Calendar!$A$16:$A$134,"&lt;="&amp;MIN(Z$7+4,$K46))*$H46/$G46)))</x:f>
        <x:v>0</x:v>
      </x:c>
      <x:c r="AA46" s="44" t="n">
        <x:f>IF(OR($J46="",$K46=""),"",IF(SUMIFS(Calendar!$C$16:$C$134,Calendar!$A$16:$A$134,"&gt;="&amp;MAX(AA$7,$J46),Calendar!$A$16:$A$134,"&lt;="&amp;MIN(AA$7+4,$K46))=0,0,IF($H46="","EXT",SUMIFS(Calendar!$C$16:$C$134,Calendar!$A$16:$A$134,"&gt;="&amp;MAX(AA$7,$J46),Calendar!$A$16:$A$134,"&lt;="&amp;MIN(AA$7+4,$K46))*$H46/$G46)))</x:f>
        <x:v>0</x:v>
      </x:c>
      <x:c r="AB46" s="44" t="n">
        <x:f>IF(OR($J46="",$K46=""),"",IF(SUMIFS(Calendar!$C$16:$C$134,Calendar!$A$16:$A$134,"&gt;="&amp;MAX(AB$7,$J46),Calendar!$A$16:$A$134,"&lt;="&amp;MIN(AB$7+4,$K46))=0,0,IF($H46="","EXT",SUMIFS(Calendar!$C$16:$C$134,Calendar!$A$16:$A$134,"&gt;="&amp;MAX(AB$7,$J46),Calendar!$A$16:$A$134,"&lt;="&amp;MIN(AB$7+4,$K46))*$H46/$G46)))</x:f>
        <x:v>0</x:v>
      </x:c>
      <x:c r="AC46" s="44" t="n">
        <x:f>IF(OR($J46="",$K46=""),"",IF(SUMIFS(Calendar!$C$16:$C$134,Calendar!$A$16:$A$134,"&gt;="&amp;MAX(AC$7,$J46),Calendar!$A$16:$A$134,"&lt;="&amp;MIN(AC$7+4,$K46))=0,0,IF($H46="","EXT",SUMIFS(Calendar!$C$16:$C$134,Calendar!$A$16:$A$134,"&gt;="&amp;MAX(AC$7,$J46),Calendar!$A$16:$A$134,"&lt;="&amp;MIN(AC$7+4,$K46))*$H46/$G46)))</x:f>
        <x:v>0</x:v>
      </x:c>
      <x:c r="AD46" s="44" t="n">
        <x:f>IF(OR($J46="",$K46=""),"",IF(SUMIFS(Calendar!$C$16:$C$134,Calendar!$A$16:$A$134,"&gt;="&amp;MAX(AD$7,$J46),Calendar!$A$16:$A$134,"&lt;="&amp;MIN(AD$7+4,$K46))=0,0,IF($H46="","EXT",SUMIFS(Calendar!$C$16:$C$134,Calendar!$A$16:$A$134,"&gt;="&amp;MAX(AD$7,$J46),Calendar!$A$16:$A$134,"&lt;="&amp;MIN(AD$7+4,$K46))*$H46/$G46)))</x:f>
        <x:v>0</x:v>
      </x:c>
      <x:c r="AE46" s="42" t="n">
        <x:f>IF(OR(M46&lt;&gt;"Scheduled",INDEX('Team and Gates'!$C$7:$C$11,MATCH($D46,'Team and Gates'!$A$7:$A$11,0))=""),"CHECK",SUM(N46:AD46)*INDEX('Team and Gates'!$C$7:$C$11,MATCH($D46,'Team and Gates'!$A$7:$A$11,0)))</x:f>
        <x:v>1440</x:v>
      </x:c>
      <x:c r="AF46" s="43" t="str">
        <x:v>Pin model deployment, prompts, schema, Playbooks and evaluation configuration.</x:v>
      </x:c>
      <x:c r="AG46" s="43" t="str"/>
    </x:row>
    <x:row r="47" ht="36" customHeight="1">
      <x:c r="A47" s="35" t="str">
        <x:v>S10</x:v>
      </x:c>
      <x:c r="B47" s="35" t="str">
        <x:v>Model quality</x:v>
      </x:c>
      <x:c r="C47" s="35" t="str">
        <x:v>Independent holdout analysis and release decision</x:v>
      </x:c>
      <x:c r="D47" s="24" t="str">
        <x:v>DS</x:v>
      </x:c>
      <x:c r="E47" s="35" t="str">
        <x:v>S09, U09</x:v>
      </x:c>
      <x:c r="F47" s="47" t="n">
        <x:v>51</x:v>
      </x:c>
      <x:c r="G47" s="47" t="n">
        <x:v>5</x:v>
      </x:c>
      <x:c r="H47" s="48" t="n">
        <x:v>4</x:v>
      </x:c>
      <x:c r="I47" s="35" t="n">
        <x:f>IF(OR(F47="",G47=""),"",F47+G47-1)</x:f>
        <x:v>55</x:v>
      </x:c>
      <x:c r="J47" s="37" t="n">
        <x:f>IF(OR(F47="",F47&lt;1,F47&gt;Calendar!$B$9),"",INDEX(Calendar!$A$16:$A$134,MATCH(F47,Calendar!$D$16:$D$134,0)))</x:f>
        <x:v>46398</x:v>
      </x:c>
      <x:c r="K47" s="37" t="n">
        <x:f>IF(OR(I47="",I47&lt;1,I47&gt;Calendar!$B$9),"",INDEX(Calendar!$A$16:$A$134,MATCH(I47,Calendar!$D$16:$D$134,0)))</x:f>
        <x:v>46402</x:v>
      </x:c>
      <x:c r="L47" s="50" t="n">
        <x:v>0</x:v>
      </x:c>
      <x:c r="M47" s="35" t="str">
        <x:f>IF(OR(F47="",G47="",H47=""),"Missing input",IF(OR(F47&lt;1,G47&lt;1,I47&gt;Calendar!$B$9),"Outside calendar",IF(F47&lt;MAX(INDEX($I$8:$I$85,MATCH("S09",$A$8:$A$85,0))+1,INDEX($I$8:$I$85,MATCH("U09",$A$8:$A$85,0))+1),"Dependency conflict","Scheduled")))</x:f>
        <x:v>Scheduled</x:v>
      </x:c>
      <x:c r="N47" s="44" t="n">
        <x:f>IF(OR($J47="",$K47=""),"",IF(SUMIFS(Calendar!$C$16:$C$134,Calendar!$A$16:$A$134,"&gt;="&amp;MAX(N$7,$J47),Calendar!$A$16:$A$134,"&lt;="&amp;MIN(N$7+4,$K47))=0,0,IF($H47="","EXT",SUMIFS(Calendar!$C$16:$C$134,Calendar!$A$16:$A$134,"&gt;="&amp;MAX(N$7,$J47),Calendar!$A$16:$A$134,"&lt;="&amp;MIN(N$7+4,$K47))*$H47/$G47)))</x:f>
        <x:v>0</x:v>
      </x:c>
      <x:c r="O47" s="44" t="n">
        <x:f>IF(OR($J47="",$K47=""),"",IF(SUMIFS(Calendar!$C$16:$C$134,Calendar!$A$16:$A$134,"&gt;="&amp;MAX(O$7,$J47),Calendar!$A$16:$A$134,"&lt;="&amp;MIN(O$7+4,$K47))=0,0,IF($H47="","EXT",SUMIFS(Calendar!$C$16:$C$134,Calendar!$A$16:$A$134,"&gt;="&amp;MAX(O$7,$J47),Calendar!$A$16:$A$134,"&lt;="&amp;MIN(O$7+4,$K47))*$H47/$G47)))</x:f>
        <x:v>0</x:v>
      </x:c>
      <x:c r="P47" s="44" t="n">
        <x:f>IF(OR($J47="",$K47=""),"",IF(SUMIFS(Calendar!$C$16:$C$134,Calendar!$A$16:$A$134,"&gt;="&amp;MAX(P$7,$J47),Calendar!$A$16:$A$134,"&lt;="&amp;MIN(P$7+4,$K47))=0,0,IF($H47="","EXT",SUMIFS(Calendar!$C$16:$C$134,Calendar!$A$16:$A$134,"&gt;="&amp;MAX(P$7,$J47),Calendar!$A$16:$A$134,"&lt;="&amp;MIN(P$7+4,$K47))*$H47/$G47)))</x:f>
        <x:v>0</x:v>
      </x:c>
      <x:c r="Q47" s="44" t="n">
        <x:f>IF(OR($J47="",$K47=""),"",IF(SUMIFS(Calendar!$C$16:$C$134,Calendar!$A$16:$A$134,"&gt;="&amp;MAX(Q$7,$J47),Calendar!$A$16:$A$134,"&lt;="&amp;MIN(Q$7+4,$K47))=0,0,IF($H47="","EXT",SUMIFS(Calendar!$C$16:$C$134,Calendar!$A$16:$A$134,"&gt;="&amp;MAX(Q$7,$J47),Calendar!$A$16:$A$134,"&lt;="&amp;MIN(Q$7+4,$K47))*$H47/$G47)))</x:f>
        <x:v>0</x:v>
      </x:c>
      <x:c r="R47" s="44" t="n">
        <x:f>IF(OR($J47="",$K47=""),"",IF(SUMIFS(Calendar!$C$16:$C$134,Calendar!$A$16:$A$134,"&gt;="&amp;MAX(R$7,$J47),Calendar!$A$16:$A$134,"&lt;="&amp;MIN(R$7+4,$K47))=0,0,IF($H47="","EXT",SUMIFS(Calendar!$C$16:$C$134,Calendar!$A$16:$A$134,"&gt;="&amp;MAX(R$7,$J47),Calendar!$A$16:$A$134,"&lt;="&amp;MIN(R$7+4,$K47))*$H47/$G47)))</x:f>
        <x:v>0</x:v>
      </x:c>
      <x:c r="S47" s="44" t="n">
        <x:f>IF(OR($J47="",$K47=""),"",IF(SUMIFS(Calendar!$C$16:$C$134,Calendar!$A$16:$A$134,"&gt;="&amp;MAX(S$7,$J47),Calendar!$A$16:$A$134,"&lt;="&amp;MIN(S$7+4,$K47))=0,0,IF($H47="","EXT",SUMIFS(Calendar!$C$16:$C$134,Calendar!$A$16:$A$134,"&gt;="&amp;MAX(S$7,$J47),Calendar!$A$16:$A$134,"&lt;="&amp;MIN(S$7+4,$K47))*$H47/$G47)))</x:f>
        <x:v>0</x:v>
      </x:c>
      <x:c r="T47" s="44" t="n">
        <x:f>IF(OR($J47="",$K47=""),"",IF(SUMIFS(Calendar!$C$16:$C$134,Calendar!$A$16:$A$134,"&gt;="&amp;MAX(T$7,$J47),Calendar!$A$16:$A$134,"&lt;="&amp;MIN(T$7+4,$K47))=0,0,IF($H47="","EXT",SUMIFS(Calendar!$C$16:$C$134,Calendar!$A$16:$A$134,"&gt;="&amp;MAX(T$7,$J47),Calendar!$A$16:$A$134,"&lt;="&amp;MIN(T$7+4,$K47))*$H47/$G47)))</x:f>
        <x:v>0</x:v>
      </x:c>
      <x:c r="U47" s="44" t="n">
        <x:f>IF(OR($J47="",$K47=""),"",IF(SUMIFS(Calendar!$C$16:$C$134,Calendar!$A$16:$A$134,"&gt;="&amp;MAX(U$7,$J47),Calendar!$A$16:$A$134,"&lt;="&amp;MIN(U$7+4,$K47))=0,0,IF($H47="","EXT",SUMIFS(Calendar!$C$16:$C$134,Calendar!$A$16:$A$134,"&gt;="&amp;MAX(U$7,$J47),Calendar!$A$16:$A$134,"&lt;="&amp;MIN(U$7+4,$K47))*$H47/$G47)))</x:f>
        <x:v>0</x:v>
      </x:c>
      <x:c r="V47" s="44" t="n">
        <x:f>IF(OR($J47="",$K47=""),"",IF(SUMIFS(Calendar!$C$16:$C$134,Calendar!$A$16:$A$134,"&gt;="&amp;MAX(V$7,$J47),Calendar!$A$16:$A$134,"&lt;="&amp;MIN(V$7+4,$K47))=0,0,IF($H47="","EXT",SUMIFS(Calendar!$C$16:$C$134,Calendar!$A$16:$A$134,"&gt;="&amp;MAX(V$7,$J47),Calendar!$A$16:$A$134,"&lt;="&amp;MIN(V$7+4,$K47))*$H47/$G47)))</x:f>
        <x:v>0</x:v>
      </x:c>
      <x:c r="W47" s="44" t="n">
        <x:f>IF(OR($J47="",$K47=""),"",IF(SUMIFS(Calendar!$C$16:$C$134,Calendar!$A$16:$A$134,"&gt;="&amp;MAX(W$7,$J47),Calendar!$A$16:$A$134,"&lt;="&amp;MIN(W$7+4,$K47))=0,0,IF($H47="","EXT",SUMIFS(Calendar!$C$16:$C$134,Calendar!$A$16:$A$134,"&gt;="&amp;MAX(W$7,$J47),Calendar!$A$16:$A$134,"&lt;="&amp;MIN(W$7+4,$K47))*$H47/$G47)))</x:f>
        <x:v>0</x:v>
      </x:c>
      <x:c r="X47" s="44" t="n">
        <x:f>IF(OR($J47="",$K47=""),"",IF(SUMIFS(Calendar!$C$16:$C$134,Calendar!$A$16:$A$134,"&gt;="&amp;MAX(X$7,$J47),Calendar!$A$16:$A$134,"&lt;="&amp;MIN(X$7+4,$K47))=0,0,IF($H47="","EXT",SUMIFS(Calendar!$C$16:$C$134,Calendar!$A$16:$A$134,"&gt;="&amp;MAX(X$7,$J47),Calendar!$A$16:$A$134,"&lt;="&amp;MIN(X$7+4,$K47))*$H47/$G47)))</x:f>
        <x:v>4</x:v>
      </x:c>
      <x:c r="Y47" s="44" t="n">
        <x:f>IF(OR($J47="",$K47=""),"",IF(SUMIFS(Calendar!$C$16:$C$134,Calendar!$A$16:$A$134,"&gt;="&amp;MAX(Y$7,$J47),Calendar!$A$16:$A$134,"&lt;="&amp;MIN(Y$7+4,$K47))=0,0,IF($H47="","EXT",SUMIFS(Calendar!$C$16:$C$134,Calendar!$A$16:$A$134,"&gt;="&amp;MAX(Y$7,$J47),Calendar!$A$16:$A$134,"&lt;="&amp;MIN(Y$7+4,$K47))*$H47/$G47)))</x:f>
        <x:v>0</x:v>
      </x:c>
      <x:c r="Z47" s="44" t="n">
        <x:f>IF(OR($J47="",$K47=""),"",IF(SUMIFS(Calendar!$C$16:$C$134,Calendar!$A$16:$A$134,"&gt;="&amp;MAX(Z$7,$J47),Calendar!$A$16:$A$134,"&lt;="&amp;MIN(Z$7+4,$K47))=0,0,IF($H47="","EXT",SUMIFS(Calendar!$C$16:$C$134,Calendar!$A$16:$A$134,"&gt;="&amp;MAX(Z$7,$J47),Calendar!$A$16:$A$134,"&lt;="&amp;MIN(Z$7+4,$K47))*$H47/$G47)))</x:f>
        <x:v>0</x:v>
      </x:c>
      <x:c r="AA47" s="44" t="n">
        <x:f>IF(OR($J47="",$K47=""),"",IF(SUMIFS(Calendar!$C$16:$C$134,Calendar!$A$16:$A$134,"&gt;="&amp;MAX(AA$7,$J47),Calendar!$A$16:$A$134,"&lt;="&amp;MIN(AA$7+4,$K47))=0,0,IF($H47="","EXT",SUMIFS(Calendar!$C$16:$C$134,Calendar!$A$16:$A$134,"&gt;="&amp;MAX(AA$7,$J47),Calendar!$A$16:$A$134,"&lt;="&amp;MIN(AA$7+4,$K47))*$H47/$G47)))</x:f>
        <x:v>0</x:v>
      </x:c>
      <x:c r="AB47" s="44" t="n">
        <x:f>IF(OR($J47="",$K47=""),"",IF(SUMIFS(Calendar!$C$16:$C$134,Calendar!$A$16:$A$134,"&gt;="&amp;MAX(AB$7,$J47),Calendar!$A$16:$A$134,"&lt;="&amp;MIN(AB$7+4,$K47))=0,0,IF($H47="","EXT",SUMIFS(Calendar!$C$16:$C$134,Calendar!$A$16:$A$134,"&gt;="&amp;MAX(AB$7,$J47),Calendar!$A$16:$A$134,"&lt;="&amp;MIN(AB$7+4,$K47))*$H47/$G47)))</x:f>
        <x:v>0</x:v>
      </x:c>
      <x:c r="AC47" s="44" t="n">
        <x:f>IF(OR($J47="",$K47=""),"",IF(SUMIFS(Calendar!$C$16:$C$134,Calendar!$A$16:$A$134,"&gt;="&amp;MAX(AC$7,$J47),Calendar!$A$16:$A$134,"&lt;="&amp;MIN(AC$7+4,$K47))=0,0,IF($H47="","EXT",SUMIFS(Calendar!$C$16:$C$134,Calendar!$A$16:$A$134,"&gt;="&amp;MAX(AC$7,$J47),Calendar!$A$16:$A$134,"&lt;="&amp;MIN(AC$7+4,$K47))*$H47/$G47)))</x:f>
        <x:v>0</x:v>
      </x:c>
      <x:c r="AD47" s="44" t="n">
        <x:f>IF(OR($J47="",$K47=""),"",IF(SUMIFS(Calendar!$C$16:$C$134,Calendar!$A$16:$A$134,"&gt;="&amp;MAX(AD$7,$J47),Calendar!$A$16:$A$134,"&lt;="&amp;MIN(AD$7+4,$K47))=0,0,IF($H47="","EXT",SUMIFS(Calendar!$C$16:$C$134,Calendar!$A$16:$A$134,"&gt;="&amp;MAX(AD$7,$J47),Calendar!$A$16:$A$134,"&lt;="&amp;MIN(AD$7+4,$K47))*$H47/$G47)))</x:f>
        <x:v>0</x:v>
      </x:c>
      <x:c r="AE47" s="42" t="n">
        <x:f>IF(OR(M47&lt;&gt;"Scheduled",INDEX('Team and Gates'!$C$7:$C$11,MATCH($D47,'Team and Gates'!$A$7:$A$11,0))=""),"CHECK",SUM(N47:AD47)*INDEX('Team and Gates'!$C$7:$C$11,MATCH($D47,'Team and Gates'!$A$7:$A$11,0)))</x:f>
        <x:v>1440</x:v>
      </x:c>
      <x:c r="AF47" s="43" t="str">
        <x:v>QA runs the holdout; DS reports errors and evidence against agreed thresholds.</x:v>
      </x:c>
      <x:c r="AG47" s="43" t="str"/>
    </x:row>
    <x:row r="48" ht="36" customHeight="1">
      <x:c r="A48" s="2" t="str">
        <x:v>S11</x:v>
      </x:c>
      <x:c r="B48" s="2" t="str">
        <x:v>Model quality</x:v>
      </x:c>
      <x:c r="C48" s="2" t="str">
        <x:v>UAT error analysis, latency and cost review</x:v>
      </x:c>
      <x:c r="D48" s="24" t="str">
        <x:v>DS</x:v>
      </x:c>
      <x:c r="E48" s="2" t="str">
        <x:v>S10</x:v>
      </x:c>
      <x:c r="F48" s="47" t="n">
        <x:v>56</x:v>
      </x:c>
      <x:c r="G48" s="47" t="n">
        <x:v>5</x:v>
      </x:c>
      <x:c r="H48" s="48" t="n">
        <x:v>3</x:v>
      </x:c>
      <x:c r="I48" s="2" t="n">
        <x:f>IF(OR(F48="",G48=""),"",F48+G48-1)</x:f>
        <x:v>60</x:v>
      </x:c>
      <x:c r="J48" s="5" t="n">
        <x:f>IF(OR(F48="",F48&lt;1,F48&gt;Calendar!$B$9),"",INDEX(Calendar!$A$16:$A$134,MATCH(F48,Calendar!$D$16:$D$134,0)))</x:f>
        <x:v>46405</x:v>
      </x:c>
      <x:c r="K48" s="5" t="n">
        <x:f>IF(OR(I48="",I48&lt;1,I48&gt;Calendar!$B$9),"",INDEX(Calendar!$A$16:$A$134,MATCH(I48,Calendar!$D$16:$D$134,0)))</x:f>
        <x:v>46409</x:v>
      </x:c>
      <x:c r="L48" s="50" t="n">
        <x:v>0</x:v>
      </x:c>
      <x:c r="M48" s="2" t="str">
        <x:f>IF(OR(F48="",G48="",H48=""),"Missing input",IF(OR(F48&lt;1,G48&lt;1,I48&gt;Calendar!$B$9),"Outside calendar",IF(F48&lt;MAX(INDEX($I$8:$I$85,MATCH("S10",$A$8:$A$85,0))+1),"Dependency conflict","Scheduled")))</x:f>
        <x:v>Scheduled</x:v>
      </x:c>
      <x:c r="N48" s="44" t="n">
        <x:f>IF(OR($J48="",$K48=""),"",IF(SUMIFS(Calendar!$C$16:$C$134,Calendar!$A$16:$A$134,"&gt;="&amp;MAX(N$7,$J48),Calendar!$A$16:$A$134,"&lt;="&amp;MIN(N$7+4,$K48))=0,0,IF($H48="","EXT",SUMIFS(Calendar!$C$16:$C$134,Calendar!$A$16:$A$134,"&gt;="&amp;MAX(N$7,$J48),Calendar!$A$16:$A$134,"&lt;="&amp;MIN(N$7+4,$K48))*$H48/$G48)))</x:f>
        <x:v>0</x:v>
      </x:c>
      <x:c r="O48" s="44" t="n">
        <x:f>IF(OR($J48="",$K48=""),"",IF(SUMIFS(Calendar!$C$16:$C$134,Calendar!$A$16:$A$134,"&gt;="&amp;MAX(O$7,$J48),Calendar!$A$16:$A$134,"&lt;="&amp;MIN(O$7+4,$K48))=0,0,IF($H48="","EXT",SUMIFS(Calendar!$C$16:$C$134,Calendar!$A$16:$A$134,"&gt;="&amp;MAX(O$7,$J48),Calendar!$A$16:$A$134,"&lt;="&amp;MIN(O$7+4,$K48))*$H48/$G48)))</x:f>
        <x:v>0</x:v>
      </x:c>
      <x:c r="P48" s="44" t="n">
        <x:f>IF(OR($J48="",$K48=""),"",IF(SUMIFS(Calendar!$C$16:$C$134,Calendar!$A$16:$A$134,"&gt;="&amp;MAX(P$7,$J48),Calendar!$A$16:$A$134,"&lt;="&amp;MIN(P$7+4,$K48))=0,0,IF($H48="","EXT",SUMIFS(Calendar!$C$16:$C$134,Calendar!$A$16:$A$134,"&gt;="&amp;MAX(P$7,$J48),Calendar!$A$16:$A$134,"&lt;="&amp;MIN(P$7+4,$K48))*$H48/$G48)))</x:f>
        <x:v>0</x:v>
      </x:c>
      <x:c r="Q48" s="44" t="n">
        <x:f>IF(OR($J48="",$K48=""),"",IF(SUMIFS(Calendar!$C$16:$C$134,Calendar!$A$16:$A$134,"&gt;="&amp;MAX(Q$7,$J48),Calendar!$A$16:$A$134,"&lt;="&amp;MIN(Q$7+4,$K48))=0,0,IF($H48="","EXT",SUMIFS(Calendar!$C$16:$C$134,Calendar!$A$16:$A$134,"&gt;="&amp;MAX(Q$7,$J48),Calendar!$A$16:$A$134,"&lt;="&amp;MIN(Q$7+4,$K48))*$H48/$G48)))</x:f>
        <x:v>0</x:v>
      </x:c>
      <x:c r="R48" s="44" t="n">
        <x:f>IF(OR($J48="",$K48=""),"",IF(SUMIFS(Calendar!$C$16:$C$134,Calendar!$A$16:$A$134,"&gt;="&amp;MAX(R$7,$J48),Calendar!$A$16:$A$134,"&lt;="&amp;MIN(R$7+4,$K48))=0,0,IF($H48="","EXT",SUMIFS(Calendar!$C$16:$C$134,Calendar!$A$16:$A$134,"&gt;="&amp;MAX(R$7,$J48),Calendar!$A$16:$A$134,"&lt;="&amp;MIN(R$7+4,$K48))*$H48/$G48)))</x:f>
        <x:v>0</x:v>
      </x:c>
      <x:c r="S48" s="44" t="n">
        <x:f>IF(OR($J48="",$K48=""),"",IF(SUMIFS(Calendar!$C$16:$C$134,Calendar!$A$16:$A$134,"&gt;="&amp;MAX(S$7,$J48),Calendar!$A$16:$A$134,"&lt;="&amp;MIN(S$7+4,$K48))=0,0,IF($H48="","EXT",SUMIFS(Calendar!$C$16:$C$134,Calendar!$A$16:$A$134,"&gt;="&amp;MAX(S$7,$J48),Calendar!$A$16:$A$134,"&lt;="&amp;MIN(S$7+4,$K48))*$H48/$G48)))</x:f>
        <x:v>0</x:v>
      </x:c>
      <x:c r="T48" s="44" t="n">
        <x:f>IF(OR($J48="",$K48=""),"",IF(SUMIFS(Calendar!$C$16:$C$134,Calendar!$A$16:$A$134,"&gt;="&amp;MAX(T$7,$J48),Calendar!$A$16:$A$134,"&lt;="&amp;MIN(T$7+4,$K48))=0,0,IF($H48="","EXT",SUMIFS(Calendar!$C$16:$C$134,Calendar!$A$16:$A$134,"&gt;="&amp;MAX(T$7,$J48),Calendar!$A$16:$A$134,"&lt;="&amp;MIN(T$7+4,$K48))*$H48/$G48)))</x:f>
        <x:v>0</x:v>
      </x:c>
      <x:c r="U48" s="44" t="n">
        <x:f>IF(OR($J48="",$K48=""),"",IF(SUMIFS(Calendar!$C$16:$C$134,Calendar!$A$16:$A$134,"&gt;="&amp;MAX(U$7,$J48),Calendar!$A$16:$A$134,"&lt;="&amp;MIN(U$7+4,$K48))=0,0,IF($H48="","EXT",SUMIFS(Calendar!$C$16:$C$134,Calendar!$A$16:$A$134,"&gt;="&amp;MAX(U$7,$J48),Calendar!$A$16:$A$134,"&lt;="&amp;MIN(U$7+4,$K48))*$H48/$G48)))</x:f>
        <x:v>0</x:v>
      </x:c>
      <x:c r="V48" s="44" t="n">
        <x:f>IF(OR($J48="",$K48=""),"",IF(SUMIFS(Calendar!$C$16:$C$134,Calendar!$A$16:$A$134,"&gt;="&amp;MAX(V$7,$J48),Calendar!$A$16:$A$134,"&lt;="&amp;MIN(V$7+4,$K48))=0,0,IF($H48="","EXT",SUMIFS(Calendar!$C$16:$C$134,Calendar!$A$16:$A$134,"&gt;="&amp;MAX(V$7,$J48),Calendar!$A$16:$A$134,"&lt;="&amp;MIN(V$7+4,$K48))*$H48/$G48)))</x:f>
        <x:v>0</x:v>
      </x:c>
      <x:c r="W48" s="44" t="n">
        <x:f>IF(OR($J48="",$K48=""),"",IF(SUMIFS(Calendar!$C$16:$C$134,Calendar!$A$16:$A$134,"&gt;="&amp;MAX(W$7,$J48),Calendar!$A$16:$A$134,"&lt;="&amp;MIN(W$7+4,$K48))=0,0,IF($H48="","EXT",SUMIFS(Calendar!$C$16:$C$134,Calendar!$A$16:$A$134,"&gt;="&amp;MAX(W$7,$J48),Calendar!$A$16:$A$134,"&lt;="&amp;MIN(W$7+4,$K48))*$H48/$G48)))</x:f>
        <x:v>0</x:v>
      </x:c>
      <x:c r="X48" s="44" t="n">
        <x:f>IF(OR($J48="",$K48=""),"",IF(SUMIFS(Calendar!$C$16:$C$134,Calendar!$A$16:$A$134,"&gt;="&amp;MAX(X$7,$J48),Calendar!$A$16:$A$134,"&lt;="&amp;MIN(X$7+4,$K48))=0,0,IF($H48="","EXT",SUMIFS(Calendar!$C$16:$C$134,Calendar!$A$16:$A$134,"&gt;="&amp;MAX(X$7,$J48),Calendar!$A$16:$A$134,"&lt;="&amp;MIN(X$7+4,$K48))*$H48/$G48)))</x:f>
        <x:v>0</x:v>
      </x:c>
      <x:c r="Y48" s="44" t="n">
        <x:f>IF(OR($J48="",$K48=""),"",IF(SUMIFS(Calendar!$C$16:$C$134,Calendar!$A$16:$A$134,"&gt;="&amp;MAX(Y$7,$J48),Calendar!$A$16:$A$134,"&lt;="&amp;MIN(Y$7+4,$K48))=0,0,IF($H48="","EXT",SUMIFS(Calendar!$C$16:$C$134,Calendar!$A$16:$A$134,"&gt;="&amp;MAX(Y$7,$J48),Calendar!$A$16:$A$134,"&lt;="&amp;MIN(Y$7+4,$K48))*$H48/$G48)))</x:f>
        <x:v>3</x:v>
      </x:c>
      <x:c r="Z48" s="44" t="n">
        <x:f>IF(OR($J48="",$K48=""),"",IF(SUMIFS(Calendar!$C$16:$C$134,Calendar!$A$16:$A$134,"&gt;="&amp;MAX(Z$7,$J48),Calendar!$A$16:$A$134,"&lt;="&amp;MIN(Z$7+4,$K48))=0,0,IF($H48="","EXT",SUMIFS(Calendar!$C$16:$C$134,Calendar!$A$16:$A$134,"&gt;="&amp;MAX(Z$7,$J48),Calendar!$A$16:$A$134,"&lt;="&amp;MIN(Z$7+4,$K48))*$H48/$G48)))</x:f>
        <x:v>0</x:v>
      </x:c>
      <x:c r="AA48" s="44" t="n">
        <x:f>IF(OR($J48="",$K48=""),"",IF(SUMIFS(Calendar!$C$16:$C$134,Calendar!$A$16:$A$134,"&gt;="&amp;MAX(AA$7,$J48),Calendar!$A$16:$A$134,"&lt;="&amp;MIN(AA$7+4,$K48))=0,0,IF($H48="","EXT",SUMIFS(Calendar!$C$16:$C$134,Calendar!$A$16:$A$134,"&gt;="&amp;MAX(AA$7,$J48),Calendar!$A$16:$A$134,"&lt;="&amp;MIN(AA$7+4,$K48))*$H48/$G48)))</x:f>
        <x:v>0</x:v>
      </x:c>
      <x:c r="AB48" s="44" t="n">
        <x:f>IF(OR($J48="",$K48=""),"",IF(SUMIFS(Calendar!$C$16:$C$134,Calendar!$A$16:$A$134,"&gt;="&amp;MAX(AB$7,$J48),Calendar!$A$16:$A$134,"&lt;="&amp;MIN(AB$7+4,$K48))=0,0,IF($H48="","EXT",SUMIFS(Calendar!$C$16:$C$134,Calendar!$A$16:$A$134,"&gt;="&amp;MAX(AB$7,$J48),Calendar!$A$16:$A$134,"&lt;="&amp;MIN(AB$7+4,$K48))*$H48/$G48)))</x:f>
        <x:v>0</x:v>
      </x:c>
      <x:c r="AC48" s="44" t="n">
        <x:f>IF(OR($J48="",$K48=""),"",IF(SUMIFS(Calendar!$C$16:$C$134,Calendar!$A$16:$A$134,"&gt;="&amp;MAX(AC$7,$J48),Calendar!$A$16:$A$134,"&lt;="&amp;MIN(AC$7+4,$K48))=0,0,IF($H48="","EXT",SUMIFS(Calendar!$C$16:$C$134,Calendar!$A$16:$A$134,"&gt;="&amp;MAX(AC$7,$J48),Calendar!$A$16:$A$134,"&lt;="&amp;MIN(AC$7+4,$K48))*$H48/$G48)))</x:f>
        <x:v>0</x:v>
      </x:c>
      <x:c r="AD48" s="44" t="n">
        <x:f>IF(OR($J48="",$K48=""),"",IF(SUMIFS(Calendar!$C$16:$C$134,Calendar!$A$16:$A$134,"&gt;="&amp;MAX(AD$7,$J48),Calendar!$A$16:$A$134,"&lt;="&amp;MIN(AD$7+4,$K48))=0,0,IF($H48="","EXT",SUMIFS(Calendar!$C$16:$C$134,Calendar!$A$16:$A$134,"&gt;="&amp;MAX(AD$7,$J48),Calendar!$A$16:$A$134,"&lt;="&amp;MIN(AD$7+4,$K48))*$H48/$G48)))</x:f>
        <x:v>0</x:v>
      </x:c>
      <x:c r="AE48" s="42" t="n">
        <x:f>IF(OR(M48&lt;&gt;"Scheduled",INDEX('Team and Gates'!$C$7:$C$11,MATCH($D48,'Team and Gates'!$A$7:$A$11,0))=""),"CHECK",SUM(N48:AD48)*INDEX('Team and Gates'!$C$7:$C$11,MATCH($D48,'Team and Gates'!$A$7:$A$11,0)))</x:f>
        <x:v>1080</x:v>
      </x:c>
      <x:c r="AF48" s="43" t="str">
        <x:v>New findings reproduce in dev data; changes trigger affected re-evaluation.</x:v>
      </x:c>
      <x:c r="AG48" s="43" t="str">
        <x:v>No model-weight fine-tuning is assumed.</x:v>
      </x:c>
    </x:row>
    <x:row r="49" ht="36" customHeight="1">
      <x:c r="A49" s="35" t="str">
        <x:v>S12</x:v>
      </x:c>
      <x:c r="B49" s="35" t="str">
        <x:v>Model quality</x:v>
      </x:c>
      <x:c r="C49" s="35" t="str">
        <x:v>Final model fixes and business acceptance support</x:v>
      </x:c>
      <x:c r="D49" s="24" t="str">
        <x:v>DS</x:v>
      </x:c>
      <x:c r="E49" s="35" t="str">
        <x:v>S11, U11</x:v>
      </x:c>
      <x:c r="F49" s="47" t="n">
        <x:v>61</x:v>
      </x:c>
      <x:c r="G49" s="47" t="n">
        <x:v>5</x:v>
      </x:c>
      <x:c r="H49" s="48" t="n">
        <x:v>3</x:v>
      </x:c>
      <x:c r="I49" s="35" t="n">
        <x:f>IF(OR(F49="",G49=""),"",F49+G49-1)</x:f>
        <x:v>65</x:v>
      </x:c>
      <x:c r="J49" s="37" t="n">
        <x:f>IF(OR(F49="",F49&lt;1,F49&gt;Calendar!$B$9),"",INDEX(Calendar!$A$16:$A$134,MATCH(F49,Calendar!$D$16:$D$134,0)))</x:f>
        <x:v>46412</x:v>
      </x:c>
      <x:c r="K49" s="37" t="n">
        <x:f>IF(OR(I49="",I49&lt;1,I49&gt;Calendar!$B$9),"",INDEX(Calendar!$A$16:$A$134,MATCH(I49,Calendar!$D$16:$D$134,0)))</x:f>
        <x:v>46416</x:v>
      </x:c>
      <x:c r="L49" s="50" t="n">
        <x:v>0</x:v>
      </x:c>
      <x:c r="M49" s="35" t="str">
        <x:f>IF(OR(F49="",G49="",H49=""),"Missing input",IF(OR(F49&lt;1,G49&lt;1,I49&gt;Calendar!$B$9),"Outside calendar",IF(F49&lt;MAX(INDEX($I$8:$I$85,MATCH("S11",$A$8:$A$85,0))+1,INDEX($I$8:$I$85,MATCH("U11",$A$8:$A$85,0))+1),"Dependency conflict","Scheduled")))</x:f>
        <x:v>Scheduled</x:v>
      </x:c>
      <x:c r="N49" s="44" t="n">
        <x:f>IF(OR($J49="",$K49=""),"",IF(SUMIFS(Calendar!$C$16:$C$134,Calendar!$A$16:$A$134,"&gt;="&amp;MAX(N$7,$J49),Calendar!$A$16:$A$134,"&lt;="&amp;MIN(N$7+4,$K49))=0,0,IF($H49="","EXT",SUMIFS(Calendar!$C$16:$C$134,Calendar!$A$16:$A$134,"&gt;="&amp;MAX(N$7,$J49),Calendar!$A$16:$A$134,"&lt;="&amp;MIN(N$7+4,$K49))*$H49/$G49)))</x:f>
        <x:v>0</x:v>
      </x:c>
      <x:c r="O49" s="44" t="n">
        <x:f>IF(OR($J49="",$K49=""),"",IF(SUMIFS(Calendar!$C$16:$C$134,Calendar!$A$16:$A$134,"&gt;="&amp;MAX(O$7,$J49),Calendar!$A$16:$A$134,"&lt;="&amp;MIN(O$7+4,$K49))=0,0,IF($H49="","EXT",SUMIFS(Calendar!$C$16:$C$134,Calendar!$A$16:$A$134,"&gt;="&amp;MAX(O$7,$J49),Calendar!$A$16:$A$134,"&lt;="&amp;MIN(O$7+4,$K49))*$H49/$G49)))</x:f>
        <x:v>0</x:v>
      </x:c>
      <x:c r="P49" s="44" t="n">
        <x:f>IF(OR($J49="",$K49=""),"",IF(SUMIFS(Calendar!$C$16:$C$134,Calendar!$A$16:$A$134,"&gt;="&amp;MAX(P$7,$J49),Calendar!$A$16:$A$134,"&lt;="&amp;MIN(P$7+4,$K49))=0,0,IF($H49="","EXT",SUMIFS(Calendar!$C$16:$C$134,Calendar!$A$16:$A$134,"&gt;="&amp;MAX(P$7,$J49),Calendar!$A$16:$A$134,"&lt;="&amp;MIN(P$7+4,$K49))*$H49/$G49)))</x:f>
        <x:v>0</x:v>
      </x:c>
      <x:c r="Q49" s="44" t="n">
        <x:f>IF(OR($J49="",$K49=""),"",IF(SUMIFS(Calendar!$C$16:$C$134,Calendar!$A$16:$A$134,"&gt;="&amp;MAX(Q$7,$J49),Calendar!$A$16:$A$134,"&lt;="&amp;MIN(Q$7+4,$K49))=0,0,IF($H49="","EXT",SUMIFS(Calendar!$C$16:$C$134,Calendar!$A$16:$A$134,"&gt;="&amp;MAX(Q$7,$J49),Calendar!$A$16:$A$134,"&lt;="&amp;MIN(Q$7+4,$K49))*$H49/$G49)))</x:f>
        <x:v>0</x:v>
      </x:c>
      <x:c r="R49" s="44" t="n">
        <x:f>IF(OR($J49="",$K49=""),"",IF(SUMIFS(Calendar!$C$16:$C$134,Calendar!$A$16:$A$134,"&gt;="&amp;MAX(R$7,$J49),Calendar!$A$16:$A$134,"&lt;="&amp;MIN(R$7+4,$K49))=0,0,IF($H49="","EXT",SUMIFS(Calendar!$C$16:$C$134,Calendar!$A$16:$A$134,"&gt;="&amp;MAX(R$7,$J49),Calendar!$A$16:$A$134,"&lt;="&amp;MIN(R$7+4,$K49))*$H49/$G49)))</x:f>
        <x:v>0</x:v>
      </x:c>
      <x:c r="S49" s="44" t="n">
        <x:f>IF(OR($J49="",$K49=""),"",IF(SUMIFS(Calendar!$C$16:$C$134,Calendar!$A$16:$A$134,"&gt;="&amp;MAX(S$7,$J49),Calendar!$A$16:$A$134,"&lt;="&amp;MIN(S$7+4,$K49))=0,0,IF($H49="","EXT",SUMIFS(Calendar!$C$16:$C$134,Calendar!$A$16:$A$134,"&gt;="&amp;MAX(S$7,$J49),Calendar!$A$16:$A$134,"&lt;="&amp;MIN(S$7+4,$K49))*$H49/$G49)))</x:f>
        <x:v>0</x:v>
      </x:c>
      <x:c r="T49" s="44" t="n">
        <x:f>IF(OR($J49="",$K49=""),"",IF(SUMIFS(Calendar!$C$16:$C$134,Calendar!$A$16:$A$134,"&gt;="&amp;MAX(T$7,$J49),Calendar!$A$16:$A$134,"&lt;="&amp;MIN(T$7+4,$K49))=0,0,IF($H49="","EXT",SUMIFS(Calendar!$C$16:$C$134,Calendar!$A$16:$A$134,"&gt;="&amp;MAX(T$7,$J49),Calendar!$A$16:$A$134,"&lt;="&amp;MIN(T$7+4,$K49))*$H49/$G49)))</x:f>
        <x:v>0</x:v>
      </x:c>
      <x:c r="U49" s="44" t="n">
        <x:f>IF(OR($J49="",$K49=""),"",IF(SUMIFS(Calendar!$C$16:$C$134,Calendar!$A$16:$A$134,"&gt;="&amp;MAX(U$7,$J49),Calendar!$A$16:$A$134,"&lt;="&amp;MIN(U$7+4,$K49))=0,0,IF($H49="","EXT",SUMIFS(Calendar!$C$16:$C$134,Calendar!$A$16:$A$134,"&gt;="&amp;MAX(U$7,$J49),Calendar!$A$16:$A$134,"&lt;="&amp;MIN(U$7+4,$K49))*$H49/$G49)))</x:f>
        <x:v>0</x:v>
      </x:c>
      <x:c r="V49" s="44" t="n">
        <x:f>IF(OR($J49="",$K49=""),"",IF(SUMIFS(Calendar!$C$16:$C$134,Calendar!$A$16:$A$134,"&gt;="&amp;MAX(V$7,$J49),Calendar!$A$16:$A$134,"&lt;="&amp;MIN(V$7+4,$K49))=0,0,IF($H49="","EXT",SUMIFS(Calendar!$C$16:$C$134,Calendar!$A$16:$A$134,"&gt;="&amp;MAX(V$7,$J49),Calendar!$A$16:$A$134,"&lt;="&amp;MIN(V$7+4,$K49))*$H49/$G49)))</x:f>
        <x:v>0</x:v>
      </x:c>
      <x:c r="W49" s="44" t="n">
        <x:f>IF(OR($J49="",$K49=""),"",IF(SUMIFS(Calendar!$C$16:$C$134,Calendar!$A$16:$A$134,"&gt;="&amp;MAX(W$7,$J49),Calendar!$A$16:$A$134,"&lt;="&amp;MIN(W$7+4,$K49))=0,0,IF($H49="","EXT",SUMIFS(Calendar!$C$16:$C$134,Calendar!$A$16:$A$134,"&gt;="&amp;MAX(W$7,$J49),Calendar!$A$16:$A$134,"&lt;="&amp;MIN(W$7+4,$K49))*$H49/$G49)))</x:f>
        <x:v>0</x:v>
      </x:c>
      <x:c r="X49" s="44" t="n">
        <x:f>IF(OR($J49="",$K49=""),"",IF(SUMIFS(Calendar!$C$16:$C$134,Calendar!$A$16:$A$134,"&gt;="&amp;MAX(X$7,$J49),Calendar!$A$16:$A$134,"&lt;="&amp;MIN(X$7+4,$K49))=0,0,IF($H49="","EXT",SUMIFS(Calendar!$C$16:$C$134,Calendar!$A$16:$A$134,"&gt;="&amp;MAX(X$7,$J49),Calendar!$A$16:$A$134,"&lt;="&amp;MIN(X$7+4,$K49))*$H49/$G49)))</x:f>
        <x:v>0</x:v>
      </x:c>
      <x:c r="Y49" s="44" t="n">
        <x:f>IF(OR($J49="",$K49=""),"",IF(SUMIFS(Calendar!$C$16:$C$134,Calendar!$A$16:$A$134,"&gt;="&amp;MAX(Y$7,$J49),Calendar!$A$16:$A$134,"&lt;="&amp;MIN(Y$7+4,$K49))=0,0,IF($H49="","EXT",SUMIFS(Calendar!$C$16:$C$134,Calendar!$A$16:$A$134,"&gt;="&amp;MAX(Y$7,$J49),Calendar!$A$16:$A$134,"&lt;="&amp;MIN(Y$7+4,$K49))*$H49/$G49)))</x:f>
        <x:v>0</x:v>
      </x:c>
      <x:c r="Z49" s="44" t="n">
        <x:f>IF(OR($J49="",$K49=""),"",IF(SUMIFS(Calendar!$C$16:$C$134,Calendar!$A$16:$A$134,"&gt;="&amp;MAX(Z$7,$J49),Calendar!$A$16:$A$134,"&lt;="&amp;MIN(Z$7+4,$K49))=0,0,IF($H49="","EXT",SUMIFS(Calendar!$C$16:$C$134,Calendar!$A$16:$A$134,"&gt;="&amp;MAX(Z$7,$J49),Calendar!$A$16:$A$134,"&lt;="&amp;MIN(Z$7+4,$K49))*$H49/$G49)))</x:f>
        <x:v>3</x:v>
      </x:c>
      <x:c r="AA49" s="44" t="n">
        <x:f>IF(OR($J49="",$K49=""),"",IF(SUMIFS(Calendar!$C$16:$C$134,Calendar!$A$16:$A$134,"&gt;="&amp;MAX(AA$7,$J49),Calendar!$A$16:$A$134,"&lt;="&amp;MIN(AA$7+4,$K49))=0,0,IF($H49="","EXT",SUMIFS(Calendar!$C$16:$C$134,Calendar!$A$16:$A$134,"&gt;="&amp;MAX(AA$7,$J49),Calendar!$A$16:$A$134,"&lt;="&amp;MIN(AA$7+4,$K49))*$H49/$G49)))</x:f>
        <x:v>0</x:v>
      </x:c>
      <x:c r="AB49" s="44" t="n">
        <x:f>IF(OR($J49="",$K49=""),"",IF(SUMIFS(Calendar!$C$16:$C$134,Calendar!$A$16:$A$134,"&gt;="&amp;MAX(AB$7,$J49),Calendar!$A$16:$A$134,"&lt;="&amp;MIN(AB$7+4,$K49))=0,0,IF($H49="","EXT",SUMIFS(Calendar!$C$16:$C$134,Calendar!$A$16:$A$134,"&gt;="&amp;MAX(AB$7,$J49),Calendar!$A$16:$A$134,"&lt;="&amp;MIN(AB$7+4,$K49))*$H49/$G49)))</x:f>
        <x:v>0</x:v>
      </x:c>
      <x:c r="AC49" s="44" t="n">
        <x:f>IF(OR($J49="",$K49=""),"",IF(SUMIFS(Calendar!$C$16:$C$134,Calendar!$A$16:$A$134,"&gt;="&amp;MAX(AC$7,$J49),Calendar!$A$16:$A$134,"&lt;="&amp;MIN(AC$7+4,$K49))=0,0,IF($H49="","EXT",SUMIFS(Calendar!$C$16:$C$134,Calendar!$A$16:$A$134,"&gt;="&amp;MAX(AC$7,$J49),Calendar!$A$16:$A$134,"&lt;="&amp;MIN(AC$7+4,$K49))*$H49/$G49)))</x:f>
        <x:v>0</x:v>
      </x:c>
      <x:c r="AD49" s="44" t="n">
        <x:f>IF(OR($J49="",$K49=""),"",IF(SUMIFS(Calendar!$C$16:$C$134,Calendar!$A$16:$A$134,"&gt;="&amp;MAX(AD$7,$J49),Calendar!$A$16:$A$134,"&lt;="&amp;MIN(AD$7+4,$K49))=0,0,IF($H49="","EXT",SUMIFS(Calendar!$C$16:$C$134,Calendar!$A$16:$A$134,"&gt;="&amp;MAX(AD$7,$J49),Calendar!$A$16:$A$134,"&lt;="&amp;MIN(AD$7+4,$K49))*$H49/$G49)))</x:f>
        <x:v>0</x:v>
      </x:c>
      <x:c r="AE49" s="42" t="n">
        <x:f>IF(OR(M49&lt;&gt;"Scheduled",INDEX('Team and Gates'!$C$7:$C$11,MATCH($D49,'Team and Gates'!$A$7:$A$11,0))=""),"CHECK",SUM(N49:AD49)*INDEX('Team and Gates'!$C$7:$C$11,MATCH($D49,'Team and Gates'!$A$7:$A$11,0)))</x:f>
        <x:v>1080</x:v>
      </x:c>
      <x:c r="AF49" s="43" t="str">
        <x:v>Accepted model/prompt candidates and fallback artifacts are traceable.</x:v>
      </x:c>
      <x:c r="AG49" s="43" t="str">
        <x:v>Do not tune on holdout answers.</x:v>
      </x:c>
    </x:row>
    <x:row r="50" ht="36" customHeight="1">
      <x:c r="A50" s="2" t="str">
        <x:v>S13</x:v>
      </x:c>
      <x:c r="B50" s="2" t="str">
        <x:v>Model quality</x:v>
      </x:c>
      <x:c r="C50" s="2" t="str">
        <x:v>Pre-holiday model configuration lock</x:v>
      </x:c>
      <x:c r="D50" s="24" t="str">
        <x:v>DS</x:v>
      </x:c>
      <x:c r="E50" s="2" t="str">
        <x:v>S12</x:v>
      </x:c>
      <x:c r="F50" s="47" t="n">
        <x:v>66</x:v>
      </x:c>
      <x:c r="G50" s="47" t="n">
        <x:v>2</x:v>
      </x:c>
      <x:c r="H50" s="48" t="n">
        <x:v>1</x:v>
      </x:c>
      <x:c r="I50" s="2" t="n">
        <x:f>IF(OR(F50="",G50=""),"",F50+G50-1)</x:f>
        <x:v>67</x:v>
      </x:c>
      <x:c r="J50" s="5" t="n">
        <x:f>IF(OR(F50="",F50&lt;1,F50&gt;Calendar!$B$9),"",INDEX(Calendar!$A$16:$A$134,MATCH(F50,Calendar!$D$16:$D$134,0)))</x:f>
        <x:v>46419</x:v>
      </x:c>
      <x:c r="K50" s="5" t="n">
        <x:f>IF(OR(I50="",I50&lt;1,I50&gt;Calendar!$B$9),"",INDEX(Calendar!$A$16:$A$134,MATCH(I50,Calendar!$D$16:$D$134,0)))</x:f>
        <x:v>46420</x:v>
      </x:c>
      <x:c r="L50" s="50" t="n">
        <x:v>0</x:v>
      </x:c>
      <x:c r="M50" s="2" t="str">
        <x:f>IF(OR(F50="",G50="",H50=""),"Missing input",IF(OR(F50&lt;1,G50&lt;1,I50&gt;Calendar!$B$9),"Outside calendar",IF(F50&lt;MAX(INDEX($I$8:$I$85,MATCH("S12",$A$8:$A$85,0))+1),"Dependency conflict","Scheduled")))</x:f>
        <x:v>Scheduled</x:v>
      </x:c>
      <x:c r="N50" s="44" t="n">
        <x:f>IF(OR($J50="",$K50=""),"",IF(SUMIFS(Calendar!$C$16:$C$134,Calendar!$A$16:$A$134,"&gt;="&amp;MAX(N$7,$J50),Calendar!$A$16:$A$134,"&lt;="&amp;MIN(N$7+4,$K50))=0,0,IF($H50="","EXT",SUMIFS(Calendar!$C$16:$C$134,Calendar!$A$16:$A$134,"&gt;="&amp;MAX(N$7,$J50),Calendar!$A$16:$A$134,"&lt;="&amp;MIN(N$7+4,$K50))*$H50/$G50)))</x:f>
        <x:v>0</x:v>
      </x:c>
      <x:c r="O50" s="44" t="n">
        <x:f>IF(OR($J50="",$K50=""),"",IF(SUMIFS(Calendar!$C$16:$C$134,Calendar!$A$16:$A$134,"&gt;="&amp;MAX(O$7,$J50),Calendar!$A$16:$A$134,"&lt;="&amp;MIN(O$7+4,$K50))=0,0,IF($H50="","EXT",SUMIFS(Calendar!$C$16:$C$134,Calendar!$A$16:$A$134,"&gt;="&amp;MAX(O$7,$J50),Calendar!$A$16:$A$134,"&lt;="&amp;MIN(O$7+4,$K50))*$H50/$G50)))</x:f>
        <x:v>0</x:v>
      </x:c>
      <x:c r="P50" s="44" t="n">
        <x:f>IF(OR($J50="",$K50=""),"",IF(SUMIFS(Calendar!$C$16:$C$134,Calendar!$A$16:$A$134,"&gt;="&amp;MAX(P$7,$J50),Calendar!$A$16:$A$134,"&lt;="&amp;MIN(P$7+4,$K50))=0,0,IF($H50="","EXT",SUMIFS(Calendar!$C$16:$C$134,Calendar!$A$16:$A$134,"&gt;="&amp;MAX(P$7,$J50),Calendar!$A$16:$A$134,"&lt;="&amp;MIN(P$7+4,$K50))*$H50/$G50)))</x:f>
        <x:v>0</x:v>
      </x:c>
      <x:c r="Q50" s="44" t="n">
        <x:f>IF(OR($J50="",$K50=""),"",IF(SUMIFS(Calendar!$C$16:$C$134,Calendar!$A$16:$A$134,"&gt;="&amp;MAX(Q$7,$J50),Calendar!$A$16:$A$134,"&lt;="&amp;MIN(Q$7+4,$K50))=0,0,IF($H50="","EXT",SUMIFS(Calendar!$C$16:$C$134,Calendar!$A$16:$A$134,"&gt;="&amp;MAX(Q$7,$J50),Calendar!$A$16:$A$134,"&lt;="&amp;MIN(Q$7+4,$K50))*$H50/$G50)))</x:f>
        <x:v>0</x:v>
      </x:c>
      <x:c r="R50" s="44" t="n">
        <x:f>IF(OR($J50="",$K50=""),"",IF(SUMIFS(Calendar!$C$16:$C$134,Calendar!$A$16:$A$134,"&gt;="&amp;MAX(R$7,$J50),Calendar!$A$16:$A$134,"&lt;="&amp;MIN(R$7+4,$K50))=0,0,IF($H50="","EXT",SUMIFS(Calendar!$C$16:$C$134,Calendar!$A$16:$A$134,"&gt;="&amp;MAX(R$7,$J50),Calendar!$A$16:$A$134,"&lt;="&amp;MIN(R$7+4,$K50))*$H50/$G50)))</x:f>
        <x:v>0</x:v>
      </x:c>
      <x:c r="S50" s="44" t="n">
        <x:f>IF(OR($J50="",$K50=""),"",IF(SUMIFS(Calendar!$C$16:$C$134,Calendar!$A$16:$A$134,"&gt;="&amp;MAX(S$7,$J50),Calendar!$A$16:$A$134,"&lt;="&amp;MIN(S$7+4,$K50))=0,0,IF($H50="","EXT",SUMIFS(Calendar!$C$16:$C$134,Calendar!$A$16:$A$134,"&gt;="&amp;MAX(S$7,$J50),Calendar!$A$16:$A$134,"&lt;="&amp;MIN(S$7+4,$K50))*$H50/$G50)))</x:f>
        <x:v>0</x:v>
      </x:c>
      <x:c r="T50" s="44" t="n">
        <x:f>IF(OR($J50="",$K50=""),"",IF(SUMIFS(Calendar!$C$16:$C$134,Calendar!$A$16:$A$134,"&gt;="&amp;MAX(T$7,$J50),Calendar!$A$16:$A$134,"&lt;="&amp;MIN(T$7+4,$K50))=0,0,IF($H50="","EXT",SUMIFS(Calendar!$C$16:$C$134,Calendar!$A$16:$A$134,"&gt;="&amp;MAX(T$7,$J50),Calendar!$A$16:$A$134,"&lt;="&amp;MIN(T$7+4,$K50))*$H50/$G50)))</x:f>
        <x:v>0</x:v>
      </x:c>
      <x:c r="U50" s="44" t="n">
        <x:f>IF(OR($J50="",$K50=""),"",IF(SUMIFS(Calendar!$C$16:$C$134,Calendar!$A$16:$A$134,"&gt;="&amp;MAX(U$7,$J50),Calendar!$A$16:$A$134,"&lt;="&amp;MIN(U$7+4,$K50))=0,0,IF($H50="","EXT",SUMIFS(Calendar!$C$16:$C$134,Calendar!$A$16:$A$134,"&gt;="&amp;MAX(U$7,$J50),Calendar!$A$16:$A$134,"&lt;="&amp;MIN(U$7+4,$K50))*$H50/$G50)))</x:f>
        <x:v>0</x:v>
      </x:c>
      <x:c r="V50" s="44" t="n">
        <x:f>IF(OR($J50="",$K50=""),"",IF(SUMIFS(Calendar!$C$16:$C$134,Calendar!$A$16:$A$134,"&gt;="&amp;MAX(V$7,$J50),Calendar!$A$16:$A$134,"&lt;="&amp;MIN(V$7+4,$K50))=0,0,IF($H50="","EXT",SUMIFS(Calendar!$C$16:$C$134,Calendar!$A$16:$A$134,"&gt;="&amp;MAX(V$7,$J50),Calendar!$A$16:$A$134,"&lt;="&amp;MIN(V$7+4,$K50))*$H50/$G50)))</x:f>
        <x:v>0</x:v>
      </x:c>
      <x:c r="W50" s="44" t="n">
        <x:f>IF(OR($J50="",$K50=""),"",IF(SUMIFS(Calendar!$C$16:$C$134,Calendar!$A$16:$A$134,"&gt;="&amp;MAX(W$7,$J50),Calendar!$A$16:$A$134,"&lt;="&amp;MIN(W$7+4,$K50))=0,0,IF($H50="","EXT",SUMIFS(Calendar!$C$16:$C$134,Calendar!$A$16:$A$134,"&gt;="&amp;MAX(W$7,$J50),Calendar!$A$16:$A$134,"&lt;="&amp;MIN(W$7+4,$K50))*$H50/$G50)))</x:f>
        <x:v>0</x:v>
      </x:c>
      <x:c r="X50" s="44" t="n">
        <x:f>IF(OR($J50="",$K50=""),"",IF(SUMIFS(Calendar!$C$16:$C$134,Calendar!$A$16:$A$134,"&gt;="&amp;MAX(X$7,$J50),Calendar!$A$16:$A$134,"&lt;="&amp;MIN(X$7+4,$K50))=0,0,IF($H50="","EXT",SUMIFS(Calendar!$C$16:$C$134,Calendar!$A$16:$A$134,"&gt;="&amp;MAX(X$7,$J50),Calendar!$A$16:$A$134,"&lt;="&amp;MIN(X$7+4,$K50))*$H50/$G50)))</x:f>
        <x:v>0</x:v>
      </x:c>
      <x:c r="Y50" s="44" t="n">
        <x:f>IF(OR($J50="",$K50=""),"",IF(SUMIFS(Calendar!$C$16:$C$134,Calendar!$A$16:$A$134,"&gt;="&amp;MAX(Y$7,$J50),Calendar!$A$16:$A$134,"&lt;="&amp;MIN(Y$7+4,$K50))=0,0,IF($H50="","EXT",SUMIFS(Calendar!$C$16:$C$134,Calendar!$A$16:$A$134,"&gt;="&amp;MAX(Y$7,$J50),Calendar!$A$16:$A$134,"&lt;="&amp;MIN(Y$7+4,$K50))*$H50/$G50)))</x:f>
        <x:v>0</x:v>
      </x:c>
      <x:c r="Z50" s="44" t="n">
        <x:f>IF(OR($J50="",$K50=""),"",IF(SUMIFS(Calendar!$C$16:$C$134,Calendar!$A$16:$A$134,"&gt;="&amp;MAX(Z$7,$J50),Calendar!$A$16:$A$134,"&lt;="&amp;MIN(Z$7+4,$K50))=0,0,IF($H50="","EXT",SUMIFS(Calendar!$C$16:$C$134,Calendar!$A$16:$A$134,"&gt;="&amp;MAX(Z$7,$J50),Calendar!$A$16:$A$134,"&lt;="&amp;MIN(Z$7+4,$K50))*$H50/$G50)))</x:f>
        <x:v>0</x:v>
      </x:c>
      <x:c r="AA50" s="44" t="n">
        <x:f>IF(OR($J50="",$K50=""),"",IF(SUMIFS(Calendar!$C$16:$C$134,Calendar!$A$16:$A$134,"&gt;="&amp;MAX(AA$7,$J50),Calendar!$A$16:$A$134,"&lt;="&amp;MIN(AA$7+4,$K50))=0,0,IF($H50="","EXT",SUMIFS(Calendar!$C$16:$C$134,Calendar!$A$16:$A$134,"&gt;="&amp;MAX(AA$7,$J50),Calendar!$A$16:$A$134,"&lt;="&amp;MIN(AA$7+4,$K50))*$H50/$G50)))</x:f>
        <x:v>1</x:v>
      </x:c>
      <x:c r="AB50" s="44" t="n">
        <x:f>IF(OR($J50="",$K50=""),"",IF(SUMIFS(Calendar!$C$16:$C$134,Calendar!$A$16:$A$134,"&gt;="&amp;MAX(AB$7,$J50),Calendar!$A$16:$A$134,"&lt;="&amp;MIN(AB$7+4,$K50))=0,0,IF($H50="","EXT",SUMIFS(Calendar!$C$16:$C$134,Calendar!$A$16:$A$134,"&gt;="&amp;MAX(AB$7,$J50),Calendar!$A$16:$A$134,"&lt;="&amp;MIN(AB$7+4,$K50))*$H50/$G50)))</x:f>
        <x:v>0</x:v>
      </x:c>
      <x:c r="AC50" s="44" t="n">
        <x:f>IF(OR($J50="",$K50=""),"",IF(SUMIFS(Calendar!$C$16:$C$134,Calendar!$A$16:$A$134,"&gt;="&amp;MAX(AC$7,$J50),Calendar!$A$16:$A$134,"&lt;="&amp;MIN(AC$7+4,$K50))=0,0,IF($H50="","EXT",SUMIFS(Calendar!$C$16:$C$134,Calendar!$A$16:$A$134,"&gt;="&amp;MAX(AC$7,$J50),Calendar!$A$16:$A$134,"&lt;="&amp;MIN(AC$7+4,$K50))*$H50/$G50)))</x:f>
        <x:v>0</x:v>
      </x:c>
      <x:c r="AD50" s="44" t="n">
        <x:f>IF(OR($J50="",$K50=""),"",IF(SUMIFS(Calendar!$C$16:$C$134,Calendar!$A$16:$A$134,"&gt;="&amp;MAX(AD$7,$J50),Calendar!$A$16:$A$134,"&lt;="&amp;MIN(AD$7+4,$K50))=0,0,IF($H50="","EXT",SUMIFS(Calendar!$C$16:$C$134,Calendar!$A$16:$A$134,"&gt;="&amp;MAX(AD$7,$J50),Calendar!$A$16:$A$134,"&lt;="&amp;MIN(AD$7+4,$K50))*$H50/$G50)))</x:f>
        <x:v>0</x:v>
      </x:c>
      <x:c r="AE50" s="42" t="n">
        <x:f>IF(OR(M50&lt;&gt;"Scheduled",INDEX('Team and Gates'!$C$7:$C$11,MATCH($D50,'Team and Gates'!$A$7:$A$11,0))=""),"CHECK",SUM(N50:AD50)*INDEX('Team and Gates'!$C$7:$C$11,MATCH($D50,'Team and Gates'!$A$7:$A$11,0)))</x:f>
        <x:v>360</x:v>
      </x:c>
      <x:c r="AF50" s="43" t="str">
        <x:v>Deployment and prompt settings are locked; rollback configuration is retained.</x:v>
      </x:c>
      <x:c r="AG50" s="43" t="str">
        <x:v>Feb 1–2 only.</x:v>
      </x:c>
    </x:row>
    <x:row r="51" ht="36" customHeight="1">
      <x:c r="A51" s="35" t="str">
        <x:v>S14</x:v>
      </x:c>
      <x:c r="B51" s="35" t="str">
        <x:v>Model quality</x:v>
      </x:c>
      <x:c r="C51" s="35" t="str">
        <x:v>Post-holiday model regression and drift checks</x:v>
      </x:c>
      <x:c r="D51" s="24" t="str">
        <x:v>DS</x:v>
      </x:c>
      <x:c r="E51" s="35" t="str">
        <x:v>S13</x:v>
      </x:c>
      <x:c r="F51" s="47" t="n">
        <x:v>68</x:v>
      </x:c>
      <x:c r="G51" s="47" t="n">
        <x:v>5</x:v>
      </x:c>
      <x:c r="H51" s="48" t="n">
        <x:v>4</x:v>
      </x:c>
      <x:c r="I51" s="35" t="n">
        <x:f>IF(OR(F51="",G51=""),"",F51+G51-1)</x:f>
        <x:v>72</x:v>
      </x:c>
      <x:c r="J51" s="37" t="n">
        <x:f>IF(OR(F51="",F51&lt;1,F51&gt;Calendar!$B$9),"",INDEX(Calendar!$A$16:$A$134,MATCH(F51,Calendar!$D$16:$D$134,0)))</x:f>
        <x:v>46433</x:v>
      </x:c>
      <x:c r="K51" s="37" t="n">
        <x:f>IF(OR(I51="",I51&lt;1,I51&gt;Calendar!$B$9),"",INDEX(Calendar!$A$16:$A$134,MATCH(I51,Calendar!$D$16:$D$134,0)))</x:f>
        <x:v>46437</x:v>
      </x:c>
      <x:c r="L51" s="50" t="n">
        <x:v>0</x:v>
      </x:c>
      <x:c r="M51" s="35" t="str">
        <x:f>IF(OR(F51="",G51="",H51=""),"Missing input",IF(OR(F51&lt;1,G51&lt;1,I51&gt;Calendar!$B$9),"Outside calendar",IF(F51&lt;MAX(INDEX($I$8:$I$85,MATCH("S13",$A$8:$A$85,0))+1),"Dependency conflict","Scheduled")))</x:f>
        <x:v>Scheduled</x:v>
      </x:c>
      <x:c r="N51" s="44" t="n">
        <x:f>IF(OR($J51="",$K51=""),"",IF(SUMIFS(Calendar!$C$16:$C$134,Calendar!$A$16:$A$134,"&gt;="&amp;MAX(N$7,$J51),Calendar!$A$16:$A$134,"&lt;="&amp;MIN(N$7+4,$K51))=0,0,IF($H51="","EXT",SUMIFS(Calendar!$C$16:$C$134,Calendar!$A$16:$A$134,"&gt;="&amp;MAX(N$7,$J51),Calendar!$A$16:$A$134,"&lt;="&amp;MIN(N$7+4,$K51))*$H51/$G51)))</x:f>
        <x:v>0</x:v>
      </x:c>
      <x:c r="O51" s="44" t="n">
        <x:f>IF(OR($J51="",$K51=""),"",IF(SUMIFS(Calendar!$C$16:$C$134,Calendar!$A$16:$A$134,"&gt;="&amp;MAX(O$7,$J51),Calendar!$A$16:$A$134,"&lt;="&amp;MIN(O$7+4,$K51))=0,0,IF($H51="","EXT",SUMIFS(Calendar!$C$16:$C$134,Calendar!$A$16:$A$134,"&gt;="&amp;MAX(O$7,$J51),Calendar!$A$16:$A$134,"&lt;="&amp;MIN(O$7+4,$K51))*$H51/$G51)))</x:f>
        <x:v>0</x:v>
      </x:c>
      <x:c r="P51" s="44" t="n">
        <x:f>IF(OR($J51="",$K51=""),"",IF(SUMIFS(Calendar!$C$16:$C$134,Calendar!$A$16:$A$134,"&gt;="&amp;MAX(P$7,$J51),Calendar!$A$16:$A$134,"&lt;="&amp;MIN(P$7+4,$K51))=0,0,IF($H51="","EXT",SUMIFS(Calendar!$C$16:$C$134,Calendar!$A$16:$A$134,"&gt;="&amp;MAX(P$7,$J51),Calendar!$A$16:$A$134,"&lt;="&amp;MIN(P$7+4,$K51))*$H51/$G51)))</x:f>
        <x:v>0</x:v>
      </x:c>
      <x:c r="Q51" s="44" t="n">
        <x:f>IF(OR($J51="",$K51=""),"",IF(SUMIFS(Calendar!$C$16:$C$134,Calendar!$A$16:$A$134,"&gt;="&amp;MAX(Q$7,$J51),Calendar!$A$16:$A$134,"&lt;="&amp;MIN(Q$7+4,$K51))=0,0,IF($H51="","EXT",SUMIFS(Calendar!$C$16:$C$134,Calendar!$A$16:$A$134,"&gt;="&amp;MAX(Q$7,$J51),Calendar!$A$16:$A$134,"&lt;="&amp;MIN(Q$7+4,$K51))*$H51/$G51)))</x:f>
        <x:v>0</x:v>
      </x:c>
      <x:c r="R51" s="44" t="n">
        <x:f>IF(OR($J51="",$K51=""),"",IF(SUMIFS(Calendar!$C$16:$C$134,Calendar!$A$16:$A$134,"&gt;="&amp;MAX(R$7,$J51),Calendar!$A$16:$A$134,"&lt;="&amp;MIN(R$7+4,$K51))=0,0,IF($H51="","EXT",SUMIFS(Calendar!$C$16:$C$134,Calendar!$A$16:$A$134,"&gt;="&amp;MAX(R$7,$J51),Calendar!$A$16:$A$134,"&lt;="&amp;MIN(R$7+4,$K51))*$H51/$G51)))</x:f>
        <x:v>0</x:v>
      </x:c>
      <x:c r="S51" s="44" t="n">
        <x:f>IF(OR($J51="",$K51=""),"",IF(SUMIFS(Calendar!$C$16:$C$134,Calendar!$A$16:$A$134,"&gt;="&amp;MAX(S$7,$J51),Calendar!$A$16:$A$134,"&lt;="&amp;MIN(S$7+4,$K51))=0,0,IF($H51="","EXT",SUMIFS(Calendar!$C$16:$C$134,Calendar!$A$16:$A$134,"&gt;="&amp;MAX(S$7,$J51),Calendar!$A$16:$A$134,"&lt;="&amp;MIN(S$7+4,$K51))*$H51/$G51)))</x:f>
        <x:v>0</x:v>
      </x:c>
      <x:c r="T51" s="44" t="n">
        <x:f>IF(OR($J51="",$K51=""),"",IF(SUMIFS(Calendar!$C$16:$C$134,Calendar!$A$16:$A$134,"&gt;="&amp;MAX(T$7,$J51),Calendar!$A$16:$A$134,"&lt;="&amp;MIN(T$7+4,$K51))=0,0,IF($H51="","EXT",SUMIFS(Calendar!$C$16:$C$134,Calendar!$A$16:$A$134,"&gt;="&amp;MAX(T$7,$J51),Calendar!$A$16:$A$134,"&lt;="&amp;MIN(T$7+4,$K51))*$H51/$G51)))</x:f>
        <x:v>0</x:v>
      </x:c>
      <x:c r="U51" s="44" t="n">
        <x:f>IF(OR($J51="",$K51=""),"",IF(SUMIFS(Calendar!$C$16:$C$134,Calendar!$A$16:$A$134,"&gt;="&amp;MAX(U$7,$J51),Calendar!$A$16:$A$134,"&lt;="&amp;MIN(U$7+4,$K51))=0,0,IF($H51="","EXT",SUMIFS(Calendar!$C$16:$C$134,Calendar!$A$16:$A$134,"&gt;="&amp;MAX(U$7,$J51),Calendar!$A$16:$A$134,"&lt;="&amp;MIN(U$7+4,$K51))*$H51/$G51)))</x:f>
        <x:v>0</x:v>
      </x:c>
      <x:c r="V51" s="44" t="n">
        <x:f>IF(OR($J51="",$K51=""),"",IF(SUMIFS(Calendar!$C$16:$C$134,Calendar!$A$16:$A$134,"&gt;="&amp;MAX(V$7,$J51),Calendar!$A$16:$A$134,"&lt;="&amp;MIN(V$7+4,$K51))=0,0,IF($H51="","EXT",SUMIFS(Calendar!$C$16:$C$134,Calendar!$A$16:$A$134,"&gt;="&amp;MAX(V$7,$J51),Calendar!$A$16:$A$134,"&lt;="&amp;MIN(V$7+4,$K51))*$H51/$G51)))</x:f>
        <x:v>0</x:v>
      </x:c>
      <x:c r="W51" s="44" t="n">
        <x:f>IF(OR($J51="",$K51=""),"",IF(SUMIFS(Calendar!$C$16:$C$134,Calendar!$A$16:$A$134,"&gt;="&amp;MAX(W$7,$J51),Calendar!$A$16:$A$134,"&lt;="&amp;MIN(W$7+4,$K51))=0,0,IF($H51="","EXT",SUMIFS(Calendar!$C$16:$C$134,Calendar!$A$16:$A$134,"&gt;="&amp;MAX(W$7,$J51),Calendar!$A$16:$A$134,"&lt;="&amp;MIN(W$7+4,$K51))*$H51/$G51)))</x:f>
        <x:v>0</x:v>
      </x:c>
      <x:c r="X51" s="44" t="n">
        <x:f>IF(OR($J51="",$K51=""),"",IF(SUMIFS(Calendar!$C$16:$C$134,Calendar!$A$16:$A$134,"&gt;="&amp;MAX(X$7,$J51),Calendar!$A$16:$A$134,"&lt;="&amp;MIN(X$7+4,$K51))=0,0,IF($H51="","EXT",SUMIFS(Calendar!$C$16:$C$134,Calendar!$A$16:$A$134,"&gt;="&amp;MAX(X$7,$J51),Calendar!$A$16:$A$134,"&lt;="&amp;MIN(X$7+4,$K51))*$H51/$G51)))</x:f>
        <x:v>0</x:v>
      </x:c>
      <x:c r="Y51" s="44" t="n">
        <x:f>IF(OR($J51="",$K51=""),"",IF(SUMIFS(Calendar!$C$16:$C$134,Calendar!$A$16:$A$134,"&gt;="&amp;MAX(Y$7,$J51),Calendar!$A$16:$A$134,"&lt;="&amp;MIN(Y$7+4,$K51))=0,0,IF($H51="","EXT",SUMIFS(Calendar!$C$16:$C$134,Calendar!$A$16:$A$134,"&gt;="&amp;MAX(Y$7,$J51),Calendar!$A$16:$A$134,"&lt;="&amp;MIN(Y$7+4,$K51))*$H51/$G51)))</x:f>
        <x:v>0</x:v>
      </x:c>
      <x:c r="Z51" s="44" t="n">
        <x:f>IF(OR($J51="",$K51=""),"",IF(SUMIFS(Calendar!$C$16:$C$134,Calendar!$A$16:$A$134,"&gt;="&amp;MAX(Z$7,$J51),Calendar!$A$16:$A$134,"&lt;="&amp;MIN(Z$7+4,$K51))=0,0,IF($H51="","EXT",SUMIFS(Calendar!$C$16:$C$134,Calendar!$A$16:$A$134,"&gt;="&amp;MAX(Z$7,$J51),Calendar!$A$16:$A$134,"&lt;="&amp;MIN(Z$7+4,$K51))*$H51/$G51)))</x:f>
        <x:v>0</x:v>
      </x:c>
      <x:c r="AA51" s="44" t="n">
        <x:f>IF(OR($J51="",$K51=""),"",IF(SUMIFS(Calendar!$C$16:$C$134,Calendar!$A$16:$A$134,"&gt;="&amp;MAX(AA$7,$J51),Calendar!$A$16:$A$134,"&lt;="&amp;MIN(AA$7+4,$K51))=0,0,IF($H51="","EXT",SUMIFS(Calendar!$C$16:$C$134,Calendar!$A$16:$A$134,"&gt;="&amp;MAX(AA$7,$J51),Calendar!$A$16:$A$134,"&lt;="&amp;MIN(AA$7+4,$K51))*$H51/$G51)))</x:f>
        <x:v>0</x:v>
      </x:c>
      <x:c r="AB51" s="44" t="n">
        <x:f>IF(OR($J51="",$K51=""),"",IF(SUMIFS(Calendar!$C$16:$C$134,Calendar!$A$16:$A$134,"&gt;="&amp;MAX(AB$7,$J51),Calendar!$A$16:$A$134,"&lt;="&amp;MIN(AB$7+4,$K51))=0,0,IF($H51="","EXT",SUMIFS(Calendar!$C$16:$C$134,Calendar!$A$16:$A$134,"&gt;="&amp;MAX(AB$7,$J51),Calendar!$A$16:$A$134,"&lt;="&amp;MIN(AB$7+4,$K51))*$H51/$G51)))</x:f>
        <x:v>0</x:v>
      </x:c>
      <x:c r="AC51" s="44" t="n">
        <x:f>IF(OR($J51="",$K51=""),"",IF(SUMIFS(Calendar!$C$16:$C$134,Calendar!$A$16:$A$134,"&gt;="&amp;MAX(AC$7,$J51),Calendar!$A$16:$A$134,"&lt;="&amp;MIN(AC$7+4,$K51))=0,0,IF($H51="","EXT",SUMIFS(Calendar!$C$16:$C$134,Calendar!$A$16:$A$134,"&gt;="&amp;MAX(AC$7,$J51),Calendar!$A$16:$A$134,"&lt;="&amp;MIN(AC$7+4,$K51))*$H51/$G51)))</x:f>
        <x:v>4</x:v>
      </x:c>
      <x:c r="AD51" s="44" t="n">
        <x:f>IF(OR($J51="",$K51=""),"",IF(SUMIFS(Calendar!$C$16:$C$134,Calendar!$A$16:$A$134,"&gt;="&amp;MAX(AD$7,$J51),Calendar!$A$16:$A$134,"&lt;="&amp;MIN(AD$7+4,$K51))=0,0,IF($H51="","EXT",SUMIFS(Calendar!$C$16:$C$134,Calendar!$A$16:$A$134,"&gt;="&amp;MAX(AD$7,$J51),Calendar!$A$16:$A$134,"&lt;="&amp;MIN(AD$7+4,$K51))*$H51/$G51)))</x:f>
        <x:v>0</x:v>
      </x:c>
      <x:c r="AE51" s="42" t="n">
        <x:f>IF(OR(M51&lt;&gt;"Scheduled",INDEX('Team and Gates'!$C$7:$C$11,MATCH($D51,'Team and Gates'!$A$7:$A$11,0))=""),"CHECK",SUM(N51:AD51)*INDEX('Team and Gates'!$C$7:$C$11,MATCH($D51,'Team and Gates'!$A$7:$A$11,0)))</x:f>
        <x:v>1440</x:v>
      </x:c>
      <x:c r="AF51" s="43" t="str">
        <x:v>Confirm deployed model behavior, critical examples, quotas, latency and cost.</x:v>
      </x:c>
      <x:c r="AG51" s="43" t="str"/>
    </x:row>
    <x:row r="52" ht="36" customHeight="1">
      <x:c r="A52" s="2" t="str">
        <x:v>S15</x:v>
      </x:c>
      <x:c r="B52" s="2" t="str">
        <x:v>Model quality</x:v>
      </x:c>
      <x:c r="C52" s="2" t="str">
        <x:v>Production model quality monitoring</x:v>
      </x:c>
      <x:c r="D52" s="24" t="str">
        <x:v>DS</x:v>
      </x:c>
      <x:c r="E52" s="2" t="str">
        <x:v>S14, U14</x:v>
      </x:c>
      <x:c r="F52" s="47" t="n">
        <x:v>73</x:v>
      </x:c>
      <x:c r="G52" s="47" t="n">
        <x:v>5</x:v>
      </x:c>
      <x:c r="H52" s="48" t="n">
        <x:v>2</x:v>
      </x:c>
      <x:c r="I52" s="2" t="n">
        <x:f>IF(OR(F52="",G52=""),"",F52+G52-1)</x:f>
        <x:v>77</x:v>
      </x:c>
      <x:c r="J52" s="5" t="n">
        <x:f>IF(OR(F52="",F52&lt;1,F52&gt;Calendar!$B$9),"",INDEX(Calendar!$A$16:$A$134,MATCH(F52,Calendar!$D$16:$D$134,0)))</x:f>
        <x:v>46440</x:v>
      </x:c>
      <x:c r="K52" s="5" t="n">
        <x:f>IF(OR(I52="",I52&lt;1,I52&gt;Calendar!$B$9),"",INDEX(Calendar!$A$16:$A$134,MATCH(I52,Calendar!$D$16:$D$134,0)))</x:f>
        <x:v>46444</x:v>
      </x:c>
      <x:c r="L52" s="50" t="n">
        <x:v>0</x:v>
      </x:c>
      <x:c r="M52" s="2" t="str">
        <x:f>IF(OR(F52="",G52="",H52=""),"Missing input",IF(OR(F52&lt;1,G52&lt;1,I52&gt;Calendar!$B$9),"Outside calendar",IF(F52&lt;MAX(INDEX($I$8:$I$85,MATCH("S14",$A$8:$A$85,0))+1,INDEX($I$8:$I$85,MATCH("U14",$A$8:$A$85,0))+1),"Dependency conflict","Scheduled")))</x:f>
        <x:v>Scheduled</x:v>
      </x:c>
      <x:c r="N52" s="44" t="n">
        <x:f>IF(OR($J52="",$K52=""),"",IF(SUMIFS(Calendar!$C$16:$C$134,Calendar!$A$16:$A$134,"&gt;="&amp;MAX(N$7,$J52),Calendar!$A$16:$A$134,"&lt;="&amp;MIN(N$7+4,$K52))=0,0,IF($H52="","EXT",SUMIFS(Calendar!$C$16:$C$134,Calendar!$A$16:$A$134,"&gt;="&amp;MAX(N$7,$J52),Calendar!$A$16:$A$134,"&lt;="&amp;MIN(N$7+4,$K52))*$H52/$G52)))</x:f>
        <x:v>0</x:v>
      </x:c>
      <x:c r="O52" s="44" t="n">
        <x:f>IF(OR($J52="",$K52=""),"",IF(SUMIFS(Calendar!$C$16:$C$134,Calendar!$A$16:$A$134,"&gt;="&amp;MAX(O$7,$J52),Calendar!$A$16:$A$134,"&lt;="&amp;MIN(O$7+4,$K52))=0,0,IF($H52="","EXT",SUMIFS(Calendar!$C$16:$C$134,Calendar!$A$16:$A$134,"&gt;="&amp;MAX(O$7,$J52),Calendar!$A$16:$A$134,"&lt;="&amp;MIN(O$7+4,$K52))*$H52/$G52)))</x:f>
        <x:v>0</x:v>
      </x:c>
      <x:c r="P52" s="44" t="n">
        <x:f>IF(OR($J52="",$K52=""),"",IF(SUMIFS(Calendar!$C$16:$C$134,Calendar!$A$16:$A$134,"&gt;="&amp;MAX(P$7,$J52),Calendar!$A$16:$A$134,"&lt;="&amp;MIN(P$7+4,$K52))=0,0,IF($H52="","EXT",SUMIFS(Calendar!$C$16:$C$134,Calendar!$A$16:$A$134,"&gt;="&amp;MAX(P$7,$J52),Calendar!$A$16:$A$134,"&lt;="&amp;MIN(P$7+4,$K52))*$H52/$G52)))</x:f>
        <x:v>0</x:v>
      </x:c>
      <x:c r="Q52" s="44" t="n">
        <x:f>IF(OR($J52="",$K52=""),"",IF(SUMIFS(Calendar!$C$16:$C$134,Calendar!$A$16:$A$134,"&gt;="&amp;MAX(Q$7,$J52),Calendar!$A$16:$A$134,"&lt;="&amp;MIN(Q$7+4,$K52))=0,0,IF($H52="","EXT",SUMIFS(Calendar!$C$16:$C$134,Calendar!$A$16:$A$134,"&gt;="&amp;MAX(Q$7,$J52),Calendar!$A$16:$A$134,"&lt;="&amp;MIN(Q$7+4,$K52))*$H52/$G52)))</x:f>
        <x:v>0</x:v>
      </x:c>
      <x:c r="R52" s="44" t="n">
        <x:f>IF(OR($J52="",$K52=""),"",IF(SUMIFS(Calendar!$C$16:$C$134,Calendar!$A$16:$A$134,"&gt;="&amp;MAX(R$7,$J52),Calendar!$A$16:$A$134,"&lt;="&amp;MIN(R$7+4,$K52))=0,0,IF($H52="","EXT",SUMIFS(Calendar!$C$16:$C$134,Calendar!$A$16:$A$134,"&gt;="&amp;MAX(R$7,$J52),Calendar!$A$16:$A$134,"&lt;="&amp;MIN(R$7+4,$K52))*$H52/$G52)))</x:f>
        <x:v>0</x:v>
      </x:c>
      <x:c r="S52" s="44" t="n">
        <x:f>IF(OR($J52="",$K52=""),"",IF(SUMIFS(Calendar!$C$16:$C$134,Calendar!$A$16:$A$134,"&gt;="&amp;MAX(S$7,$J52),Calendar!$A$16:$A$134,"&lt;="&amp;MIN(S$7+4,$K52))=0,0,IF($H52="","EXT",SUMIFS(Calendar!$C$16:$C$134,Calendar!$A$16:$A$134,"&gt;="&amp;MAX(S$7,$J52),Calendar!$A$16:$A$134,"&lt;="&amp;MIN(S$7+4,$K52))*$H52/$G52)))</x:f>
        <x:v>0</x:v>
      </x:c>
      <x:c r="T52" s="44" t="n">
        <x:f>IF(OR($J52="",$K52=""),"",IF(SUMIFS(Calendar!$C$16:$C$134,Calendar!$A$16:$A$134,"&gt;="&amp;MAX(T$7,$J52),Calendar!$A$16:$A$134,"&lt;="&amp;MIN(T$7+4,$K52))=0,0,IF($H52="","EXT",SUMIFS(Calendar!$C$16:$C$134,Calendar!$A$16:$A$134,"&gt;="&amp;MAX(T$7,$J52),Calendar!$A$16:$A$134,"&lt;="&amp;MIN(T$7+4,$K52))*$H52/$G52)))</x:f>
        <x:v>0</x:v>
      </x:c>
      <x:c r="U52" s="44" t="n">
        <x:f>IF(OR($J52="",$K52=""),"",IF(SUMIFS(Calendar!$C$16:$C$134,Calendar!$A$16:$A$134,"&gt;="&amp;MAX(U$7,$J52),Calendar!$A$16:$A$134,"&lt;="&amp;MIN(U$7+4,$K52))=0,0,IF($H52="","EXT",SUMIFS(Calendar!$C$16:$C$134,Calendar!$A$16:$A$134,"&gt;="&amp;MAX(U$7,$J52),Calendar!$A$16:$A$134,"&lt;="&amp;MIN(U$7+4,$K52))*$H52/$G52)))</x:f>
        <x:v>0</x:v>
      </x:c>
      <x:c r="V52" s="44" t="n">
        <x:f>IF(OR($J52="",$K52=""),"",IF(SUMIFS(Calendar!$C$16:$C$134,Calendar!$A$16:$A$134,"&gt;="&amp;MAX(V$7,$J52),Calendar!$A$16:$A$134,"&lt;="&amp;MIN(V$7+4,$K52))=0,0,IF($H52="","EXT",SUMIFS(Calendar!$C$16:$C$134,Calendar!$A$16:$A$134,"&gt;="&amp;MAX(V$7,$J52),Calendar!$A$16:$A$134,"&lt;="&amp;MIN(V$7+4,$K52))*$H52/$G52)))</x:f>
        <x:v>0</x:v>
      </x:c>
      <x:c r="W52" s="44" t="n">
        <x:f>IF(OR($J52="",$K52=""),"",IF(SUMIFS(Calendar!$C$16:$C$134,Calendar!$A$16:$A$134,"&gt;="&amp;MAX(W$7,$J52),Calendar!$A$16:$A$134,"&lt;="&amp;MIN(W$7+4,$K52))=0,0,IF($H52="","EXT",SUMIFS(Calendar!$C$16:$C$134,Calendar!$A$16:$A$134,"&gt;="&amp;MAX(W$7,$J52),Calendar!$A$16:$A$134,"&lt;="&amp;MIN(W$7+4,$K52))*$H52/$G52)))</x:f>
        <x:v>0</x:v>
      </x:c>
      <x:c r="X52" s="44" t="n">
        <x:f>IF(OR($J52="",$K52=""),"",IF(SUMIFS(Calendar!$C$16:$C$134,Calendar!$A$16:$A$134,"&gt;="&amp;MAX(X$7,$J52),Calendar!$A$16:$A$134,"&lt;="&amp;MIN(X$7+4,$K52))=0,0,IF($H52="","EXT",SUMIFS(Calendar!$C$16:$C$134,Calendar!$A$16:$A$134,"&gt;="&amp;MAX(X$7,$J52),Calendar!$A$16:$A$134,"&lt;="&amp;MIN(X$7+4,$K52))*$H52/$G52)))</x:f>
        <x:v>0</x:v>
      </x:c>
      <x:c r="Y52" s="44" t="n">
        <x:f>IF(OR($J52="",$K52=""),"",IF(SUMIFS(Calendar!$C$16:$C$134,Calendar!$A$16:$A$134,"&gt;="&amp;MAX(Y$7,$J52),Calendar!$A$16:$A$134,"&lt;="&amp;MIN(Y$7+4,$K52))=0,0,IF($H52="","EXT",SUMIFS(Calendar!$C$16:$C$134,Calendar!$A$16:$A$134,"&gt;="&amp;MAX(Y$7,$J52),Calendar!$A$16:$A$134,"&lt;="&amp;MIN(Y$7+4,$K52))*$H52/$G52)))</x:f>
        <x:v>0</x:v>
      </x:c>
      <x:c r="Z52" s="44" t="n">
        <x:f>IF(OR($J52="",$K52=""),"",IF(SUMIFS(Calendar!$C$16:$C$134,Calendar!$A$16:$A$134,"&gt;="&amp;MAX(Z$7,$J52),Calendar!$A$16:$A$134,"&lt;="&amp;MIN(Z$7+4,$K52))=0,0,IF($H52="","EXT",SUMIFS(Calendar!$C$16:$C$134,Calendar!$A$16:$A$134,"&gt;="&amp;MAX(Z$7,$J52),Calendar!$A$16:$A$134,"&lt;="&amp;MIN(Z$7+4,$K52))*$H52/$G52)))</x:f>
        <x:v>0</x:v>
      </x:c>
      <x:c r="AA52" s="44" t="n">
        <x:f>IF(OR($J52="",$K52=""),"",IF(SUMIFS(Calendar!$C$16:$C$134,Calendar!$A$16:$A$134,"&gt;="&amp;MAX(AA$7,$J52),Calendar!$A$16:$A$134,"&lt;="&amp;MIN(AA$7+4,$K52))=0,0,IF($H52="","EXT",SUMIFS(Calendar!$C$16:$C$134,Calendar!$A$16:$A$134,"&gt;="&amp;MAX(AA$7,$J52),Calendar!$A$16:$A$134,"&lt;="&amp;MIN(AA$7+4,$K52))*$H52/$G52)))</x:f>
        <x:v>0</x:v>
      </x:c>
      <x:c r="AB52" s="44" t="n">
        <x:f>IF(OR($J52="",$K52=""),"",IF(SUMIFS(Calendar!$C$16:$C$134,Calendar!$A$16:$A$134,"&gt;="&amp;MAX(AB$7,$J52),Calendar!$A$16:$A$134,"&lt;="&amp;MIN(AB$7+4,$K52))=0,0,IF($H52="","EXT",SUMIFS(Calendar!$C$16:$C$134,Calendar!$A$16:$A$134,"&gt;="&amp;MAX(AB$7,$J52),Calendar!$A$16:$A$134,"&lt;="&amp;MIN(AB$7+4,$K52))*$H52/$G52)))</x:f>
        <x:v>0</x:v>
      </x:c>
      <x:c r="AC52" s="44" t="n">
        <x:f>IF(OR($J52="",$K52=""),"",IF(SUMIFS(Calendar!$C$16:$C$134,Calendar!$A$16:$A$134,"&gt;="&amp;MAX(AC$7,$J52),Calendar!$A$16:$A$134,"&lt;="&amp;MIN(AC$7+4,$K52))=0,0,IF($H52="","EXT",SUMIFS(Calendar!$C$16:$C$134,Calendar!$A$16:$A$134,"&gt;="&amp;MAX(AC$7,$J52),Calendar!$A$16:$A$134,"&lt;="&amp;MIN(AC$7+4,$K52))*$H52/$G52)))</x:f>
        <x:v>0</x:v>
      </x:c>
      <x:c r="AD52" s="44" t="n">
        <x:f>IF(OR($J52="",$K52=""),"",IF(SUMIFS(Calendar!$C$16:$C$134,Calendar!$A$16:$A$134,"&gt;="&amp;MAX(AD$7,$J52),Calendar!$A$16:$A$134,"&lt;="&amp;MIN(AD$7+4,$K52))=0,0,IF($H52="","EXT",SUMIFS(Calendar!$C$16:$C$134,Calendar!$A$16:$A$134,"&gt;="&amp;MAX(AD$7,$J52),Calendar!$A$16:$A$134,"&lt;="&amp;MIN(AD$7+4,$K52))*$H52/$G52)))</x:f>
        <x:v>2</x:v>
      </x:c>
      <x:c r="AE52" s="42" t="n">
        <x:f>IF(OR(M52&lt;&gt;"Scheduled",INDEX('Team and Gates'!$C$7:$C$11,MATCH($D52,'Team and Gates'!$A$7:$A$11,0))=""),"CHECK",SUM(N52:AD52)*INDEX('Team and Gates'!$C$7:$C$11,MATCH($D52,'Team and Gates'!$A$7:$A$11,0)))</x:f>
        <x:v>720</x:v>
      </x:c>
      <x:c r="AF52" s="43" t="str">
        <x:v>Review initial authorized samples and investigate quality/cost anomalies.</x:v>
      </x:c>
      <x:c r="AG52" s="43" t="str">
        <x:v>Support rollback if release criteria are violated.</x:v>
      </x:c>
    </x:row>
    <x:row r="53" ht="36" customHeight="1">
      <x:c r="A53" s="35" t="str">
        <x:v>Q01</x:v>
      </x:c>
      <x:c r="B53" s="35" t="str">
        <x:v>Technical QA</x:v>
      </x:c>
      <x:c r="C53" s="35" t="str">
        <x:v>Test strategy, API contracts and automation scaffold</x:v>
      </x:c>
      <x:c r="D53" s="28" t="str">
        <x:v>Tester 1</x:v>
      </x:c>
      <x:c r="E53" s="35" t="str"/>
      <x:c r="F53" s="47" t="n">
        <x:v>1</x:v>
      </x:c>
      <x:c r="G53" s="47" t="n">
        <x:v>5</x:v>
      </x:c>
      <x:c r="H53" s="48" t="n">
        <x:v>4</x:v>
      </x:c>
      <x:c r="I53" s="35" t="n">
        <x:f>IF(OR(F53="",G53=""),"",F53+G53-1)</x:f>
        <x:v>5</x:v>
      </x:c>
      <x:c r="J53" s="37" t="n">
        <x:f>IF(OR(F53="",F53&lt;1,F53&gt;Calendar!$B$9),"",INDEX(Calendar!$A$16:$A$134,MATCH(F53,Calendar!$D$16:$D$134,0)))</x:f>
        <x:v>46328</x:v>
      </x:c>
      <x:c r="K53" s="37" t="n">
        <x:f>IF(OR(I53="",I53&lt;1,I53&gt;Calendar!$B$9),"",INDEX(Calendar!$A$16:$A$134,MATCH(I53,Calendar!$D$16:$D$134,0)))</x:f>
        <x:v>46332</x:v>
      </x:c>
      <x:c r="L53" s="50" t="n">
        <x:v>0</x:v>
      </x:c>
      <x:c r="M53" s="35" t="str">
        <x:f>IF(OR(F53="",G53="",H53=""),"Missing input",IF(OR(F53&lt;1,G53&lt;1,I53&gt;Calendar!$B$9),"Outside calendar",IF(F53&lt;1,"Dependency conflict","Scheduled")))</x:f>
        <x:v>Scheduled</x:v>
      </x:c>
      <x:c r="N53" s="44" t="n">
        <x:f>IF(OR($J53="",$K53=""),"",IF(SUMIFS(Calendar!$C$16:$C$134,Calendar!$A$16:$A$134,"&gt;="&amp;MAX(N$7,$J53),Calendar!$A$16:$A$134,"&lt;="&amp;MIN(N$7+4,$K53))=0,0,IF($H53="","EXT",SUMIFS(Calendar!$C$16:$C$134,Calendar!$A$16:$A$134,"&gt;="&amp;MAX(N$7,$J53),Calendar!$A$16:$A$134,"&lt;="&amp;MIN(N$7+4,$K53))*$H53/$G53)))</x:f>
        <x:v>4</x:v>
      </x:c>
      <x:c r="O53" s="44" t="n">
        <x:f>IF(OR($J53="",$K53=""),"",IF(SUMIFS(Calendar!$C$16:$C$134,Calendar!$A$16:$A$134,"&gt;="&amp;MAX(O$7,$J53),Calendar!$A$16:$A$134,"&lt;="&amp;MIN(O$7+4,$K53))=0,0,IF($H53="","EXT",SUMIFS(Calendar!$C$16:$C$134,Calendar!$A$16:$A$134,"&gt;="&amp;MAX(O$7,$J53),Calendar!$A$16:$A$134,"&lt;="&amp;MIN(O$7+4,$K53))*$H53/$G53)))</x:f>
        <x:v>0</x:v>
      </x:c>
      <x:c r="P53" s="44" t="n">
        <x:f>IF(OR($J53="",$K53=""),"",IF(SUMIFS(Calendar!$C$16:$C$134,Calendar!$A$16:$A$134,"&gt;="&amp;MAX(P$7,$J53),Calendar!$A$16:$A$134,"&lt;="&amp;MIN(P$7+4,$K53))=0,0,IF($H53="","EXT",SUMIFS(Calendar!$C$16:$C$134,Calendar!$A$16:$A$134,"&gt;="&amp;MAX(P$7,$J53),Calendar!$A$16:$A$134,"&lt;="&amp;MIN(P$7+4,$K53))*$H53/$G53)))</x:f>
        <x:v>0</x:v>
      </x:c>
      <x:c r="Q53" s="44" t="n">
        <x:f>IF(OR($J53="",$K53=""),"",IF(SUMIFS(Calendar!$C$16:$C$134,Calendar!$A$16:$A$134,"&gt;="&amp;MAX(Q$7,$J53),Calendar!$A$16:$A$134,"&lt;="&amp;MIN(Q$7+4,$K53))=0,0,IF($H53="","EXT",SUMIFS(Calendar!$C$16:$C$134,Calendar!$A$16:$A$134,"&gt;="&amp;MAX(Q$7,$J53),Calendar!$A$16:$A$134,"&lt;="&amp;MIN(Q$7+4,$K53))*$H53/$G53)))</x:f>
        <x:v>0</x:v>
      </x:c>
      <x:c r="R53" s="44" t="n">
        <x:f>IF(OR($J53="",$K53=""),"",IF(SUMIFS(Calendar!$C$16:$C$134,Calendar!$A$16:$A$134,"&gt;="&amp;MAX(R$7,$J53),Calendar!$A$16:$A$134,"&lt;="&amp;MIN(R$7+4,$K53))=0,0,IF($H53="","EXT",SUMIFS(Calendar!$C$16:$C$134,Calendar!$A$16:$A$134,"&gt;="&amp;MAX(R$7,$J53),Calendar!$A$16:$A$134,"&lt;="&amp;MIN(R$7+4,$K53))*$H53/$G53)))</x:f>
        <x:v>0</x:v>
      </x:c>
      <x:c r="S53" s="44" t="n">
        <x:f>IF(OR($J53="",$K53=""),"",IF(SUMIFS(Calendar!$C$16:$C$134,Calendar!$A$16:$A$134,"&gt;="&amp;MAX(S$7,$J53),Calendar!$A$16:$A$134,"&lt;="&amp;MIN(S$7+4,$K53))=0,0,IF($H53="","EXT",SUMIFS(Calendar!$C$16:$C$134,Calendar!$A$16:$A$134,"&gt;="&amp;MAX(S$7,$J53),Calendar!$A$16:$A$134,"&lt;="&amp;MIN(S$7+4,$K53))*$H53/$G53)))</x:f>
        <x:v>0</x:v>
      </x:c>
      <x:c r="T53" s="44" t="n">
        <x:f>IF(OR($J53="",$K53=""),"",IF(SUMIFS(Calendar!$C$16:$C$134,Calendar!$A$16:$A$134,"&gt;="&amp;MAX(T$7,$J53),Calendar!$A$16:$A$134,"&lt;="&amp;MIN(T$7+4,$K53))=0,0,IF($H53="","EXT",SUMIFS(Calendar!$C$16:$C$134,Calendar!$A$16:$A$134,"&gt;="&amp;MAX(T$7,$J53),Calendar!$A$16:$A$134,"&lt;="&amp;MIN(T$7+4,$K53))*$H53/$G53)))</x:f>
        <x:v>0</x:v>
      </x:c>
      <x:c r="U53" s="44" t="n">
        <x:f>IF(OR($J53="",$K53=""),"",IF(SUMIFS(Calendar!$C$16:$C$134,Calendar!$A$16:$A$134,"&gt;="&amp;MAX(U$7,$J53),Calendar!$A$16:$A$134,"&lt;="&amp;MIN(U$7+4,$K53))=0,0,IF($H53="","EXT",SUMIFS(Calendar!$C$16:$C$134,Calendar!$A$16:$A$134,"&gt;="&amp;MAX(U$7,$J53),Calendar!$A$16:$A$134,"&lt;="&amp;MIN(U$7+4,$K53))*$H53/$G53)))</x:f>
        <x:v>0</x:v>
      </x:c>
      <x:c r="V53" s="44" t="n">
        <x:f>IF(OR($J53="",$K53=""),"",IF(SUMIFS(Calendar!$C$16:$C$134,Calendar!$A$16:$A$134,"&gt;="&amp;MAX(V$7,$J53),Calendar!$A$16:$A$134,"&lt;="&amp;MIN(V$7+4,$K53))=0,0,IF($H53="","EXT",SUMIFS(Calendar!$C$16:$C$134,Calendar!$A$16:$A$134,"&gt;="&amp;MAX(V$7,$J53),Calendar!$A$16:$A$134,"&lt;="&amp;MIN(V$7+4,$K53))*$H53/$G53)))</x:f>
        <x:v>0</x:v>
      </x:c>
      <x:c r="W53" s="44" t="n">
        <x:f>IF(OR($J53="",$K53=""),"",IF(SUMIFS(Calendar!$C$16:$C$134,Calendar!$A$16:$A$134,"&gt;="&amp;MAX(W$7,$J53),Calendar!$A$16:$A$134,"&lt;="&amp;MIN(W$7+4,$K53))=0,0,IF($H53="","EXT",SUMIFS(Calendar!$C$16:$C$134,Calendar!$A$16:$A$134,"&gt;="&amp;MAX(W$7,$J53),Calendar!$A$16:$A$134,"&lt;="&amp;MIN(W$7+4,$K53))*$H53/$G53)))</x:f>
        <x:v>0</x:v>
      </x:c>
      <x:c r="X53" s="44" t="n">
        <x:f>IF(OR($J53="",$K53=""),"",IF(SUMIFS(Calendar!$C$16:$C$134,Calendar!$A$16:$A$134,"&gt;="&amp;MAX(X$7,$J53),Calendar!$A$16:$A$134,"&lt;="&amp;MIN(X$7+4,$K53))=0,0,IF($H53="","EXT",SUMIFS(Calendar!$C$16:$C$134,Calendar!$A$16:$A$134,"&gt;="&amp;MAX(X$7,$J53),Calendar!$A$16:$A$134,"&lt;="&amp;MIN(X$7+4,$K53))*$H53/$G53)))</x:f>
        <x:v>0</x:v>
      </x:c>
      <x:c r="Y53" s="44" t="n">
        <x:f>IF(OR($J53="",$K53=""),"",IF(SUMIFS(Calendar!$C$16:$C$134,Calendar!$A$16:$A$134,"&gt;="&amp;MAX(Y$7,$J53),Calendar!$A$16:$A$134,"&lt;="&amp;MIN(Y$7+4,$K53))=0,0,IF($H53="","EXT",SUMIFS(Calendar!$C$16:$C$134,Calendar!$A$16:$A$134,"&gt;="&amp;MAX(Y$7,$J53),Calendar!$A$16:$A$134,"&lt;="&amp;MIN(Y$7+4,$K53))*$H53/$G53)))</x:f>
        <x:v>0</x:v>
      </x:c>
      <x:c r="Z53" s="44" t="n">
        <x:f>IF(OR($J53="",$K53=""),"",IF(SUMIFS(Calendar!$C$16:$C$134,Calendar!$A$16:$A$134,"&gt;="&amp;MAX(Z$7,$J53),Calendar!$A$16:$A$134,"&lt;="&amp;MIN(Z$7+4,$K53))=0,0,IF($H53="","EXT",SUMIFS(Calendar!$C$16:$C$134,Calendar!$A$16:$A$134,"&gt;="&amp;MAX(Z$7,$J53),Calendar!$A$16:$A$134,"&lt;="&amp;MIN(Z$7+4,$K53))*$H53/$G53)))</x:f>
        <x:v>0</x:v>
      </x:c>
      <x:c r="AA53" s="44" t="n">
        <x:f>IF(OR($J53="",$K53=""),"",IF(SUMIFS(Calendar!$C$16:$C$134,Calendar!$A$16:$A$134,"&gt;="&amp;MAX(AA$7,$J53),Calendar!$A$16:$A$134,"&lt;="&amp;MIN(AA$7+4,$K53))=0,0,IF($H53="","EXT",SUMIFS(Calendar!$C$16:$C$134,Calendar!$A$16:$A$134,"&gt;="&amp;MAX(AA$7,$J53),Calendar!$A$16:$A$134,"&lt;="&amp;MIN(AA$7+4,$K53))*$H53/$G53)))</x:f>
        <x:v>0</x:v>
      </x:c>
      <x:c r="AB53" s="44" t="n">
        <x:f>IF(OR($J53="",$K53=""),"",IF(SUMIFS(Calendar!$C$16:$C$134,Calendar!$A$16:$A$134,"&gt;="&amp;MAX(AB$7,$J53),Calendar!$A$16:$A$134,"&lt;="&amp;MIN(AB$7+4,$K53))=0,0,IF($H53="","EXT",SUMIFS(Calendar!$C$16:$C$134,Calendar!$A$16:$A$134,"&gt;="&amp;MAX(AB$7,$J53),Calendar!$A$16:$A$134,"&lt;="&amp;MIN(AB$7+4,$K53))*$H53/$G53)))</x:f>
        <x:v>0</x:v>
      </x:c>
      <x:c r="AC53" s="44" t="n">
        <x:f>IF(OR($J53="",$K53=""),"",IF(SUMIFS(Calendar!$C$16:$C$134,Calendar!$A$16:$A$134,"&gt;="&amp;MAX(AC$7,$J53),Calendar!$A$16:$A$134,"&lt;="&amp;MIN(AC$7+4,$K53))=0,0,IF($H53="","EXT",SUMIFS(Calendar!$C$16:$C$134,Calendar!$A$16:$A$134,"&gt;="&amp;MAX(AC$7,$J53),Calendar!$A$16:$A$134,"&lt;="&amp;MIN(AC$7+4,$K53))*$H53/$G53)))</x:f>
        <x:v>0</x:v>
      </x:c>
      <x:c r="AD53" s="44" t="n">
        <x:f>IF(OR($J53="",$K53=""),"",IF(SUMIFS(Calendar!$C$16:$C$134,Calendar!$A$16:$A$134,"&gt;="&amp;MAX(AD$7,$J53),Calendar!$A$16:$A$134,"&lt;="&amp;MIN(AD$7+4,$K53))=0,0,IF($H53="","EXT",SUMIFS(Calendar!$C$16:$C$134,Calendar!$A$16:$A$134,"&gt;="&amp;MAX(AD$7,$J53),Calendar!$A$16:$A$134,"&lt;="&amp;MIN(AD$7+4,$K53))*$H53/$G53)))</x:f>
        <x:v>0</x:v>
      </x:c>
      <x:c r="AE53" s="42" t="n">
        <x:f>IF(OR(M53&lt;&gt;"Scheduled",INDEX('Team and Gates'!$C$7:$C$11,MATCH($D53,'Team and Gates'!$A$7:$A$11,0))=""),"CHECK",SUM(N53:AD53)*INDEX('Team and Gates'!$C$7:$C$11,MATCH($D53,'Team and Gates'!$A$7:$A$11,0)))</x:f>
        <x:v>1440</x:v>
      </x:c>
      <x:c r="AF53" s="43" t="str">
        <x:v>Permission, concurrency and failure matrices are mapped to executable tests.</x:v>
      </x:c>
      <x:c r="AG53" s="43" t="str"/>
    </x:row>
    <x:row r="54" ht="36" customHeight="1">
      <x:c r="A54" s="2" t="str">
        <x:v>Q02</x:v>
      </x:c>
      <x:c r="B54" s="2" t="str">
        <x:v>Technical QA</x:v>
      </x:c>
      <x:c r="C54" s="2" t="str">
        <x:v>SSO, OAuth, renewal and authorization testing</x:v>
      </x:c>
      <x:c r="D54" s="28" t="str">
        <x:v>Tester 1</x:v>
      </x:c>
      <x:c r="E54" s="2" t="str">
        <x:v>Q01, A02:SS, B02:SS</x:v>
      </x:c>
      <x:c r="F54" s="47" t="n">
        <x:v>6</x:v>
      </x:c>
      <x:c r="G54" s="47" t="n">
        <x:v>5</x:v>
      </x:c>
      <x:c r="H54" s="48" t="n">
        <x:v>4</x:v>
      </x:c>
      <x:c r="I54" s="2" t="n">
        <x:f>IF(OR(F54="",G54=""),"",F54+G54-1)</x:f>
        <x:v>10</x:v>
      </x:c>
      <x:c r="J54" s="5" t="n">
        <x:f>IF(OR(F54="",F54&lt;1,F54&gt;Calendar!$B$9),"",INDEX(Calendar!$A$16:$A$134,MATCH(F54,Calendar!$D$16:$D$134,0)))</x:f>
        <x:v>46335</x:v>
      </x:c>
      <x:c r="K54" s="5" t="n">
        <x:f>IF(OR(I54="",I54&lt;1,I54&gt;Calendar!$B$9),"",INDEX(Calendar!$A$16:$A$134,MATCH(I54,Calendar!$D$16:$D$134,0)))</x:f>
        <x:v>46339</x:v>
      </x:c>
      <x:c r="L54" s="50" t="n">
        <x:v>0</x:v>
      </x:c>
      <x:c r="M54" s="2" t="str">
        <x:f>IF(OR(F54="",G54="",H54=""),"Missing input",IF(OR(F54&lt;1,G54&lt;1,I54&gt;Calendar!$B$9),"Outside calendar",IF(F54&lt;MAX(INDEX($I$8:$I$85,MATCH("Q01",$A$8:$A$85,0))+1,INDEX($F$8:$F$85,MATCH("A02",$A$8:$A$85,0)),INDEX($F$8:$F$85,MATCH("B02",$A$8:$A$85,0))),"Dependency conflict","Scheduled")))</x:f>
        <x:v>Scheduled</x:v>
      </x:c>
      <x:c r="N54" s="44" t="n">
        <x:f>IF(OR($J54="",$K54=""),"",IF(SUMIFS(Calendar!$C$16:$C$134,Calendar!$A$16:$A$134,"&gt;="&amp;MAX(N$7,$J54),Calendar!$A$16:$A$134,"&lt;="&amp;MIN(N$7+4,$K54))=0,0,IF($H54="","EXT",SUMIFS(Calendar!$C$16:$C$134,Calendar!$A$16:$A$134,"&gt;="&amp;MAX(N$7,$J54),Calendar!$A$16:$A$134,"&lt;="&amp;MIN(N$7+4,$K54))*$H54/$G54)))</x:f>
        <x:v>0</x:v>
      </x:c>
      <x:c r="O54" s="44" t="n">
        <x:f>IF(OR($J54="",$K54=""),"",IF(SUMIFS(Calendar!$C$16:$C$134,Calendar!$A$16:$A$134,"&gt;="&amp;MAX(O$7,$J54),Calendar!$A$16:$A$134,"&lt;="&amp;MIN(O$7+4,$K54))=0,0,IF($H54="","EXT",SUMIFS(Calendar!$C$16:$C$134,Calendar!$A$16:$A$134,"&gt;="&amp;MAX(O$7,$J54),Calendar!$A$16:$A$134,"&lt;="&amp;MIN(O$7+4,$K54))*$H54/$G54)))</x:f>
        <x:v>4</x:v>
      </x:c>
      <x:c r="P54" s="44" t="n">
        <x:f>IF(OR($J54="",$K54=""),"",IF(SUMIFS(Calendar!$C$16:$C$134,Calendar!$A$16:$A$134,"&gt;="&amp;MAX(P$7,$J54),Calendar!$A$16:$A$134,"&lt;="&amp;MIN(P$7+4,$K54))=0,0,IF($H54="","EXT",SUMIFS(Calendar!$C$16:$C$134,Calendar!$A$16:$A$134,"&gt;="&amp;MAX(P$7,$J54),Calendar!$A$16:$A$134,"&lt;="&amp;MIN(P$7+4,$K54))*$H54/$G54)))</x:f>
        <x:v>0</x:v>
      </x:c>
      <x:c r="Q54" s="44" t="n">
        <x:f>IF(OR($J54="",$K54=""),"",IF(SUMIFS(Calendar!$C$16:$C$134,Calendar!$A$16:$A$134,"&gt;="&amp;MAX(Q$7,$J54),Calendar!$A$16:$A$134,"&lt;="&amp;MIN(Q$7+4,$K54))=0,0,IF($H54="","EXT",SUMIFS(Calendar!$C$16:$C$134,Calendar!$A$16:$A$134,"&gt;="&amp;MAX(Q$7,$J54),Calendar!$A$16:$A$134,"&lt;="&amp;MIN(Q$7+4,$K54))*$H54/$G54)))</x:f>
        <x:v>0</x:v>
      </x:c>
      <x:c r="R54" s="44" t="n">
        <x:f>IF(OR($J54="",$K54=""),"",IF(SUMIFS(Calendar!$C$16:$C$134,Calendar!$A$16:$A$134,"&gt;="&amp;MAX(R$7,$J54),Calendar!$A$16:$A$134,"&lt;="&amp;MIN(R$7+4,$K54))=0,0,IF($H54="","EXT",SUMIFS(Calendar!$C$16:$C$134,Calendar!$A$16:$A$134,"&gt;="&amp;MAX(R$7,$J54),Calendar!$A$16:$A$134,"&lt;="&amp;MIN(R$7+4,$K54))*$H54/$G54)))</x:f>
        <x:v>0</x:v>
      </x:c>
      <x:c r="S54" s="44" t="n">
        <x:f>IF(OR($J54="",$K54=""),"",IF(SUMIFS(Calendar!$C$16:$C$134,Calendar!$A$16:$A$134,"&gt;="&amp;MAX(S$7,$J54),Calendar!$A$16:$A$134,"&lt;="&amp;MIN(S$7+4,$K54))=0,0,IF($H54="","EXT",SUMIFS(Calendar!$C$16:$C$134,Calendar!$A$16:$A$134,"&gt;="&amp;MAX(S$7,$J54),Calendar!$A$16:$A$134,"&lt;="&amp;MIN(S$7+4,$K54))*$H54/$G54)))</x:f>
        <x:v>0</x:v>
      </x:c>
      <x:c r="T54" s="44" t="n">
        <x:f>IF(OR($J54="",$K54=""),"",IF(SUMIFS(Calendar!$C$16:$C$134,Calendar!$A$16:$A$134,"&gt;="&amp;MAX(T$7,$J54),Calendar!$A$16:$A$134,"&lt;="&amp;MIN(T$7+4,$K54))=0,0,IF($H54="","EXT",SUMIFS(Calendar!$C$16:$C$134,Calendar!$A$16:$A$134,"&gt;="&amp;MAX(T$7,$J54),Calendar!$A$16:$A$134,"&lt;="&amp;MIN(T$7+4,$K54))*$H54/$G54)))</x:f>
        <x:v>0</x:v>
      </x:c>
      <x:c r="U54" s="44" t="n">
        <x:f>IF(OR($J54="",$K54=""),"",IF(SUMIFS(Calendar!$C$16:$C$134,Calendar!$A$16:$A$134,"&gt;="&amp;MAX(U$7,$J54),Calendar!$A$16:$A$134,"&lt;="&amp;MIN(U$7+4,$K54))=0,0,IF($H54="","EXT",SUMIFS(Calendar!$C$16:$C$134,Calendar!$A$16:$A$134,"&gt;="&amp;MAX(U$7,$J54),Calendar!$A$16:$A$134,"&lt;="&amp;MIN(U$7+4,$K54))*$H54/$G54)))</x:f>
        <x:v>0</x:v>
      </x:c>
      <x:c r="V54" s="44" t="n">
        <x:f>IF(OR($J54="",$K54=""),"",IF(SUMIFS(Calendar!$C$16:$C$134,Calendar!$A$16:$A$134,"&gt;="&amp;MAX(V$7,$J54),Calendar!$A$16:$A$134,"&lt;="&amp;MIN(V$7+4,$K54))=0,0,IF($H54="","EXT",SUMIFS(Calendar!$C$16:$C$134,Calendar!$A$16:$A$134,"&gt;="&amp;MAX(V$7,$J54),Calendar!$A$16:$A$134,"&lt;="&amp;MIN(V$7+4,$K54))*$H54/$G54)))</x:f>
        <x:v>0</x:v>
      </x:c>
      <x:c r="W54" s="44" t="n">
        <x:f>IF(OR($J54="",$K54=""),"",IF(SUMIFS(Calendar!$C$16:$C$134,Calendar!$A$16:$A$134,"&gt;="&amp;MAX(W$7,$J54),Calendar!$A$16:$A$134,"&lt;="&amp;MIN(W$7+4,$K54))=0,0,IF($H54="","EXT",SUMIFS(Calendar!$C$16:$C$134,Calendar!$A$16:$A$134,"&gt;="&amp;MAX(W$7,$J54),Calendar!$A$16:$A$134,"&lt;="&amp;MIN(W$7+4,$K54))*$H54/$G54)))</x:f>
        <x:v>0</x:v>
      </x:c>
      <x:c r="X54" s="44" t="n">
        <x:f>IF(OR($J54="",$K54=""),"",IF(SUMIFS(Calendar!$C$16:$C$134,Calendar!$A$16:$A$134,"&gt;="&amp;MAX(X$7,$J54),Calendar!$A$16:$A$134,"&lt;="&amp;MIN(X$7+4,$K54))=0,0,IF($H54="","EXT",SUMIFS(Calendar!$C$16:$C$134,Calendar!$A$16:$A$134,"&gt;="&amp;MAX(X$7,$J54),Calendar!$A$16:$A$134,"&lt;="&amp;MIN(X$7+4,$K54))*$H54/$G54)))</x:f>
        <x:v>0</x:v>
      </x:c>
      <x:c r="Y54" s="44" t="n">
        <x:f>IF(OR($J54="",$K54=""),"",IF(SUMIFS(Calendar!$C$16:$C$134,Calendar!$A$16:$A$134,"&gt;="&amp;MAX(Y$7,$J54),Calendar!$A$16:$A$134,"&lt;="&amp;MIN(Y$7+4,$K54))=0,0,IF($H54="","EXT",SUMIFS(Calendar!$C$16:$C$134,Calendar!$A$16:$A$134,"&gt;="&amp;MAX(Y$7,$J54),Calendar!$A$16:$A$134,"&lt;="&amp;MIN(Y$7+4,$K54))*$H54/$G54)))</x:f>
        <x:v>0</x:v>
      </x:c>
      <x:c r="Z54" s="44" t="n">
        <x:f>IF(OR($J54="",$K54=""),"",IF(SUMIFS(Calendar!$C$16:$C$134,Calendar!$A$16:$A$134,"&gt;="&amp;MAX(Z$7,$J54),Calendar!$A$16:$A$134,"&lt;="&amp;MIN(Z$7+4,$K54))=0,0,IF($H54="","EXT",SUMIFS(Calendar!$C$16:$C$134,Calendar!$A$16:$A$134,"&gt;="&amp;MAX(Z$7,$J54),Calendar!$A$16:$A$134,"&lt;="&amp;MIN(Z$7+4,$K54))*$H54/$G54)))</x:f>
        <x:v>0</x:v>
      </x:c>
      <x:c r="AA54" s="44" t="n">
        <x:f>IF(OR($J54="",$K54=""),"",IF(SUMIFS(Calendar!$C$16:$C$134,Calendar!$A$16:$A$134,"&gt;="&amp;MAX(AA$7,$J54),Calendar!$A$16:$A$134,"&lt;="&amp;MIN(AA$7+4,$K54))=0,0,IF($H54="","EXT",SUMIFS(Calendar!$C$16:$C$134,Calendar!$A$16:$A$134,"&gt;="&amp;MAX(AA$7,$J54),Calendar!$A$16:$A$134,"&lt;="&amp;MIN(AA$7+4,$K54))*$H54/$G54)))</x:f>
        <x:v>0</x:v>
      </x:c>
      <x:c r="AB54" s="44" t="n">
        <x:f>IF(OR($J54="",$K54=""),"",IF(SUMIFS(Calendar!$C$16:$C$134,Calendar!$A$16:$A$134,"&gt;="&amp;MAX(AB$7,$J54),Calendar!$A$16:$A$134,"&lt;="&amp;MIN(AB$7+4,$K54))=0,0,IF($H54="","EXT",SUMIFS(Calendar!$C$16:$C$134,Calendar!$A$16:$A$134,"&gt;="&amp;MAX(AB$7,$J54),Calendar!$A$16:$A$134,"&lt;="&amp;MIN(AB$7+4,$K54))*$H54/$G54)))</x:f>
        <x:v>0</x:v>
      </x:c>
      <x:c r="AC54" s="44" t="n">
        <x:f>IF(OR($J54="",$K54=""),"",IF(SUMIFS(Calendar!$C$16:$C$134,Calendar!$A$16:$A$134,"&gt;="&amp;MAX(AC$7,$J54),Calendar!$A$16:$A$134,"&lt;="&amp;MIN(AC$7+4,$K54))=0,0,IF($H54="","EXT",SUMIFS(Calendar!$C$16:$C$134,Calendar!$A$16:$A$134,"&gt;="&amp;MAX(AC$7,$J54),Calendar!$A$16:$A$134,"&lt;="&amp;MIN(AC$7+4,$K54))*$H54/$G54)))</x:f>
        <x:v>0</x:v>
      </x:c>
      <x:c r="AD54" s="44" t="n">
        <x:f>IF(OR($J54="",$K54=""),"",IF(SUMIFS(Calendar!$C$16:$C$134,Calendar!$A$16:$A$134,"&gt;="&amp;MAX(AD$7,$J54),Calendar!$A$16:$A$134,"&lt;="&amp;MIN(AD$7+4,$K54))=0,0,IF($H54="","EXT",SUMIFS(Calendar!$C$16:$C$134,Calendar!$A$16:$A$134,"&gt;="&amp;MAX(AD$7,$J54),Calendar!$A$16:$A$134,"&lt;="&amp;MIN(AD$7+4,$K54))*$H54/$G54)))</x:f>
        <x:v>0</x:v>
      </x:c>
      <x:c r="AE54" s="42" t="n">
        <x:f>IF(OR(M54&lt;&gt;"Scheduled",INDEX('Team and Gates'!$C$7:$C$11,MATCH($D54,'Team and Gates'!$A$7:$A$11,0))=""),"CHECK",SUM(N54:AD54)*INDEX('Team and Gates'!$C$7:$C$11,MATCH($D54,'Team and Gates'!$A$7:$A$11,0)))</x:f>
        <x:v>1440</x:v>
      </x:c>
      <x:c r="AF54" s="43" t="str">
        <x:v>Expiry, reconnect, denied scope and cross-user access have negative tests.</x:v>
      </x:c>
      <x:c r="AG54" s="43" t="str"/>
    </x:row>
    <x:row r="55" ht="36" customHeight="1">
      <x:c r="A55" s="35" t="str">
        <x:v>Q03</x:v>
      </x:c>
      <x:c r="B55" s="35" t="str">
        <x:v>Technical QA</x:v>
      </x:c>
      <x:c r="C55" s="35" t="str">
        <x:v>Graph paging, deduplication and cursor recovery tests</x:v>
      </x:c>
      <x:c r="D55" s="28" t="str">
        <x:v>Tester 1</x:v>
      </x:c>
      <x:c r="E55" s="35" t="str">
        <x:v>Q02, A03:SS</x:v>
      </x:c>
      <x:c r="F55" s="47" t="n">
        <x:v>11</x:v>
      </x:c>
      <x:c r="G55" s="47" t="n">
        <x:v>5</x:v>
      </x:c>
      <x:c r="H55" s="48" t="n">
        <x:v>4</x:v>
      </x:c>
      <x:c r="I55" s="35" t="n">
        <x:f>IF(OR(F55="",G55=""),"",F55+G55-1)</x:f>
        <x:v>15</x:v>
      </x:c>
      <x:c r="J55" s="37" t="n">
        <x:f>IF(OR(F55="",F55&lt;1,F55&gt;Calendar!$B$9),"",INDEX(Calendar!$A$16:$A$134,MATCH(F55,Calendar!$D$16:$D$134,0)))</x:f>
        <x:v>46342</x:v>
      </x:c>
      <x:c r="K55" s="37" t="n">
        <x:f>IF(OR(I55="",I55&lt;1,I55&gt;Calendar!$B$9),"",INDEX(Calendar!$A$16:$A$134,MATCH(I55,Calendar!$D$16:$D$134,0)))</x:f>
        <x:v>46346</x:v>
      </x:c>
      <x:c r="L55" s="50" t="n">
        <x:v>0</x:v>
      </x:c>
      <x:c r="M55" s="35" t="str">
        <x:f>IF(OR(F55="",G55="",H55=""),"Missing input",IF(OR(F55&lt;1,G55&lt;1,I55&gt;Calendar!$B$9),"Outside calendar",IF(F55&lt;MAX(INDEX($I$8:$I$85,MATCH("Q02",$A$8:$A$85,0))+1,INDEX($F$8:$F$85,MATCH("A03",$A$8:$A$85,0))),"Dependency conflict","Scheduled")))</x:f>
        <x:v>Scheduled</x:v>
      </x:c>
      <x:c r="N55" s="44" t="n">
        <x:f>IF(OR($J55="",$K55=""),"",IF(SUMIFS(Calendar!$C$16:$C$134,Calendar!$A$16:$A$134,"&gt;="&amp;MAX(N$7,$J55),Calendar!$A$16:$A$134,"&lt;="&amp;MIN(N$7+4,$K55))=0,0,IF($H55="","EXT",SUMIFS(Calendar!$C$16:$C$134,Calendar!$A$16:$A$134,"&gt;="&amp;MAX(N$7,$J55),Calendar!$A$16:$A$134,"&lt;="&amp;MIN(N$7+4,$K55))*$H55/$G55)))</x:f>
        <x:v>0</x:v>
      </x:c>
      <x:c r="O55" s="44" t="n">
        <x:f>IF(OR($J55="",$K55=""),"",IF(SUMIFS(Calendar!$C$16:$C$134,Calendar!$A$16:$A$134,"&gt;="&amp;MAX(O$7,$J55),Calendar!$A$16:$A$134,"&lt;="&amp;MIN(O$7+4,$K55))=0,0,IF($H55="","EXT",SUMIFS(Calendar!$C$16:$C$134,Calendar!$A$16:$A$134,"&gt;="&amp;MAX(O$7,$J55),Calendar!$A$16:$A$134,"&lt;="&amp;MIN(O$7+4,$K55))*$H55/$G55)))</x:f>
        <x:v>0</x:v>
      </x:c>
      <x:c r="P55" s="44" t="n">
        <x:f>IF(OR($J55="",$K55=""),"",IF(SUMIFS(Calendar!$C$16:$C$134,Calendar!$A$16:$A$134,"&gt;="&amp;MAX(P$7,$J55),Calendar!$A$16:$A$134,"&lt;="&amp;MIN(P$7+4,$K55))=0,0,IF($H55="","EXT",SUMIFS(Calendar!$C$16:$C$134,Calendar!$A$16:$A$134,"&gt;="&amp;MAX(P$7,$J55),Calendar!$A$16:$A$134,"&lt;="&amp;MIN(P$7+4,$K55))*$H55/$G55)))</x:f>
        <x:v>4</x:v>
      </x:c>
      <x:c r="Q55" s="44" t="n">
        <x:f>IF(OR($J55="",$K55=""),"",IF(SUMIFS(Calendar!$C$16:$C$134,Calendar!$A$16:$A$134,"&gt;="&amp;MAX(Q$7,$J55),Calendar!$A$16:$A$134,"&lt;="&amp;MIN(Q$7+4,$K55))=0,0,IF($H55="","EXT",SUMIFS(Calendar!$C$16:$C$134,Calendar!$A$16:$A$134,"&gt;="&amp;MAX(Q$7,$J55),Calendar!$A$16:$A$134,"&lt;="&amp;MIN(Q$7+4,$K55))*$H55/$G55)))</x:f>
        <x:v>0</x:v>
      </x:c>
      <x:c r="R55" s="44" t="n">
        <x:f>IF(OR($J55="",$K55=""),"",IF(SUMIFS(Calendar!$C$16:$C$134,Calendar!$A$16:$A$134,"&gt;="&amp;MAX(R$7,$J55),Calendar!$A$16:$A$134,"&lt;="&amp;MIN(R$7+4,$K55))=0,0,IF($H55="","EXT",SUMIFS(Calendar!$C$16:$C$134,Calendar!$A$16:$A$134,"&gt;="&amp;MAX(R$7,$J55),Calendar!$A$16:$A$134,"&lt;="&amp;MIN(R$7+4,$K55))*$H55/$G55)))</x:f>
        <x:v>0</x:v>
      </x:c>
      <x:c r="S55" s="44" t="n">
        <x:f>IF(OR($J55="",$K55=""),"",IF(SUMIFS(Calendar!$C$16:$C$134,Calendar!$A$16:$A$134,"&gt;="&amp;MAX(S$7,$J55),Calendar!$A$16:$A$134,"&lt;="&amp;MIN(S$7+4,$K55))=0,0,IF($H55="","EXT",SUMIFS(Calendar!$C$16:$C$134,Calendar!$A$16:$A$134,"&gt;="&amp;MAX(S$7,$J55),Calendar!$A$16:$A$134,"&lt;="&amp;MIN(S$7+4,$K55))*$H55/$G55)))</x:f>
        <x:v>0</x:v>
      </x:c>
      <x:c r="T55" s="44" t="n">
        <x:f>IF(OR($J55="",$K55=""),"",IF(SUMIFS(Calendar!$C$16:$C$134,Calendar!$A$16:$A$134,"&gt;="&amp;MAX(T$7,$J55),Calendar!$A$16:$A$134,"&lt;="&amp;MIN(T$7+4,$K55))=0,0,IF($H55="","EXT",SUMIFS(Calendar!$C$16:$C$134,Calendar!$A$16:$A$134,"&gt;="&amp;MAX(T$7,$J55),Calendar!$A$16:$A$134,"&lt;="&amp;MIN(T$7+4,$K55))*$H55/$G55)))</x:f>
        <x:v>0</x:v>
      </x:c>
      <x:c r="U55" s="44" t="n">
        <x:f>IF(OR($J55="",$K55=""),"",IF(SUMIFS(Calendar!$C$16:$C$134,Calendar!$A$16:$A$134,"&gt;="&amp;MAX(U$7,$J55),Calendar!$A$16:$A$134,"&lt;="&amp;MIN(U$7+4,$K55))=0,0,IF($H55="","EXT",SUMIFS(Calendar!$C$16:$C$134,Calendar!$A$16:$A$134,"&gt;="&amp;MAX(U$7,$J55),Calendar!$A$16:$A$134,"&lt;="&amp;MIN(U$7+4,$K55))*$H55/$G55)))</x:f>
        <x:v>0</x:v>
      </x:c>
      <x:c r="V55" s="44" t="n">
        <x:f>IF(OR($J55="",$K55=""),"",IF(SUMIFS(Calendar!$C$16:$C$134,Calendar!$A$16:$A$134,"&gt;="&amp;MAX(V$7,$J55),Calendar!$A$16:$A$134,"&lt;="&amp;MIN(V$7+4,$K55))=0,0,IF($H55="","EXT",SUMIFS(Calendar!$C$16:$C$134,Calendar!$A$16:$A$134,"&gt;="&amp;MAX(V$7,$J55),Calendar!$A$16:$A$134,"&lt;="&amp;MIN(V$7+4,$K55))*$H55/$G55)))</x:f>
        <x:v>0</x:v>
      </x:c>
      <x:c r="W55" s="44" t="n">
        <x:f>IF(OR($J55="",$K55=""),"",IF(SUMIFS(Calendar!$C$16:$C$134,Calendar!$A$16:$A$134,"&gt;="&amp;MAX(W$7,$J55),Calendar!$A$16:$A$134,"&lt;="&amp;MIN(W$7+4,$K55))=0,0,IF($H55="","EXT",SUMIFS(Calendar!$C$16:$C$134,Calendar!$A$16:$A$134,"&gt;="&amp;MAX(W$7,$J55),Calendar!$A$16:$A$134,"&lt;="&amp;MIN(W$7+4,$K55))*$H55/$G55)))</x:f>
        <x:v>0</x:v>
      </x:c>
      <x:c r="X55" s="44" t="n">
        <x:f>IF(OR($J55="",$K55=""),"",IF(SUMIFS(Calendar!$C$16:$C$134,Calendar!$A$16:$A$134,"&gt;="&amp;MAX(X$7,$J55),Calendar!$A$16:$A$134,"&lt;="&amp;MIN(X$7+4,$K55))=0,0,IF($H55="","EXT",SUMIFS(Calendar!$C$16:$C$134,Calendar!$A$16:$A$134,"&gt;="&amp;MAX(X$7,$J55),Calendar!$A$16:$A$134,"&lt;="&amp;MIN(X$7+4,$K55))*$H55/$G55)))</x:f>
        <x:v>0</x:v>
      </x:c>
      <x:c r="Y55" s="44" t="n">
        <x:f>IF(OR($J55="",$K55=""),"",IF(SUMIFS(Calendar!$C$16:$C$134,Calendar!$A$16:$A$134,"&gt;="&amp;MAX(Y$7,$J55),Calendar!$A$16:$A$134,"&lt;="&amp;MIN(Y$7+4,$K55))=0,0,IF($H55="","EXT",SUMIFS(Calendar!$C$16:$C$134,Calendar!$A$16:$A$134,"&gt;="&amp;MAX(Y$7,$J55),Calendar!$A$16:$A$134,"&lt;="&amp;MIN(Y$7+4,$K55))*$H55/$G55)))</x:f>
        <x:v>0</x:v>
      </x:c>
      <x:c r="Z55" s="44" t="n">
        <x:f>IF(OR($J55="",$K55=""),"",IF(SUMIFS(Calendar!$C$16:$C$134,Calendar!$A$16:$A$134,"&gt;="&amp;MAX(Z$7,$J55),Calendar!$A$16:$A$134,"&lt;="&amp;MIN(Z$7+4,$K55))=0,0,IF($H55="","EXT",SUMIFS(Calendar!$C$16:$C$134,Calendar!$A$16:$A$134,"&gt;="&amp;MAX(Z$7,$J55),Calendar!$A$16:$A$134,"&lt;="&amp;MIN(Z$7+4,$K55))*$H55/$G55)))</x:f>
        <x:v>0</x:v>
      </x:c>
      <x:c r="AA55" s="44" t="n">
        <x:f>IF(OR($J55="",$K55=""),"",IF(SUMIFS(Calendar!$C$16:$C$134,Calendar!$A$16:$A$134,"&gt;="&amp;MAX(AA$7,$J55),Calendar!$A$16:$A$134,"&lt;="&amp;MIN(AA$7+4,$K55))=0,0,IF($H55="","EXT",SUMIFS(Calendar!$C$16:$C$134,Calendar!$A$16:$A$134,"&gt;="&amp;MAX(AA$7,$J55),Calendar!$A$16:$A$134,"&lt;="&amp;MIN(AA$7+4,$K55))*$H55/$G55)))</x:f>
        <x:v>0</x:v>
      </x:c>
      <x:c r="AB55" s="44" t="n">
        <x:f>IF(OR($J55="",$K55=""),"",IF(SUMIFS(Calendar!$C$16:$C$134,Calendar!$A$16:$A$134,"&gt;="&amp;MAX(AB$7,$J55),Calendar!$A$16:$A$134,"&lt;="&amp;MIN(AB$7+4,$K55))=0,0,IF($H55="","EXT",SUMIFS(Calendar!$C$16:$C$134,Calendar!$A$16:$A$134,"&gt;="&amp;MAX(AB$7,$J55),Calendar!$A$16:$A$134,"&lt;="&amp;MIN(AB$7+4,$K55))*$H55/$G55)))</x:f>
        <x:v>0</x:v>
      </x:c>
      <x:c r="AC55" s="44" t="n">
        <x:f>IF(OR($J55="",$K55=""),"",IF(SUMIFS(Calendar!$C$16:$C$134,Calendar!$A$16:$A$134,"&gt;="&amp;MAX(AC$7,$J55),Calendar!$A$16:$A$134,"&lt;="&amp;MIN(AC$7+4,$K55))=0,0,IF($H55="","EXT",SUMIFS(Calendar!$C$16:$C$134,Calendar!$A$16:$A$134,"&gt;="&amp;MAX(AC$7,$J55),Calendar!$A$16:$A$134,"&lt;="&amp;MIN(AC$7+4,$K55))*$H55/$G55)))</x:f>
        <x:v>0</x:v>
      </x:c>
      <x:c r="AD55" s="44" t="n">
        <x:f>IF(OR($J55="",$K55=""),"",IF(SUMIFS(Calendar!$C$16:$C$134,Calendar!$A$16:$A$134,"&gt;="&amp;MAX(AD$7,$J55),Calendar!$A$16:$A$134,"&lt;="&amp;MIN(AD$7+4,$K55))=0,0,IF($H55="","EXT",SUMIFS(Calendar!$C$16:$C$134,Calendar!$A$16:$A$134,"&gt;="&amp;MAX(AD$7,$J55),Calendar!$A$16:$A$134,"&lt;="&amp;MIN(AD$7+4,$K55))*$H55/$G55)))</x:f>
        <x:v>0</x:v>
      </x:c>
      <x:c r="AE55" s="42" t="n">
        <x:f>IF(OR(M55&lt;&gt;"Scheduled",INDEX('Team and Gates'!$C$7:$C$11,MATCH($D55,'Team and Gates'!$A$7:$A$11,0))=""),"CHECK",SUM(N55:AD55)*INDEX('Team and Gates'!$C$7:$C$11,MATCH($D55,'Team and Gates'!$A$7:$A$11,0)))</x:f>
        <x:v>1440</x:v>
      </x:c>
      <x:c r="AF55" s="43" t="str">
        <x:v>Approved folders and Sent Items sync without skipped or duplicated work.</x:v>
      </x:c>
      <x:c r="AG55" s="43" t="str"/>
    </x:row>
    <x:row r="56" ht="36" customHeight="1">
      <x:c r="A56" s="2" t="str">
        <x:v>Q04</x:v>
      </x:c>
      <x:c r="B56" s="2" t="str">
        <x:v>Technical QA</x:v>
      </x:c>
      <x:c r="C56" s="2" t="str">
        <x:v>Persistent-job lease and idempotency automation</x:v>
      </x:c>
      <x:c r="D56" s="28" t="str">
        <x:v>Tester 1</x:v>
      </x:c>
      <x:c r="E56" s="2" t="str">
        <x:v>Q03, A04:SS</x:v>
      </x:c>
      <x:c r="F56" s="47" t="n">
        <x:v>16</x:v>
      </x:c>
      <x:c r="G56" s="47" t="n">
        <x:v>5</x:v>
      </x:c>
      <x:c r="H56" s="48" t="n">
        <x:v>4</x:v>
      </x:c>
      <x:c r="I56" s="2" t="n">
        <x:f>IF(OR(F56="",G56=""),"",F56+G56-1)</x:f>
        <x:v>20</x:v>
      </x:c>
      <x:c r="J56" s="5" t="n">
        <x:f>IF(OR(F56="",F56&lt;1,F56&gt;Calendar!$B$9),"",INDEX(Calendar!$A$16:$A$134,MATCH(F56,Calendar!$D$16:$D$134,0)))</x:f>
        <x:v>46349</x:v>
      </x:c>
      <x:c r="K56" s="5" t="n">
        <x:f>IF(OR(I56="",I56&lt;1,I56&gt;Calendar!$B$9),"",INDEX(Calendar!$A$16:$A$134,MATCH(I56,Calendar!$D$16:$D$134,0)))</x:f>
        <x:v>46353</x:v>
      </x:c>
      <x:c r="L56" s="50" t="n">
        <x:v>0</x:v>
      </x:c>
      <x:c r="M56" s="2" t="str">
        <x:f>IF(OR(F56="",G56="",H56=""),"Missing input",IF(OR(F56&lt;1,G56&lt;1,I56&gt;Calendar!$B$9),"Outside calendar",IF(F56&lt;MAX(INDEX($I$8:$I$85,MATCH("Q03",$A$8:$A$85,0))+1,INDEX($F$8:$F$85,MATCH("A04",$A$8:$A$85,0))),"Dependency conflict","Scheduled")))</x:f>
        <x:v>Scheduled</x:v>
      </x:c>
      <x:c r="N56" s="44" t="n">
        <x:f>IF(OR($J56="",$K56=""),"",IF(SUMIFS(Calendar!$C$16:$C$134,Calendar!$A$16:$A$134,"&gt;="&amp;MAX(N$7,$J56),Calendar!$A$16:$A$134,"&lt;="&amp;MIN(N$7+4,$K56))=0,0,IF($H56="","EXT",SUMIFS(Calendar!$C$16:$C$134,Calendar!$A$16:$A$134,"&gt;="&amp;MAX(N$7,$J56),Calendar!$A$16:$A$134,"&lt;="&amp;MIN(N$7+4,$K56))*$H56/$G56)))</x:f>
        <x:v>0</x:v>
      </x:c>
      <x:c r="O56" s="44" t="n">
        <x:f>IF(OR($J56="",$K56=""),"",IF(SUMIFS(Calendar!$C$16:$C$134,Calendar!$A$16:$A$134,"&gt;="&amp;MAX(O$7,$J56),Calendar!$A$16:$A$134,"&lt;="&amp;MIN(O$7+4,$K56))=0,0,IF($H56="","EXT",SUMIFS(Calendar!$C$16:$C$134,Calendar!$A$16:$A$134,"&gt;="&amp;MAX(O$7,$J56),Calendar!$A$16:$A$134,"&lt;="&amp;MIN(O$7+4,$K56))*$H56/$G56)))</x:f>
        <x:v>0</x:v>
      </x:c>
      <x:c r="P56" s="44" t="n">
        <x:f>IF(OR($J56="",$K56=""),"",IF(SUMIFS(Calendar!$C$16:$C$134,Calendar!$A$16:$A$134,"&gt;="&amp;MAX(P$7,$J56),Calendar!$A$16:$A$134,"&lt;="&amp;MIN(P$7+4,$K56))=0,0,IF($H56="","EXT",SUMIFS(Calendar!$C$16:$C$134,Calendar!$A$16:$A$134,"&gt;="&amp;MAX(P$7,$J56),Calendar!$A$16:$A$134,"&lt;="&amp;MIN(P$7+4,$K56))*$H56/$G56)))</x:f>
        <x:v>0</x:v>
      </x:c>
      <x:c r="Q56" s="44" t="n">
        <x:f>IF(OR($J56="",$K56=""),"",IF(SUMIFS(Calendar!$C$16:$C$134,Calendar!$A$16:$A$134,"&gt;="&amp;MAX(Q$7,$J56),Calendar!$A$16:$A$134,"&lt;="&amp;MIN(Q$7+4,$K56))=0,0,IF($H56="","EXT",SUMIFS(Calendar!$C$16:$C$134,Calendar!$A$16:$A$134,"&gt;="&amp;MAX(Q$7,$J56),Calendar!$A$16:$A$134,"&lt;="&amp;MIN(Q$7+4,$K56))*$H56/$G56)))</x:f>
        <x:v>4</x:v>
      </x:c>
      <x:c r="R56" s="44" t="n">
        <x:f>IF(OR($J56="",$K56=""),"",IF(SUMIFS(Calendar!$C$16:$C$134,Calendar!$A$16:$A$134,"&gt;="&amp;MAX(R$7,$J56),Calendar!$A$16:$A$134,"&lt;="&amp;MIN(R$7+4,$K56))=0,0,IF($H56="","EXT",SUMIFS(Calendar!$C$16:$C$134,Calendar!$A$16:$A$134,"&gt;="&amp;MAX(R$7,$J56),Calendar!$A$16:$A$134,"&lt;="&amp;MIN(R$7+4,$K56))*$H56/$G56)))</x:f>
        <x:v>0</x:v>
      </x:c>
      <x:c r="S56" s="44" t="n">
        <x:f>IF(OR($J56="",$K56=""),"",IF(SUMIFS(Calendar!$C$16:$C$134,Calendar!$A$16:$A$134,"&gt;="&amp;MAX(S$7,$J56),Calendar!$A$16:$A$134,"&lt;="&amp;MIN(S$7+4,$K56))=0,0,IF($H56="","EXT",SUMIFS(Calendar!$C$16:$C$134,Calendar!$A$16:$A$134,"&gt;="&amp;MAX(S$7,$J56),Calendar!$A$16:$A$134,"&lt;="&amp;MIN(S$7+4,$K56))*$H56/$G56)))</x:f>
        <x:v>0</x:v>
      </x:c>
      <x:c r="T56" s="44" t="n">
        <x:f>IF(OR($J56="",$K56=""),"",IF(SUMIFS(Calendar!$C$16:$C$134,Calendar!$A$16:$A$134,"&gt;="&amp;MAX(T$7,$J56),Calendar!$A$16:$A$134,"&lt;="&amp;MIN(T$7+4,$K56))=0,0,IF($H56="","EXT",SUMIFS(Calendar!$C$16:$C$134,Calendar!$A$16:$A$134,"&gt;="&amp;MAX(T$7,$J56),Calendar!$A$16:$A$134,"&lt;="&amp;MIN(T$7+4,$K56))*$H56/$G56)))</x:f>
        <x:v>0</x:v>
      </x:c>
      <x:c r="U56" s="44" t="n">
        <x:f>IF(OR($J56="",$K56=""),"",IF(SUMIFS(Calendar!$C$16:$C$134,Calendar!$A$16:$A$134,"&gt;="&amp;MAX(U$7,$J56),Calendar!$A$16:$A$134,"&lt;="&amp;MIN(U$7+4,$K56))=0,0,IF($H56="","EXT",SUMIFS(Calendar!$C$16:$C$134,Calendar!$A$16:$A$134,"&gt;="&amp;MAX(U$7,$J56),Calendar!$A$16:$A$134,"&lt;="&amp;MIN(U$7+4,$K56))*$H56/$G56)))</x:f>
        <x:v>0</x:v>
      </x:c>
      <x:c r="V56" s="44" t="n">
        <x:f>IF(OR($J56="",$K56=""),"",IF(SUMIFS(Calendar!$C$16:$C$134,Calendar!$A$16:$A$134,"&gt;="&amp;MAX(V$7,$J56),Calendar!$A$16:$A$134,"&lt;="&amp;MIN(V$7+4,$K56))=0,0,IF($H56="","EXT",SUMIFS(Calendar!$C$16:$C$134,Calendar!$A$16:$A$134,"&gt;="&amp;MAX(V$7,$J56),Calendar!$A$16:$A$134,"&lt;="&amp;MIN(V$7+4,$K56))*$H56/$G56)))</x:f>
        <x:v>0</x:v>
      </x:c>
      <x:c r="W56" s="44" t="n">
        <x:f>IF(OR($J56="",$K56=""),"",IF(SUMIFS(Calendar!$C$16:$C$134,Calendar!$A$16:$A$134,"&gt;="&amp;MAX(W$7,$J56),Calendar!$A$16:$A$134,"&lt;="&amp;MIN(W$7+4,$K56))=0,0,IF($H56="","EXT",SUMIFS(Calendar!$C$16:$C$134,Calendar!$A$16:$A$134,"&gt;="&amp;MAX(W$7,$J56),Calendar!$A$16:$A$134,"&lt;="&amp;MIN(W$7+4,$K56))*$H56/$G56)))</x:f>
        <x:v>0</x:v>
      </x:c>
      <x:c r="X56" s="44" t="n">
        <x:f>IF(OR($J56="",$K56=""),"",IF(SUMIFS(Calendar!$C$16:$C$134,Calendar!$A$16:$A$134,"&gt;="&amp;MAX(X$7,$J56),Calendar!$A$16:$A$134,"&lt;="&amp;MIN(X$7+4,$K56))=0,0,IF($H56="","EXT",SUMIFS(Calendar!$C$16:$C$134,Calendar!$A$16:$A$134,"&gt;="&amp;MAX(X$7,$J56),Calendar!$A$16:$A$134,"&lt;="&amp;MIN(X$7+4,$K56))*$H56/$G56)))</x:f>
        <x:v>0</x:v>
      </x:c>
      <x:c r="Y56" s="44" t="n">
        <x:f>IF(OR($J56="",$K56=""),"",IF(SUMIFS(Calendar!$C$16:$C$134,Calendar!$A$16:$A$134,"&gt;="&amp;MAX(Y$7,$J56),Calendar!$A$16:$A$134,"&lt;="&amp;MIN(Y$7+4,$K56))=0,0,IF($H56="","EXT",SUMIFS(Calendar!$C$16:$C$134,Calendar!$A$16:$A$134,"&gt;="&amp;MAX(Y$7,$J56),Calendar!$A$16:$A$134,"&lt;="&amp;MIN(Y$7+4,$K56))*$H56/$G56)))</x:f>
        <x:v>0</x:v>
      </x:c>
      <x:c r="Z56" s="44" t="n">
        <x:f>IF(OR($J56="",$K56=""),"",IF(SUMIFS(Calendar!$C$16:$C$134,Calendar!$A$16:$A$134,"&gt;="&amp;MAX(Z$7,$J56),Calendar!$A$16:$A$134,"&lt;="&amp;MIN(Z$7+4,$K56))=0,0,IF($H56="","EXT",SUMIFS(Calendar!$C$16:$C$134,Calendar!$A$16:$A$134,"&gt;="&amp;MAX(Z$7,$J56),Calendar!$A$16:$A$134,"&lt;="&amp;MIN(Z$7+4,$K56))*$H56/$G56)))</x:f>
        <x:v>0</x:v>
      </x:c>
      <x:c r="AA56" s="44" t="n">
        <x:f>IF(OR($J56="",$K56=""),"",IF(SUMIFS(Calendar!$C$16:$C$134,Calendar!$A$16:$A$134,"&gt;="&amp;MAX(AA$7,$J56),Calendar!$A$16:$A$134,"&lt;="&amp;MIN(AA$7+4,$K56))=0,0,IF($H56="","EXT",SUMIFS(Calendar!$C$16:$C$134,Calendar!$A$16:$A$134,"&gt;="&amp;MAX(AA$7,$J56),Calendar!$A$16:$A$134,"&lt;="&amp;MIN(AA$7+4,$K56))*$H56/$G56)))</x:f>
        <x:v>0</x:v>
      </x:c>
      <x:c r="AB56" s="44" t="n">
        <x:f>IF(OR($J56="",$K56=""),"",IF(SUMIFS(Calendar!$C$16:$C$134,Calendar!$A$16:$A$134,"&gt;="&amp;MAX(AB$7,$J56),Calendar!$A$16:$A$134,"&lt;="&amp;MIN(AB$7+4,$K56))=0,0,IF($H56="","EXT",SUMIFS(Calendar!$C$16:$C$134,Calendar!$A$16:$A$134,"&gt;="&amp;MAX(AB$7,$J56),Calendar!$A$16:$A$134,"&lt;="&amp;MIN(AB$7+4,$K56))*$H56/$G56)))</x:f>
        <x:v>0</x:v>
      </x:c>
      <x:c r="AC56" s="44" t="n">
        <x:f>IF(OR($J56="",$K56=""),"",IF(SUMIFS(Calendar!$C$16:$C$134,Calendar!$A$16:$A$134,"&gt;="&amp;MAX(AC$7,$J56),Calendar!$A$16:$A$134,"&lt;="&amp;MIN(AC$7+4,$K56))=0,0,IF($H56="","EXT",SUMIFS(Calendar!$C$16:$C$134,Calendar!$A$16:$A$134,"&gt;="&amp;MAX(AC$7,$J56),Calendar!$A$16:$A$134,"&lt;="&amp;MIN(AC$7+4,$K56))*$H56/$G56)))</x:f>
        <x:v>0</x:v>
      </x:c>
      <x:c r="AD56" s="44" t="n">
        <x:f>IF(OR($J56="",$K56=""),"",IF(SUMIFS(Calendar!$C$16:$C$134,Calendar!$A$16:$A$134,"&gt;="&amp;MAX(AD$7,$J56),Calendar!$A$16:$A$134,"&lt;="&amp;MIN(AD$7+4,$K56))=0,0,IF($H56="","EXT",SUMIFS(Calendar!$C$16:$C$134,Calendar!$A$16:$A$134,"&gt;="&amp;MAX(AD$7,$J56),Calendar!$A$16:$A$134,"&lt;="&amp;MIN(AD$7+4,$K56))*$H56/$G56)))</x:f>
        <x:v>0</x:v>
      </x:c>
      <x:c r="AE56" s="42" t="n">
        <x:f>IF(OR(M56&lt;&gt;"Scheduled",INDEX('Team and Gates'!$C$7:$C$11,MATCH($D56,'Team and Gates'!$A$7:$A$11,0))=""),"CHECK",SUM(N56:AD56)*INDEX('Team and Gates'!$C$7:$C$11,MATCH($D56,'Team and Gates'!$A$7:$A$11,0)))</x:f>
        <x:v>1440</x:v>
      </x:c>
      <x:c r="AF56" s="43" t="str">
        <x:v>Crash, duplicate claim, late response and lost-commit acknowledgements are tested.</x:v>
      </x:c>
      <x:c r="AG56" s="43" t="str"/>
    </x:row>
    <x:row r="57" ht="36" customHeight="1">
      <x:c r="A57" s="35" t="str">
        <x:v>Q05</x:v>
      </x:c>
      <x:c r="B57" s="35" t="str">
        <x:v>Technical QA</x:v>
      </x:c>
      <x:c r="C57" s="35" t="str">
        <x:v>Triage, draft and scope-negative API testing</x:v>
      </x:c>
      <x:c r="D57" s="28" t="str">
        <x:v>Tester 1</x:v>
      </x:c>
      <x:c r="E57" s="35" t="str">
        <x:v>Q04, A05:SS, B05:SS</x:v>
      </x:c>
      <x:c r="F57" s="47" t="n">
        <x:v>21</x:v>
      </x:c>
      <x:c r="G57" s="47" t="n">
        <x:v>5</x:v>
      </x:c>
      <x:c r="H57" s="48" t="n">
        <x:v>4</x:v>
      </x:c>
      <x:c r="I57" s="35" t="n">
        <x:f>IF(OR(F57="",G57=""),"",F57+G57-1)</x:f>
        <x:v>25</x:v>
      </x:c>
      <x:c r="J57" s="37" t="n">
        <x:f>IF(OR(F57="",F57&lt;1,F57&gt;Calendar!$B$9),"",INDEX(Calendar!$A$16:$A$134,MATCH(F57,Calendar!$D$16:$D$134,0)))</x:f>
        <x:v>46356</x:v>
      </x:c>
      <x:c r="K57" s="37" t="n">
        <x:f>IF(OR(I57="",I57&lt;1,I57&gt;Calendar!$B$9),"",INDEX(Calendar!$A$16:$A$134,MATCH(I57,Calendar!$D$16:$D$134,0)))</x:f>
        <x:v>46360</x:v>
      </x:c>
      <x:c r="L57" s="50" t="n">
        <x:v>0</x:v>
      </x:c>
      <x:c r="M57" s="35" t="str">
        <x:f>IF(OR(F57="",G57="",H57=""),"Missing input",IF(OR(F57&lt;1,G57&lt;1,I57&gt;Calendar!$B$9),"Outside calendar",IF(F57&lt;MAX(INDEX($I$8:$I$85,MATCH("Q04",$A$8:$A$85,0))+1,INDEX($F$8:$F$85,MATCH("A05",$A$8:$A$85,0)),INDEX($F$8:$F$85,MATCH("B05",$A$8:$A$85,0))),"Dependency conflict","Scheduled")))</x:f>
        <x:v>Scheduled</x:v>
      </x:c>
      <x:c r="N57" s="44" t="n">
        <x:f>IF(OR($J57="",$K57=""),"",IF(SUMIFS(Calendar!$C$16:$C$134,Calendar!$A$16:$A$134,"&gt;="&amp;MAX(N$7,$J57),Calendar!$A$16:$A$134,"&lt;="&amp;MIN(N$7+4,$K57))=0,0,IF($H57="","EXT",SUMIFS(Calendar!$C$16:$C$134,Calendar!$A$16:$A$134,"&gt;="&amp;MAX(N$7,$J57),Calendar!$A$16:$A$134,"&lt;="&amp;MIN(N$7+4,$K57))*$H57/$G57)))</x:f>
        <x:v>0</x:v>
      </x:c>
      <x:c r="O57" s="44" t="n">
        <x:f>IF(OR($J57="",$K57=""),"",IF(SUMIFS(Calendar!$C$16:$C$134,Calendar!$A$16:$A$134,"&gt;="&amp;MAX(O$7,$J57),Calendar!$A$16:$A$134,"&lt;="&amp;MIN(O$7+4,$K57))=0,0,IF($H57="","EXT",SUMIFS(Calendar!$C$16:$C$134,Calendar!$A$16:$A$134,"&gt;="&amp;MAX(O$7,$J57),Calendar!$A$16:$A$134,"&lt;="&amp;MIN(O$7+4,$K57))*$H57/$G57)))</x:f>
        <x:v>0</x:v>
      </x:c>
      <x:c r="P57" s="44" t="n">
        <x:f>IF(OR($J57="",$K57=""),"",IF(SUMIFS(Calendar!$C$16:$C$134,Calendar!$A$16:$A$134,"&gt;="&amp;MAX(P$7,$J57),Calendar!$A$16:$A$134,"&lt;="&amp;MIN(P$7+4,$K57))=0,0,IF($H57="","EXT",SUMIFS(Calendar!$C$16:$C$134,Calendar!$A$16:$A$134,"&gt;="&amp;MAX(P$7,$J57),Calendar!$A$16:$A$134,"&lt;="&amp;MIN(P$7+4,$K57))*$H57/$G57)))</x:f>
        <x:v>0</x:v>
      </x:c>
      <x:c r="Q57" s="44" t="n">
        <x:f>IF(OR($J57="",$K57=""),"",IF(SUMIFS(Calendar!$C$16:$C$134,Calendar!$A$16:$A$134,"&gt;="&amp;MAX(Q$7,$J57),Calendar!$A$16:$A$134,"&lt;="&amp;MIN(Q$7+4,$K57))=0,0,IF($H57="","EXT",SUMIFS(Calendar!$C$16:$C$134,Calendar!$A$16:$A$134,"&gt;="&amp;MAX(Q$7,$J57),Calendar!$A$16:$A$134,"&lt;="&amp;MIN(Q$7+4,$K57))*$H57/$G57)))</x:f>
        <x:v>0</x:v>
      </x:c>
      <x:c r="R57" s="44" t="n">
        <x:f>IF(OR($J57="",$K57=""),"",IF(SUMIFS(Calendar!$C$16:$C$134,Calendar!$A$16:$A$134,"&gt;="&amp;MAX(R$7,$J57),Calendar!$A$16:$A$134,"&lt;="&amp;MIN(R$7+4,$K57))=0,0,IF($H57="","EXT",SUMIFS(Calendar!$C$16:$C$134,Calendar!$A$16:$A$134,"&gt;="&amp;MAX(R$7,$J57),Calendar!$A$16:$A$134,"&lt;="&amp;MIN(R$7+4,$K57))*$H57/$G57)))</x:f>
        <x:v>4</x:v>
      </x:c>
      <x:c r="S57" s="44" t="n">
        <x:f>IF(OR($J57="",$K57=""),"",IF(SUMIFS(Calendar!$C$16:$C$134,Calendar!$A$16:$A$134,"&gt;="&amp;MAX(S$7,$J57),Calendar!$A$16:$A$134,"&lt;="&amp;MIN(S$7+4,$K57))=0,0,IF($H57="","EXT",SUMIFS(Calendar!$C$16:$C$134,Calendar!$A$16:$A$134,"&gt;="&amp;MAX(S$7,$J57),Calendar!$A$16:$A$134,"&lt;="&amp;MIN(S$7+4,$K57))*$H57/$G57)))</x:f>
        <x:v>0</x:v>
      </x:c>
      <x:c r="T57" s="44" t="n">
        <x:f>IF(OR($J57="",$K57=""),"",IF(SUMIFS(Calendar!$C$16:$C$134,Calendar!$A$16:$A$134,"&gt;="&amp;MAX(T$7,$J57),Calendar!$A$16:$A$134,"&lt;="&amp;MIN(T$7+4,$K57))=0,0,IF($H57="","EXT",SUMIFS(Calendar!$C$16:$C$134,Calendar!$A$16:$A$134,"&gt;="&amp;MAX(T$7,$J57),Calendar!$A$16:$A$134,"&lt;="&amp;MIN(T$7+4,$K57))*$H57/$G57)))</x:f>
        <x:v>0</x:v>
      </x:c>
      <x:c r="U57" s="44" t="n">
        <x:f>IF(OR($J57="",$K57=""),"",IF(SUMIFS(Calendar!$C$16:$C$134,Calendar!$A$16:$A$134,"&gt;="&amp;MAX(U$7,$J57),Calendar!$A$16:$A$134,"&lt;="&amp;MIN(U$7+4,$K57))=0,0,IF($H57="","EXT",SUMIFS(Calendar!$C$16:$C$134,Calendar!$A$16:$A$134,"&gt;="&amp;MAX(U$7,$J57),Calendar!$A$16:$A$134,"&lt;="&amp;MIN(U$7+4,$K57))*$H57/$G57)))</x:f>
        <x:v>0</x:v>
      </x:c>
      <x:c r="V57" s="44" t="n">
        <x:f>IF(OR($J57="",$K57=""),"",IF(SUMIFS(Calendar!$C$16:$C$134,Calendar!$A$16:$A$134,"&gt;="&amp;MAX(V$7,$J57),Calendar!$A$16:$A$134,"&lt;="&amp;MIN(V$7+4,$K57))=0,0,IF($H57="","EXT",SUMIFS(Calendar!$C$16:$C$134,Calendar!$A$16:$A$134,"&gt;="&amp;MAX(V$7,$J57),Calendar!$A$16:$A$134,"&lt;="&amp;MIN(V$7+4,$K57))*$H57/$G57)))</x:f>
        <x:v>0</x:v>
      </x:c>
      <x:c r="W57" s="44" t="n">
        <x:f>IF(OR($J57="",$K57=""),"",IF(SUMIFS(Calendar!$C$16:$C$134,Calendar!$A$16:$A$134,"&gt;="&amp;MAX(W$7,$J57),Calendar!$A$16:$A$134,"&lt;="&amp;MIN(W$7+4,$K57))=0,0,IF($H57="","EXT",SUMIFS(Calendar!$C$16:$C$134,Calendar!$A$16:$A$134,"&gt;="&amp;MAX(W$7,$J57),Calendar!$A$16:$A$134,"&lt;="&amp;MIN(W$7+4,$K57))*$H57/$G57)))</x:f>
        <x:v>0</x:v>
      </x:c>
      <x:c r="X57" s="44" t="n">
        <x:f>IF(OR($J57="",$K57=""),"",IF(SUMIFS(Calendar!$C$16:$C$134,Calendar!$A$16:$A$134,"&gt;="&amp;MAX(X$7,$J57),Calendar!$A$16:$A$134,"&lt;="&amp;MIN(X$7+4,$K57))=0,0,IF($H57="","EXT",SUMIFS(Calendar!$C$16:$C$134,Calendar!$A$16:$A$134,"&gt;="&amp;MAX(X$7,$J57),Calendar!$A$16:$A$134,"&lt;="&amp;MIN(X$7+4,$K57))*$H57/$G57)))</x:f>
        <x:v>0</x:v>
      </x:c>
      <x:c r="Y57" s="44" t="n">
        <x:f>IF(OR($J57="",$K57=""),"",IF(SUMIFS(Calendar!$C$16:$C$134,Calendar!$A$16:$A$134,"&gt;="&amp;MAX(Y$7,$J57),Calendar!$A$16:$A$134,"&lt;="&amp;MIN(Y$7+4,$K57))=0,0,IF($H57="","EXT",SUMIFS(Calendar!$C$16:$C$134,Calendar!$A$16:$A$134,"&gt;="&amp;MAX(Y$7,$J57),Calendar!$A$16:$A$134,"&lt;="&amp;MIN(Y$7+4,$K57))*$H57/$G57)))</x:f>
        <x:v>0</x:v>
      </x:c>
      <x:c r="Z57" s="44" t="n">
        <x:f>IF(OR($J57="",$K57=""),"",IF(SUMIFS(Calendar!$C$16:$C$134,Calendar!$A$16:$A$134,"&gt;="&amp;MAX(Z$7,$J57),Calendar!$A$16:$A$134,"&lt;="&amp;MIN(Z$7+4,$K57))=0,0,IF($H57="","EXT",SUMIFS(Calendar!$C$16:$C$134,Calendar!$A$16:$A$134,"&gt;="&amp;MAX(Z$7,$J57),Calendar!$A$16:$A$134,"&lt;="&amp;MIN(Z$7+4,$K57))*$H57/$G57)))</x:f>
        <x:v>0</x:v>
      </x:c>
      <x:c r="AA57" s="44" t="n">
        <x:f>IF(OR($J57="",$K57=""),"",IF(SUMIFS(Calendar!$C$16:$C$134,Calendar!$A$16:$A$134,"&gt;="&amp;MAX(AA$7,$J57),Calendar!$A$16:$A$134,"&lt;="&amp;MIN(AA$7+4,$K57))=0,0,IF($H57="","EXT",SUMIFS(Calendar!$C$16:$C$134,Calendar!$A$16:$A$134,"&gt;="&amp;MAX(AA$7,$J57),Calendar!$A$16:$A$134,"&lt;="&amp;MIN(AA$7+4,$K57))*$H57/$G57)))</x:f>
        <x:v>0</x:v>
      </x:c>
      <x:c r="AB57" s="44" t="n">
        <x:f>IF(OR($J57="",$K57=""),"",IF(SUMIFS(Calendar!$C$16:$C$134,Calendar!$A$16:$A$134,"&gt;="&amp;MAX(AB$7,$J57),Calendar!$A$16:$A$134,"&lt;="&amp;MIN(AB$7+4,$K57))=0,0,IF($H57="","EXT",SUMIFS(Calendar!$C$16:$C$134,Calendar!$A$16:$A$134,"&gt;="&amp;MAX(AB$7,$J57),Calendar!$A$16:$A$134,"&lt;="&amp;MIN(AB$7+4,$K57))*$H57/$G57)))</x:f>
        <x:v>0</x:v>
      </x:c>
      <x:c r="AC57" s="44" t="n">
        <x:f>IF(OR($J57="",$K57=""),"",IF(SUMIFS(Calendar!$C$16:$C$134,Calendar!$A$16:$A$134,"&gt;="&amp;MAX(AC$7,$J57),Calendar!$A$16:$A$134,"&lt;="&amp;MIN(AC$7+4,$K57))=0,0,IF($H57="","EXT",SUMIFS(Calendar!$C$16:$C$134,Calendar!$A$16:$A$134,"&gt;="&amp;MAX(AC$7,$J57),Calendar!$A$16:$A$134,"&lt;="&amp;MIN(AC$7+4,$K57))*$H57/$G57)))</x:f>
        <x:v>0</x:v>
      </x:c>
      <x:c r="AD57" s="44" t="n">
        <x:f>IF(OR($J57="",$K57=""),"",IF(SUMIFS(Calendar!$C$16:$C$134,Calendar!$A$16:$A$134,"&gt;="&amp;MAX(AD$7,$J57),Calendar!$A$16:$A$134,"&lt;="&amp;MIN(AD$7+4,$K57))=0,0,IF($H57="","EXT",SUMIFS(Calendar!$C$16:$C$134,Calendar!$A$16:$A$134,"&gt;="&amp;MAX(AD$7,$J57),Calendar!$A$16:$A$134,"&lt;="&amp;MIN(AD$7+4,$K57))*$H57/$G57)))</x:f>
        <x:v>0</x:v>
      </x:c>
      <x:c r="AE57" s="42" t="n">
        <x:f>IF(OR(M57&lt;&gt;"Scheduled",INDEX('Team and Gates'!$C$7:$C$11,MATCH($D57,'Team and Gates'!$A$7:$A$11,0))=""),"CHECK",SUM(N57:AD57)*INDEX('Team and Gates'!$C$7:$C$11,MATCH($D57,'Team and Gates'!$A$7:$A$11,0)))</x:f>
        <x:v>1440</x:v>
      </x:c>
      <x:c r="AF57" s="43" t="str">
        <x:v>Duplicate Cases, unauthorized sources and malformed inputs are rejected.</x:v>
      </x:c>
      <x:c r="AG57" s="43" t="str"/>
    </x:row>
    <x:row r="58" ht="36" customHeight="1">
      <x:c r="A58" s="2" t="str">
        <x:v>Q06</x:v>
      </x:c>
      <x:c r="B58" s="2" t="str">
        <x:v>Technical QA</x:v>
      </x:c>
      <x:c r="C58" s="2" t="str">
        <x:v>Approve-and-send integration and fault injection</x:v>
      </x:c>
      <x:c r="D58" s="28" t="str">
        <x:v>Tester 1</x:v>
      </x:c>
      <x:c r="E58" s="2" t="str">
        <x:v>Q05, A06:SS, B06:SS</x:v>
      </x:c>
      <x:c r="F58" s="47" t="n">
        <x:v>26</x:v>
      </x:c>
      <x:c r="G58" s="47" t="n">
        <x:v>5</x:v>
      </x:c>
      <x:c r="H58" s="48" t="n">
        <x:v>4</x:v>
      </x:c>
      <x:c r="I58" s="2" t="n">
        <x:f>IF(OR(F58="",G58=""),"",F58+G58-1)</x:f>
        <x:v>30</x:v>
      </x:c>
      <x:c r="J58" s="5" t="n">
        <x:f>IF(OR(F58="",F58&lt;1,F58&gt;Calendar!$B$9),"",INDEX(Calendar!$A$16:$A$134,MATCH(F58,Calendar!$D$16:$D$134,0)))</x:f>
        <x:v>46363</x:v>
      </x:c>
      <x:c r="K58" s="5" t="n">
        <x:f>IF(OR(I58="",I58&lt;1,I58&gt;Calendar!$B$9),"",INDEX(Calendar!$A$16:$A$134,MATCH(I58,Calendar!$D$16:$D$134,0)))</x:f>
        <x:v>46367</x:v>
      </x:c>
      <x:c r="L58" s="50" t="n">
        <x:v>0</x:v>
      </x:c>
      <x:c r="M58" s="2" t="str">
        <x:f>IF(OR(F58="",G58="",H58=""),"Missing input",IF(OR(F58&lt;1,G58&lt;1,I58&gt;Calendar!$B$9),"Outside calendar",IF(F58&lt;MAX(INDEX($I$8:$I$85,MATCH("Q05",$A$8:$A$85,0))+1,INDEX($F$8:$F$85,MATCH("A06",$A$8:$A$85,0)),INDEX($F$8:$F$85,MATCH("B06",$A$8:$A$85,0))),"Dependency conflict","Scheduled")))</x:f>
        <x:v>Scheduled</x:v>
      </x:c>
      <x:c r="N58" s="44" t="n">
        <x:f>IF(OR($J58="",$K58=""),"",IF(SUMIFS(Calendar!$C$16:$C$134,Calendar!$A$16:$A$134,"&gt;="&amp;MAX(N$7,$J58),Calendar!$A$16:$A$134,"&lt;="&amp;MIN(N$7+4,$K58))=0,0,IF($H58="","EXT",SUMIFS(Calendar!$C$16:$C$134,Calendar!$A$16:$A$134,"&gt;="&amp;MAX(N$7,$J58),Calendar!$A$16:$A$134,"&lt;="&amp;MIN(N$7+4,$K58))*$H58/$G58)))</x:f>
        <x:v>0</x:v>
      </x:c>
      <x:c r="O58" s="44" t="n">
        <x:f>IF(OR($J58="",$K58=""),"",IF(SUMIFS(Calendar!$C$16:$C$134,Calendar!$A$16:$A$134,"&gt;="&amp;MAX(O$7,$J58),Calendar!$A$16:$A$134,"&lt;="&amp;MIN(O$7+4,$K58))=0,0,IF($H58="","EXT",SUMIFS(Calendar!$C$16:$C$134,Calendar!$A$16:$A$134,"&gt;="&amp;MAX(O$7,$J58),Calendar!$A$16:$A$134,"&lt;="&amp;MIN(O$7+4,$K58))*$H58/$G58)))</x:f>
        <x:v>0</x:v>
      </x:c>
      <x:c r="P58" s="44" t="n">
        <x:f>IF(OR($J58="",$K58=""),"",IF(SUMIFS(Calendar!$C$16:$C$134,Calendar!$A$16:$A$134,"&gt;="&amp;MAX(P$7,$J58),Calendar!$A$16:$A$134,"&lt;="&amp;MIN(P$7+4,$K58))=0,0,IF($H58="","EXT",SUMIFS(Calendar!$C$16:$C$134,Calendar!$A$16:$A$134,"&gt;="&amp;MAX(P$7,$J58),Calendar!$A$16:$A$134,"&lt;="&amp;MIN(P$7+4,$K58))*$H58/$G58)))</x:f>
        <x:v>0</x:v>
      </x:c>
      <x:c r="Q58" s="44" t="n">
        <x:f>IF(OR($J58="",$K58=""),"",IF(SUMIFS(Calendar!$C$16:$C$134,Calendar!$A$16:$A$134,"&gt;="&amp;MAX(Q$7,$J58),Calendar!$A$16:$A$134,"&lt;="&amp;MIN(Q$7+4,$K58))=0,0,IF($H58="","EXT",SUMIFS(Calendar!$C$16:$C$134,Calendar!$A$16:$A$134,"&gt;="&amp;MAX(Q$7,$J58),Calendar!$A$16:$A$134,"&lt;="&amp;MIN(Q$7+4,$K58))*$H58/$G58)))</x:f>
        <x:v>0</x:v>
      </x:c>
      <x:c r="R58" s="44" t="n">
        <x:f>IF(OR($J58="",$K58=""),"",IF(SUMIFS(Calendar!$C$16:$C$134,Calendar!$A$16:$A$134,"&gt;="&amp;MAX(R$7,$J58),Calendar!$A$16:$A$134,"&lt;="&amp;MIN(R$7+4,$K58))=0,0,IF($H58="","EXT",SUMIFS(Calendar!$C$16:$C$134,Calendar!$A$16:$A$134,"&gt;="&amp;MAX(R$7,$J58),Calendar!$A$16:$A$134,"&lt;="&amp;MIN(R$7+4,$K58))*$H58/$G58)))</x:f>
        <x:v>0</x:v>
      </x:c>
      <x:c r="S58" s="44" t="n">
        <x:f>IF(OR($J58="",$K58=""),"",IF(SUMIFS(Calendar!$C$16:$C$134,Calendar!$A$16:$A$134,"&gt;="&amp;MAX(S$7,$J58),Calendar!$A$16:$A$134,"&lt;="&amp;MIN(S$7+4,$K58))=0,0,IF($H58="","EXT",SUMIFS(Calendar!$C$16:$C$134,Calendar!$A$16:$A$134,"&gt;="&amp;MAX(S$7,$J58),Calendar!$A$16:$A$134,"&lt;="&amp;MIN(S$7+4,$K58))*$H58/$G58)))</x:f>
        <x:v>4</x:v>
      </x:c>
      <x:c r="T58" s="44" t="n">
        <x:f>IF(OR($J58="",$K58=""),"",IF(SUMIFS(Calendar!$C$16:$C$134,Calendar!$A$16:$A$134,"&gt;="&amp;MAX(T$7,$J58),Calendar!$A$16:$A$134,"&lt;="&amp;MIN(T$7+4,$K58))=0,0,IF($H58="","EXT",SUMIFS(Calendar!$C$16:$C$134,Calendar!$A$16:$A$134,"&gt;="&amp;MAX(T$7,$J58),Calendar!$A$16:$A$134,"&lt;="&amp;MIN(T$7+4,$K58))*$H58/$G58)))</x:f>
        <x:v>0</x:v>
      </x:c>
      <x:c r="U58" s="44" t="n">
        <x:f>IF(OR($J58="",$K58=""),"",IF(SUMIFS(Calendar!$C$16:$C$134,Calendar!$A$16:$A$134,"&gt;="&amp;MAX(U$7,$J58),Calendar!$A$16:$A$134,"&lt;="&amp;MIN(U$7+4,$K58))=0,0,IF($H58="","EXT",SUMIFS(Calendar!$C$16:$C$134,Calendar!$A$16:$A$134,"&gt;="&amp;MAX(U$7,$J58),Calendar!$A$16:$A$134,"&lt;="&amp;MIN(U$7+4,$K58))*$H58/$G58)))</x:f>
        <x:v>0</x:v>
      </x:c>
      <x:c r="V58" s="44" t="n">
        <x:f>IF(OR($J58="",$K58=""),"",IF(SUMIFS(Calendar!$C$16:$C$134,Calendar!$A$16:$A$134,"&gt;="&amp;MAX(V$7,$J58),Calendar!$A$16:$A$134,"&lt;="&amp;MIN(V$7+4,$K58))=0,0,IF($H58="","EXT",SUMIFS(Calendar!$C$16:$C$134,Calendar!$A$16:$A$134,"&gt;="&amp;MAX(V$7,$J58),Calendar!$A$16:$A$134,"&lt;="&amp;MIN(V$7+4,$K58))*$H58/$G58)))</x:f>
        <x:v>0</x:v>
      </x:c>
      <x:c r="W58" s="44" t="n">
        <x:f>IF(OR($J58="",$K58=""),"",IF(SUMIFS(Calendar!$C$16:$C$134,Calendar!$A$16:$A$134,"&gt;="&amp;MAX(W$7,$J58),Calendar!$A$16:$A$134,"&lt;="&amp;MIN(W$7+4,$K58))=0,0,IF($H58="","EXT",SUMIFS(Calendar!$C$16:$C$134,Calendar!$A$16:$A$134,"&gt;="&amp;MAX(W$7,$J58),Calendar!$A$16:$A$134,"&lt;="&amp;MIN(W$7+4,$K58))*$H58/$G58)))</x:f>
        <x:v>0</x:v>
      </x:c>
      <x:c r="X58" s="44" t="n">
        <x:f>IF(OR($J58="",$K58=""),"",IF(SUMIFS(Calendar!$C$16:$C$134,Calendar!$A$16:$A$134,"&gt;="&amp;MAX(X$7,$J58),Calendar!$A$16:$A$134,"&lt;="&amp;MIN(X$7+4,$K58))=0,0,IF($H58="","EXT",SUMIFS(Calendar!$C$16:$C$134,Calendar!$A$16:$A$134,"&gt;="&amp;MAX(X$7,$J58),Calendar!$A$16:$A$134,"&lt;="&amp;MIN(X$7+4,$K58))*$H58/$G58)))</x:f>
        <x:v>0</x:v>
      </x:c>
      <x:c r="Y58" s="44" t="n">
        <x:f>IF(OR($J58="",$K58=""),"",IF(SUMIFS(Calendar!$C$16:$C$134,Calendar!$A$16:$A$134,"&gt;="&amp;MAX(Y$7,$J58),Calendar!$A$16:$A$134,"&lt;="&amp;MIN(Y$7+4,$K58))=0,0,IF($H58="","EXT",SUMIFS(Calendar!$C$16:$C$134,Calendar!$A$16:$A$134,"&gt;="&amp;MAX(Y$7,$J58),Calendar!$A$16:$A$134,"&lt;="&amp;MIN(Y$7+4,$K58))*$H58/$G58)))</x:f>
        <x:v>0</x:v>
      </x:c>
      <x:c r="Z58" s="44" t="n">
        <x:f>IF(OR($J58="",$K58=""),"",IF(SUMIFS(Calendar!$C$16:$C$134,Calendar!$A$16:$A$134,"&gt;="&amp;MAX(Z$7,$J58),Calendar!$A$16:$A$134,"&lt;="&amp;MIN(Z$7+4,$K58))=0,0,IF($H58="","EXT",SUMIFS(Calendar!$C$16:$C$134,Calendar!$A$16:$A$134,"&gt;="&amp;MAX(Z$7,$J58),Calendar!$A$16:$A$134,"&lt;="&amp;MIN(Z$7+4,$K58))*$H58/$G58)))</x:f>
        <x:v>0</x:v>
      </x:c>
      <x:c r="AA58" s="44" t="n">
        <x:f>IF(OR($J58="",$K58=""),"",IF(SUMIFS(Calendar!$C$16:$C$134,Calendar!$A$16:$A$134,"&gt;="&amp;MAX(AA$7,$J58),Calendar!$A$16:$A$134,"&lt;="&amp;MIN(AA$7+4,$K58))=0,0,IF($H58="","EXT",SUMIFS(Calendar!$C$16:$C$134,Calendar!$A$16:$A$134,"&gt;="&amp;MAX(AA$7,$J58),Calendar!$A$16:$A$134,"&lt;="&amp;MIN(AA$7+4,$K58))*$H58/$G58)))</x:f>
        <x:v>0</x:v>
      </x:c>
      <x:c r="AB58" s="44" t="n">
        <x:f>IF(OR($J58="",$K58=""),"",IF(SUMIFS(Calendar!$C$16:$C$134,Calendar!$A$16:$A$134,"&gt;="&amp;MAX(AB$7,$J58),Calendar!$A$16:$A$134,"&lt;="&amp;MIN(AB$7+4,$K58))=0,0,IF($H58="","EXT",SUMIFS(Calendar!$C$16:$C$134,Calendar!$A$16:$A$134,"&gt;="&amp;MAX(AB$7,$J58),Calendar!$A$16:$A$134,"&lt;="&amp;MIN(AB$7+4,$K58))*$H58/$G58)))</x:f>
        <x:v>0</x:v>
      </x:c>
      <x:c r="AC58" s="44" t="n">
        <x:f>IF(OR($J58="",$K58=""),"",IF(SUMIFS(Calendar!$C$16:$C$134,Calendar!$A$16:$A$134,"&gt;="&amp;MAX(AC$7,$J58),Calendar!$A$16:$A$134,"&lt;="&amp;MIN(AC$7+4,$K58))=0,0,IF($H58="","EXT",SUMIFS(Calendar!$C$16:$C$134,Calendar!$A$16:$A$134,"&gt;="&amp;MAX(AC$7,$J58),Calendar!$A$16:$A$134,"&lt;="&amp;MIN(AC$7+4,$K58))*$H58/$G58)))</x:f>
        <x:v>0</x:v>
      </x:c>
      <x:c r="AD58" s="44" t="n">
        <x:f>IF(OR($J58="",$K58=""),"",IF(SUMIFS(Calendar!$C$16:$C$134,Calendar!$A$16:$A$134,"&gt;="&amp;MAX(AD$7,$J58),Calendar!$A$16:$A$134,"&lt;="&amp;MIN(AD$7+4,$K58))=0,0,IF($H58="","EXT",SUMIFS(Calendar!$C$16:$C$134,Calendar!$A$16:$A$134,"&gt;="&amp;MAX(AD$7,$J58),Calendar!$A$16:$A$134,"&lt;="&amp;MIN(AD$7+4,$K58))*$H58/$G58)))</x:f>
        <x:v>0</x:v>
      </x:c>
      <x:c r="AE58" s="42" t="n">
        <x:f>IF(OR(M58&lt;&gt;"Scheduled",INDEX('Team and Gates'!$C$7:$C$11,MATCH($D58,'Team and Gates'!$A$7:$A$11,0))=""),"CHECK",SUM(N58:AD58)*INDEX('Team and Gates'!$C$7:$C$11,MATCH($D58,'Team and Gates'!$A$7:$A$11,0)))</x:f>
        <x:v>1440</x:v>
      </x:c>
      <x:c r="AF58" s="43" t="str">
        <x:v>Real test mailbox sends; duplicate approval and JVM loss cannot blindly resend.</x:v>
      </x:c>
      <x:c r="AG58" s="43" t="str"/>
    </x:row>
    <x:row r="59" ht="36" customHeight="1">
      <x:c r="A59" s="35" t="str">
        <x:v>Q07</x:v>
      </x:c>
      <x:c r="B59" s="35" t="str">
        <x:v>Technical QA</x:v>
      </x:c>
      <x:c r="C59" s="35" t="str">
        <x:v>Send reconciliation and Outlook-human-reply tests</x:v>
      </x:c>
      <x:c r="D59" s="28" t="str">
        <x:v>Tester 1</x:v>
      </x:c>
      <x:c r="E59" s="35" t="str">
        <x:v>Q06, A07:SS</x:v>
      </x:c>
      <x:c r="F59" s="47" t="n">
        <x:v>31</x:v>
      </x:c>
      <x:c r="G59" s="47" t="n">
        <x:v>5</x:v>
      </x:c>
      <x:c r="H59" s="48" t="n">
        <x:v>4</x:v>
      </x:c>
      <x:c r="I59" s="35" t="n">
        <x:f>IF(OR(F59="",G59=""),"",F59+G59-1)</x:f>
        <x:v>35</x:v>
      </x:c>
      <x:c r="J59" s="37" t="n">
        <x:f>IF(OR(F59="",F59&lt;1,F59&gt;Calendar!$B$9),"",INDEX(Calendar!$A$16:$A$134,MATCH(F59,Calendar!$D$16:$D$134,0)))</x:f>
        <x:v>46370</x:v>
      </x:c>
      <x:c r="K59" s="37" t="n">
        <x:f>IF(OR(I59="",I59&lt;1,I59&gt;Calendar!$B$9),"",INDEX(Calendar!$A$16:$A$134,MATCH(I59,Calendar!$D$16:$D$134,0)))</x:f>
        <x:v>46374</x:v>
      </x:c>
      <x:c r="L59" s="50" t="n">
        <x:v>0</x:v>
      </x:c>
      <x:c r="M59" s="35" t="str">
        <x:f>IF(OR(F59="",G59="",H59=""),"Missing input",IF(OR(F59&lt;1,G59&lt;1,I59&gt;Calendar!$B$9),"Outside calendar",IF(F59&lt;MAX(INDEX($I$8:$I$85,MATCH("Q06",$A$8:$A$85,0))+1,INDEX($F$8:$F$85,MATCH("A07",$A$8:$A$85,0))),"Dependency conflict","Scheduled")))</x:f>
        <x:v>Scheduled</x:v>
      </x:c>
      <x:c r="N59" s="44" t="n">
        <x:f>IF(OR($J59="",$K59=""),"",IF(SUMIFS(Calendar!$C$16:$C$134,Calendar!$A$16:$A$134,"&gt;="&amp;MAX(N$7,$J59),Calendar!$A$16:$A$134,"&lt;="&amp;MIN(N$7+4,$K59))=0,0,IF($H59="","EXT",SUMIFS(Calendar!$C$16:$C$134,Calendar!$A$16:$A$134,"&gt;="&amp;MAX(N$7,$J59),Calendar!$A$16:$A$134,"&lt;="&amp;MIN(N$7+4,$K59))*$H59/$G59)))</x:f>
        <x:v>0</x:v>
      </x:c>
      <x:c r="O59" s="44" t="n">
        <x:f>IF(OR($J59="",$K59=""),"",IF(SUMIFS(Calendar!$C$16:$C$134,Calendar!$A$16:$A$134,"&gt;="&amp;MAX(O$7,$J59),Calendar!$A$16:$A$134,"&lt;="&amp;MIN(O$7+4,$K59))=0,0,IF($H59="","EXT",SUMIFS(Calendar!$C$16:$C$134,Calendar!$A$16:$A$134,"&gt;="&amp;MAX(O$7,$J59),Calendar!$A$16:$A$134,"&lt;="&amp;MIN(O$7+4,$K59))*$H59/$G59)))</x:f>
        <x:v>0</x:v>
      </x:c>
      <x:c r="P59" s="44" t="n">
        <x:f>IF(OR($J59="",$K59=""),"",IF(SUMIFS(Calendar!$C$16:$C$134,Calendar!$A$16:$A$134,"&gt;="&amp;MAX(P$7,$J59),Calendar!$A$16:$A$134,"&lt;="&amp;MIN(P$7+4,$K59))=0,0,IF($H59="","EXT",SUMIFS(Calendar!$C$16:$C$134,Calendar!$A$16:$A$134,"&gt;="&amp;MAX(P$7,$J59),Calendar!$A$16:$A$134,"&lt;="&amp;MIN(P$7+4,$K59))*$H59/$G59)))</x:f>
        <x:v>0</x:v>
      </x:c>
      <x:c r="Q59" s="44" t="n">
        <x:f>IF(OR($J59="",$K59=""),"",IF(SUMIFS(Calendar!$C$16:$C$134,Calendar!$A$16:$A$134,"&gt;="&amp;MAX(Q$7,$J59),Calendar!$A$16:$A$134,"&lt;="&amp;MIN(Q$7+4,$K59))=0,0,IF($H59="","EXT",SUMIFS(Calendar!$C$16:$C$134,Calendar!$A$16:$A$134,"&gt;="&amp;MAX(Q$7,$J59),Calendar!$A$16:$A$134,"&lt;="&amp;MIN(Q$7+4,$K59))*$H59/$G59)))</x:f>
        <x:v>0</x:v>
      </x:c>
      <x:c r="R59" s="44" t="n">
        <x:f>IF(OR($J59="",$K59=""),"",IF(SUMIFS(Calendar!$C$16:$C$134,Calendar!$A$16:$A$134,"&gt;="&amp;MAX(R$7,$J59),Calendar!$A$16:$A$134,"&lt;="&amp;MIN(R$7+4,$K59))=0,0,IF($H59="","EXT",SUMIFS(Calendar!$C$16:$C$134,Calendar!$A$16:$A$134,"&gt;="&amp;MAX(R$7,$J59),Calendar!$A$16:$A$134,"&lt;="&amp;MIN(R$7+4,$K59))*$H59/$G59)))</x:f>
        <x:v>0</x:v>
      </x:c>
      <x:c r="S59" s="44" t="n">
        <x:f>IF(OR($J59="",$K59=""),"",IF(SUMIFS(Calendar!$C$16:$C$134,Calendar!$A$16:$A$134,"&gt;="&amp;MAX(S$7,$J59),Calendar!$A$16:$A$134,"&lt;="&amp;MIN(S$7+4,$K59))=0,0,IF($H59="","EXT",SUMIFS(Calendar!$C$16:$C$134,Calendar!$A$16:$A$134,"&gt;="&amp;MAX(S$7,$J59),Calendar!$A$16:$A$134,"&lt;="&amp;MIN(S$7+4,$K59))*$H59/$G59)))</x:f>
        <x:v>0</x:v>
      </x:c>
      <x:c r="T59" s="44" t="n">
        <x:f>IF(OR($J59="",$K59=""),"",IF(SUMIFS(Calendar!$C$16:$C$134,Calendar!$A$16:$A$134,"&gt;="&amp;MAX(T$7,$J59),Calendar!$A$16:$A$134,"&lt;="&amp;MIN(T$7+4,$K59))=0,0,IF($H59="","EXT",SUMIFS(Calendar!$C$16:$C$134,Calendar!$A$16:$A$134,"&gt;="&amp;MAX(T$7,$J59),Calendar!$A$16:$A$134,"&lt;="&amp;MIN(T$7+4,$K59))*$H59/$G59)))</x:f>
        <x:v>4</x:v>
      </x:c>
      <x:c r="U59" s="44" t="n">
        <x:f>IF(OR($J59="",$K59=""),"",IF(SUMIFS(Calendar!$C$16:$C$134,Calendar!$A$16:$A$134,"&gt;="&amp;MAX(U$7,$J59),Calendar!$A$16:$A$134,"&lt;="&amp;MIN(U$7+4,$K59))=0,0,IF($H59="","EXT",SUMIFS(Calendar!$C$16:$C$134,Calendar!$A$16:$A$134,"&gt;="&amp;MAX(U$7,$J59),Calendar!$A$16:$A$134,"&lt;="&amp;MIN(U$7+4,$K59))*$H59/$G59)))</x:f>
        <x:v>0</x:v>
      </x:c>
      <x:c r="V59" s="44" t="n">
        <x:f>IF(OR($J59="",$K59=""),"",IF(SUMIFS(Calendar!$C$16:$C$134,Calendar!$A$16:$A$134,"&gt;="&amp;MAX(V$7,$J59),Calendar!$A$16:$A$134,"&lt;="&amp;MIN(V$7+4,$K59))=0,0,IF($H59="","EXT",SUMIFS(Calendar!$C$16:$C$134,Calendar!$A$16:$A$134,"&gt;="&amp;MAX(V$7,$J59),Calendar!$A$16:$A$134,"&lt;="&amp;MIN(V$7+4,$K59))*$H59/$G59)))</x:f>
        <x:v>0</x:v>
      </x:c>
      <x:c r="W59" s="44" t="n">
        <x:f>IF(OR($J59="",$K59=""),"",IF(SUMIFS(Calendar!$C$16:$C$134,Calendar!$A$16:$A$134,"&gt;="&amp;MAX(W$7,$J59),Calendar!$A$16:$A$134,"&lt;="&amp;MIN(W$7+4,$K59))=0,0,IF($H59="","EXT",SUMIFS(Calendar!$C$16:$C$134,Calendar!$A$16:$A$134,"&gt;="&amp;MAX(W$7,$J59),Calendar!$A$16:$A$134,"&lt;="&amp;MIN(W$7+4,$K59))*$H59/$G59)))</x:f>
        <x:v>0</x:v>
      </x:c>
      <x:c r="X59" s="44" t="n">
        <x:f>IF(OR($J59="",$K59=""),"",IF(SUMIFS(Calendar!$C$16:$C$134,Calendar!$A$16:$A$134,"&gt;="&amp;MAX(X$7,$J59),Calendar!$A$16:$A$134,"&lt;="&amp;MIN(X$7+4,$K59))=0,0,IF($H59="","EXT",SUMIFS(Calendar!$C$16:$C$134,Calendar!$A$16:$A$134,"&gt;="&amp;MAX(X$7,$J59),Calendar!$A$16:$A$134,"&lt;="&amp;MIN(X$7+4,$K59))*$H59/$G59)))</x:f>
        <x:v>0</x:v>
      </x:c>
      <x:c r="Y59" s="44" t="n">
        <x:f>IF(OR($J59="",$K59=""),"",IF(SUMIFS(Calendar!$C$16:$C$134,Calendar!$A$16:$A$134,"&gt;="&amp;MAX(Y$7,$J59),Calendar!$A$16:$A$134,"&lt;="&amp;MIN(Y$7+4,$K59))=0,0,IF($H59="","EXT",SUMIFS(Calendar!$C$16:$C$134,Calendar!$A$16:$A$134,"&gt;="&amp;MAX(Y$7,$J59),Calendar!$A$16:$A$134,"&lt;="&amp;MIN(Y$7+4,$K59))*$H59/$G59)))</x:f>
        <x:v>0</x:v>
      </x:c>
      <x:c r="Z59" s="44" t="n">
        <x:f>IF(OR($J59="",$K59=""),"",IF(SUMIFS(Calendar!$C$16:$C$134,Calendar!$A$16:$A$134,"&gt;="&amp;MAX(Z$7,$J59),Calendar!$A$16:$A$134,"&lt;="&amp;MIN(Z$7+4,$K59))=0,0,IF($H59="","EXT",SUMIFS(Calendar!$C$16:$C$134,Calendar!$A$16:$A$134,"&gt;="&amp;MAX(Z$7,$J59),Calendar!$A$16:$A$134,"&lt;="&amp;MIN(Z$7+4,$K59))*$H59/$G59)))</x:f>
        <x:v>0</x:v>
      </x:c>
      <x:c r="AA59" s="44" t="n">
        <x:f>IF(OR($J59="",$K59=""),"",IF(SUMIFS(Calendar!$C$16:$C$134,Calendar!$A$16:$A$134,"&gt;="&amp;MAX(AA$7,$J59),Calendar!$A$16:$A$134,"&lt;="&amp;MIN(AA$7+4,$K59))=0,0,IF($H59="","EXT",SUMIFS(Calendar!$C$16:$C$134,Calendar!$A$16:$A$134,"&gt;="&amp;MAX(AA$7,$J59),Calendar!$A$16:$A$134,"&lt;="&amp;MIN(AA$7+4,$K59))*$H59/$G59)))</x:f>
        <x:v>0</x:v>
      </x:c>
      <x:c r="AB59" s="44" t="n">
        <x:f>IF(OR($J59="",$K59=""),"",IF(SUMIFS(Calendar!$C$16:$C$134,Calendar!$A$16:$A$134,"&gt;="&amp;MAX(AB$7,$J59),Calendar!$A$16:$A$134,"&lt;="&amp;MIN(AB$7+4,$K59))=0,0,IF($H59="","EXT",SUMIFS(Calendar!$C$16:$C$134,Calendar!$A$16:$A$134,"&gt;="&amp;MAX(AB$7,$J59),Calendar!$A$16:$A$134,"&lt;="&amp;MIN(AB$7+4,$K59))*$H59/$G59)))</x:f>
        <x:v>0</x:v>
      </x:c>
      <x:c r="AC59" s="44" t="n">
        <x:f>IF(OR($J59="",$K59=""),"",IF(SUMIFS(Calendar!$C$16:$C$134,Calendar!$A$16:$A$134,"&gt;="&amp;MAX(AC$7,$J59),Calendar!$A$16:$A$134,"&lt;="&amp;MIN(AC$7+4,$K59))=0,0,IF($H59="","EXT",SUMIFS(Calendar!$C$16:$C$134,Calendar!$A$16:$A$134,"&gt;="&amp;MAX(AC$7,$J59),Calendar!$A$16:$A$134,"&lt;="&amp;MIN(AC$7+4,$K59))*$H59/$G59)))</x:f>
        <x:v>0</x:v>
      </x:c>
      <x:c r="AD59" s="44" t="n">
        <x:f>IF(OR($J59="",$K59=""),"",IF(SUMIFS(Calendar!$C$16:$C$134,Calendar!$A$16:$A$134,"&gt;="&amp;MAX(AD$7,$J59),Calendar!$A$16:$A$134,"&lt;="&amp;MIN(AD$7+4,$K59))=0,0,IF($H59="","EXT",SUMIFS(Calendar!$C$16:$C$134,Calendar!$A$16:$A$134,"&gt;="&amp;MAX(AD$7,$J59),Calendar!$A$16:$A$134,"&lt;="&amp;MIN(AD$7+4,$K59))*$H59/$G59)))</x:f>
        <x:v>0</x:v>
      </x:c>
      <x:c r="AE59" s="42" t="n">
        <x:f>IF(OR(M59&lt;&gt;"Scheduled",INDEX('Team and Gates'!$C$7:$C$11,MATCH($D59,'Team and Gates'!$A$7:$A$11,0))=""),"CHECK",SUM(N59:AD59)*INDEX('Team and Gates'!$C$7:$C$11,MATCH($D59,'Team and Gates'!$A$7:$A$11,0)))</x:f>
        <x:v>1440</x:v>
      </x:c>
      <x:c r="AF59" s="43" t="str">
        <x:v>Lost responses, delayed Sent Items, NDR and uncertain outcomes have evidence.</x:v>
      </x:c>
      <x:c r="AG59" s="43" t="str"/>
    </x:row>
    <x:row r="60" ht="36" customHeight="1">
      <x:c r="A60" s="2" t="str">
        <x:v>Q08</x:v>
      </x:c>
      <x:c r="B60" s="2" t="str">
        <x:v>Technical QA</x:v>
      </x:c>
      <x:c r="C60" s="2" t="str">
        <x:v>Replica, throttling and observability qualification</x:v>
      </x:c>
      <x:c r="D60" s="28" t="str">
        <x:v>Tester 1</x:v>
      </x:c>
      <x:c r="E60" s="2" t="str">
        <x:v>Q07, A08:SS</x:v>
      </x:c>
      <x:c r="F60" s="47" t="n">
        <x:v>36</x:v>
      </x:c>
      <x:c r="G60" s="47" t="n">
        <x:v>10</x:v>
      </x:c>
      <x:c r="H60" s="48" t="n">
        <x:v>8</x:v>
      </x:c>
      <x:c r="I60" s="2" t="n">
        <x:f>IF(OR(F60="",G60=""),"",F60+G60-1)</x:f>
        <x:v>45</x:v>
      </x:c>
      <x:c r="J60" s="5" t="n">
        <x:f>IF(OR(F60="",F60&lt;1,F60&gt;Calendar!$B$9),"",INDEX(Calendar!$A$16:$A$134,MATCH(F60,Calendar!$D$16:$D$134,0)))</x:f>
        <x:v>46377</x:v>
      </x:c>
      <x:c r="K60" s="5" t="n">
        <x:f>IF(OR(I60="",I60&lt;1,I60&gt;Calendar!$B$9),"",INDEX(Calendar!$A$16:$A$134,MATCH(I60,Calendar!$D$16:$D$134,0)))</x:f>
        <x:v>46388</x:v>
      </x:c>
      <x:c r="L60" s="50" t="n">
        <x:v>0</x:v>
      </x:c>
      <x:c r="M60" s="2" t="str">
        <x:f>IF(OR(F60="",G60="",H60=""),"Missing input",IF(OR(F60&lt;1,G60&lt;1,I60&gt;Calendar!$B$9),"Outside calendar",IF(F60&lt;MAX(INDEX($I$8:$I$85,MATCH("Q07",$A$8:$A$85,0))+1,INDEX($F$8:$F$85,MATCH("A08",$A$8:$A$85,0))),"Dependency conflict","Scheduled")))</x:f>
        <x:v>Scheduled</x:v>
      </x:c>
      <x:c r="N60" s="44" t="n">
        <x:f>IF(OR($J60="",$K60=""),"",IF(SUMIFS(Calendar!$C$16:$C$134,Calendar!$A$16:$A$134,"&gt;="&amp;MAX(N$7,$J60),Calendar!$A$16:$A$134,"&lt;="&amp;MIN(N$7+4,$K60))=0,0,IF($H60="","EXT",SUMIFS(Calendar!$C$16:$C$134,Calendar!$A$16:$A$134,"&gt;="&amp;MAX(N$7,$J60),Calendar!$A$16:$A$134,"&lt;="&amp;MIN(N$7+4,$K60))*$H60/$G60)))</x:f>
        <x:v>0</x:v>
      </x:c>
      <x:c r="O60" s="44" t="n">
        <x:f>IF(OR($J60="",$K60=""),"",IF(SUMIFS(Calendar!$C$16:$C$134,Calendar!$A$16:$A$134,"&gt;="&amp;MAX(O$7,$J60),Calendar!$A$16:$A$134,"&lt;="&amp;MIN(O$7+4,$K60))=0,0,IF($H60="","EXT",SUMIFS(Calendar!$C$16:$C$134,Calendar!$A$16:$A$134,"&gt;="&amp;MAX(O$7,$J60),Calendar!$A$16:$A$134,"&lt;="&amp;MIN(O$7+4,$K60))*$H60/$G60)))</x:f>
        <x:v>0</x:v>
      </x:c>
      <x:c r="P60" s="44" t="n">
        <x:f>IF(OR($J60="",$K60=""),"",IF(SUMIFS(Calendar!$C$16:$C$134,Calendar!$A$16:$A$134,"&gt;="&amp;MAX(P$7,$J60),Calendar!$A$16:$A$134,"&lt;="&amp;MIN(P$7+4,$K60))=0,0,IF($H60="","EXT",SUMIFS(Calendar!$C$16:$C$134,Calendar!$A$16:$A$134,"&gt;="&amp;MAX(P$7,$J60),Calendar!$A$16:$A$134,"&lt;="&amp;MIN(P$7+4,$K60))*$H60/$G60)))</x:f>
        <x:v>0</x:v>
      </x:c>
      <x:c r="Q60" s="44" t="n">
        <x:f>IF(OR($J60="",$K60=""),"",IF(SUMIFS(Calendar!$C$16:$C$134,Calendar!$A$16:$A$134,"&gt;="&amp;MAX(Q$7,$J60),Calendar!$A$16:$A$134,"&lt;="&amp;MIN(Q$7+4,$K60))=0,0,IF($H60="","EXT",SUMIFS(Calendar!$C$16:$C$134,Calendar!$A$16:$A$134,"&gt;="&amp;MAX(Q$7,$J60),Calendar!$A$16:$A$134,"&lt;="&amp;MIN(Q$7+4,$K60))*$H60/$G60)))</x:f>
        <x:v>0</x:v>
      </x:c>
      <x:c r="R60" s="44" t="n">
        <x:f>IF(OR($J60="",$K60=""),"",IF(SUMIFS(Calendar!$C$16:$C$134,Calendar!$A$16:$A$134,"&gt;="&amp;MAX(R$7,$J60),Calendar!$A$16:$A$134,"&lt;="&amp;MIN(R$7+4,$K60))=0,0,IF($H60="","EXT",SUMIFS(Calendar!$C$16:$C$134,Calendar!$A$16:$A$134,"&gt;="&amp;MAX(R$7,$J60),Calendar!$A$16:$A$134,"&lt;="&amp;MIN(R$7+4,$K60))*$H60/$G60)))</x:f>
        <x:v>0</x:v>
      </x:c>
      <x:c r="S60" s="44" t="n">
        <x:f>IF(OR($J60="",$K60=""),"",IF(SUMIFS(Calendar!$C$16:$C$134,Calendar!$A$16:$A$134,"&gt;="&amp;MAX(S$7,$J60),Calendar!$A$16:$A$134,"&lt;="&amp;MIN(S$7+4,$K60))=0,0,IF($H60="","EXT",SUMIFS(Calendar!$C$16:$C$134,Calendar!$A$16:$A$134,"&gt;="&amp;MAX(S$7,$J60),Calendar!$A$16:$A$134,"&lt;="&amp;MIN(S$7+4,$K60))*$H60/$G60)))</x:f>
        <x:v>0</x:v>
      </x:c>
      <x:c r="T60" s="44" t="n">
        <x:f>IF(OR($J60="",$K60=""),"",IF(SUMIFS(Calendar!$C$16:$C$134,Calendar!$A$16:$A$134,"&gt;="&amp;MAX(T$7,$J60),Calendar!$A$16:$A$134,"&lt;="&amp;MIN(T$7+4,$K60))=0,0,IF($H60="","EXT",SUMIFS(Calendar!$C$16:$C$134,Calendar!$A$16:$A$134,"&gt;="&amp;MAX(T$7,$J60),Calendar!$A$16:$A$134,"&lt;="&amp;MIN(T$7+4,$K60))*$H60/$G60)))</x:f>
        <x:v>0</x:v>
      </x:c>
      <x:c r="U60" s="44" t="n">
        <x:f>IF(OR($J60="",$K60=""),"",IF(SUMIFS(Calendar!$C$16:$C$134,Calendar!$A$16:$A$134,"&gt;="&amp;MAX(U$7,$J60),Calendar!$A$16:$A$134,"&lt;="&amp;MIN(U$7+4,$K60))=0,0,IF($H60="","EXT",SUMIFS(Calendar!$C$16:$C$134,Calendar!$A$16:$A$134,"&gt;="&amp;MAX(U$7,$J60),Calendar!$A$16:$A$134,"&lt;="&amp;MIN(U$7+4,$K60))*$H60/$G60)))</x:f>
        <x:v>4</x:v>
      </x:c>
      <x:c r="V60" s="44" t="n">
        <x:f>IF(OR($J60="",$K60=""),"",IF(SUMIFS(Calendar!$C$16:$C$134,Calendar!$A$16:$A$134,"&gt;="&amp;MAX(V$7,$J60),Calendar!$A$16:$A$134,"&lt;="&amp;MIN(V$7+4,$K60))=0,0,IF($H60="","EXT",SUMIFS(Calendar!$C$16:$C$134,Calendar!$A$16:$A$134,"&gt;="&amp;MAX(V$7,$J60),Calendar!$A$16:$A$134,"&lt;="&amp;MIN(V$7+4,$K60))*$H60/$G60)))</x:f>
        <x:v>4</x:v>
      </x:c>
      <x:c r="W60" s="44" t="n">
        <x:f>IF(OR($J60="",$K60=""),"",IF(SUMIFS(Calendar!$C$16:$C$134,Calendar!$A$16:$A$134,"&gt;="&amp;MAX(W$7,$J60),Calendar!$A$16:$A$134,"&lt;="&amp;MIN(W$7+4,$K60))=0,0,IF($H60="","EXT",SUMIFS(Calendar!$C$16:$C$134,Calendar!$A$16:$A$134,"&gt;="&amp;MAX(W$7,$J60),Calendar!$A$16:$A$134,"&lt;="&amp;MIN(W$7+4,$K60))*$H60/$G60)))</x:f>
        <x:v>0</x:v>
      </x:c>
      <x:c r="X60" s="44" t="n">
        <x:f>IF(OR($J60="",$K60=""),"",IF(SUMIFS(Calendar!$C$16:$C$134,Calendar!$A$16:$A$134,"&gt;="&amp;MAX(X$7,$J60),Calendar!$A$16:$A$134,"&lt;="&amp;MIN(X$7+4,$K60))=0,0,IF($H60="","EXT",SUMIFS(Calendar!$C$16:$C$134,Calendar!$A$16:$A$134,"&gt;="&amp;MAX(X$7,$J60),Calendar!$A$16:$A$134,"&lt;="&amp;MIN(X$7+4,$K60))*$H60/$G60)))</x:f>
        <x:v>0</x:v>
      </x:c>
      <x:c r="Y60" s="44" t="n">
        <x:f>IF(OR($J60="",$K60=""),"",IF(SUMIFS(Calendar!$C$16:$C$134,Calendar!$A$16:$A$134,"&gt;="&amp;MAX(Y$7,$J60),Calendar!$A$16:$A$134,"&lt;="&amp;MIN(Y$7+4,$K60))=0,0,IF($H60="","EXT",SUMIFS(Calendar!$C$16:$C$134,Calendar!$A$16:$A$134,"&gt;="&amp;MAX(Y$7,$J60),Calendar!$A$16:$A$134,"&lt;="&amp;MIN(Y$7+4,$K60))*$H60/$G60)))</x:f>
        <x:v>0</x:v>
      </x:c>
      <x:c r="Z60" s="44" t="n">
        <x:f>IF(OR($J60="",$K60=""),"",IF(SUMIFS(Calendar!$C$16:$C$134,Calendar!$A$16:$A$134,"&gt;="&amp;MAX(Z$7,$J60),Calendar!$A$16:$A$134,"&lt;="&amp;MIN(Z$7+4,$K60))=0,0,IF($H60="","EXT",SUMIFS(Calendar!$C$16:$C$134,Calendar!$A$16:$A$134,"&gt;="&amp;MAX(Z$7,$J60),Calendar!$A$16:$A$134,"&lt;="&amp;MIN(Z$7+4,$K60))*$H60/$G60)))</x:f>
        <x:v>0</x:v>
      </x:c>
      <x:c r="AA60" s="44" t="n">
        <x:f>IF(OR($J60="",$K60=""),"",IF(SUMIFS(Calendar!$C$16:$C$134,Calendar!$A$16:$A$134,"&gt;="&amp;MAX(AA$7,$J60),Calendar!$A$16:$A$134,"&lt;="&amp;MIN(AA$7+4,$K60))=0,0,IF($H60="","EXT",SUMIFS(Calendar!$C$16:$C$134,Calendar!$A$16:$A$134,"&gt;="&amp;MAX(AA$7,$J60),Calendar!$A$16:$A$134,"&lt;="&amp;MIN(AA$7+4,$K60))*$H60/$G60)))</x:f>
        <x:v>0</x:v>
      </x:c>
      <x:c r="AB60" s="44" t="n">
        <x:f>IF(OR($J60="",$K60=""),"",IF(SUMIFS(Calendar!$C$16:$C$134,Calendar!$A$16:$A$134,"&gt;="&amp;MAX(AB$7,$J60),Calendar!$A$16:$A$134,"&lt;="&amp;MIN(AB$7+4,$K60))=0,0,IF($H60="","EXT",SUMIFS(Calendar!$C$16:$C$134,Calendar!$A$16:$A$134,"&gt;="&amp;MAX(AB$7,$J60),Calendar!$A$16:$A$134,"&lt;="&amp;MIN(AB$7+4,$K60))*$H60/$G60)))</x:f>
        <x:v>0</x:v>
      </x:c>
      <x:c r="AC60" s="44" t="n">
        <x:f>IF(OR($J60="",$K60=""),"",IF(SUMIFS(Calendar!$C$16:$C$134,Calendar!$A$16:$A$134,"&gt;="&amp;MAX(AC$7,$J60),Calendar!$A$16:$A$134,"&lt;="&amp;MIN(AC$7+4,$K60))=0,0,IF($H60="","EXT",SUMIFS(Calendar!$C$16:$C$134,Calendar!$A$16:$A$134,"&gt;="&amp;MAX(AC$7,$J60),Calendar!$A$16:$A$134,"&lt;="&amp;MIN(AC$7+4,$K60))*$H60/$G60)))</x:f>
        <x:v>0</x:v>
      </x:c>
      <x:c r="AD60" s="44" t="n">
        <x:f>IF(OR($J60="",$K60=""),"",IF(SUMIFS(Calendar!$C$16:$C$134,Calendar!$A$16:$A$134,"&gt;="&amp;MAX(AD$7,$J60),Calendar!$A$16:$A$134,"&lt;="&amp;MIN(AD$7+4,$K60))=0,0,IF($H60="","EXT",SUMIFS(Calendar!$C$16:$C$134,Calendar!$A$16:$A$134,"&gt;="&amp;MAX(AD$7,$J60),Calendar!$A$16:$A$134,"&lt;="&amp;MIN(AD$7+4,$K60))*$H60/$G60)))</x:f>
        <x:v>0</x:v>
      </x:c>
      <x:c r="AE60" s="42" t="n">
        <x:f>IF(OR(M60&lt;&gt;"Scheduled",INDEX('Team and Gates'!$C$7:$C$11,MATCH($D60,'Team and Gates'!$A$7:$A$11,0))=""),"CHECK",SUM(N60:AD60)*INDEX('Team and Gates'!$C$7:$C$11,MATCH($D60,'Team and Gates'!$A$7:$A$11,0)))</x:f>
        <x:v>2880</x:v>
      </x:c>
      <x:c r="AF60" s="43" t="str">
        <x:v>Worker replicas and dependency timeout/rate-limit/OOM scenarios are testable.</x:v>
      </x:c>
      <x:c r="AG60" s="43" t="str"/>
    </x:row>
    <x:row r="61" ht="36" customHeight="1">
      <x:c r="A61" s="35" t="str">
        <x:v>Q09</x:v>
      </x:c>
      <x:c r="B61" s="35" t="str">
        <x:v>Technical QA</x:v>
      </x:c>
      <x:c r="C61" s="35" t="str">
        <x:v>System, concurrent mutation and JVM/DB failover tests</x:v>
      </x:c>
      <x:c r="D61" s="28" t="str">
        <x:v>Tester 1</x:v>
      </x:c>
      <x:c r="E61" s="35" t="str">
        <x:v>Q08, A09:SS, B09:SS</x:v>
      </x:c>
      <x:c r="F61" s="47" t="n">
        <x:v>46</x:v>
      </x:c>
      <x:c r="G61" s="47" t="n">
        <x:v>5</x:v>
      </x:c>
      <x:c r="H61" s="48" t="n">
        <x:v>4</x:v>
      </x:c>
      <x:c r="I61" s="35" t="n">
        <x:f>IF(OR(F61="",G61=""),"",F61+G61-1)</x:f>
        <x:v>50</x:v>
      </x:c>
      <x:c r="J61" s="37" t="n">
        <x:f>IF(OR(F61="",F61&lt;1,F61&gt;Calendar!$B$9),"",INDEX(Calendar!$A$16:$A$134,MATCH(F61,Calendar!$D$16:$D$134,0)))</x:f>
        <x:v>46391</x:v>
      </x:c>
      <x:c r="K61" s="37" t="n">
        <x:f>IF(OR(I61="",I61&lt;1,I61&gt;Calendar!$B$9),"",INDEX(Calendar!$A$16:$A$134,MATCH(I61,Calendar!$D$16:$D$134,0)))</x:f>
        <x:v>46395</x:v>
      </x:c>
      <x:c r="L61" s="50" t="n">
        <x:v>0</x:v>
      </x:c>
      <x:c r="M61" s="35" t="str">
        <x:f>IF(OR(F61="",G61="",H61=""),"Missing input",IF(OR(F61&lt;1,G61&lt;1,I61&gt;Calendar!$B$9),"Outside calendar",IF(F61&lt;MAX(INDEX($I$8:$I$85,MATCH("Q08",$A$8:$A$85,0))+1,INDEX($F$8:$F$85,MATCH("A09",$A$8:$A$85,0)),INDEX($F$8:$F$85,MATCH("B09",$A$8:$A$85,0))),"Dependency conflict","Scheduled")))</x:f>
        <x:v>Scheduled</x:v>
      </x:c>
      <x:c r="N61" s="44" t="n">
        <x:f>IF(OR($J61="",$K61=""),"",IF(SUMIFS(Calendar!$C$16:$C$134,Calendar!$A$16:$A$134,"&gt;="&amp;MAX(N$7,$J61),Calendar!$A$16:$A$134,"&lt;="&amp;MIN(N$7+4,$K61))=0,0,IF($H61="","EXT",SUMIFS(Calendar!$C$16:$C$134,Calendar!$A$16:$A$134,"&gt;="&amp;MAX(N$7,$J61),Calendar!$A$16:$A$134,"&lt;="&amp;MIN(N$7+4,$K61))*$H61/$G61)))</x:f>
        <x:v>0</x:v>
      </x:c>
      <x:c r="O61" s="44" t="n">
        <x:f>IF(OR($J61="",$K61=""),"",IF(SUMIFS(Calendar!$C$16:$C$134,Calendar!$A$16:$A$134,"&gt;="&amp;MAX(O$7,$J61),Calendar!$A$16:$A$134,"&lt;="&amp;MIN(O$7+4,$K61))=0,0,IF($H61="","EXT",SUMIFS(Calendar!$C$16:$C$134,Calendar!$A$16:$A$134,"&gt;="&amp;MAX(O$7,$J61),Calendar!$A$16:$A$134,"&lt;="&amp;MIN(O$7+4,$K61))*$H61/$G61)))</x:f>
        <x:v>0</x:v>
      </x:c>
      <x:c r="P61" s="44" t="n">
        <x:f>IF(OR($J61="",$K61=""),"",IF(SUMIFS(Calendar!$C$16:$C$134,Calendar!$A$16:$A$134,"&gt;="&amp;MAX(P$7,$J61),Calendar!$A$16:$A$134,"&lt;="&amp;MIN(P$7+4,$K61))=0,0,IF($H61="","EXT",SUMIFS(Calendar!$C$16:$C$134,Calendar!$A$16:$A$134,"&gt;="&amp;MAX(P$7,$J61),Calendar!$A$16:$A$134,"&lt;="&amp;MIN(P$7+4,$K61))*$H61/$G61)))</x:f>
        <x:v>0</x:v>
      </x:c>
      <x:c r="Q61" s="44" t="n">
        <x:f>IF(OR($J61="",$K61=""),"",IF(SUMIFS(Calendar!$C$16:$C$134,Calendar!$A$16:$A$134,"&gt;="&amp;MAX(Q$7,$J61),Calendar!$A$16:$A$134,"&lt;="&amp;MIN(Q$7+4,$K61))=0,0,IF($H61="","EXT",SUMIFS(Calendar!$C$16:$C$134,Calendar!$A$16:$A$134,"&gt;="&amp;MAX(Q$7,$J61),Calendar!$A$16:$A$134,"&lt;="&amp;MIN(Q$7+4,$K61))*$H61/$G61)))</x:f>
        <x:v>0</x:v>
      </x:c>
      <x:c r="R61" s="44" t="n">
        <x:f>IF(OR($J61="",$K61=""),"",IF(SUMIFS(Calendar!$C$16:$C$134,Calendar!$A$16:$A$134,"&gt;="&amp;MAX(R$7,$J61),Calendar!$A$16:$A$134,"&lt;="&amp;MIN(R$7+4,$K61))=0,0,IF($H61="","EXT",SUMIFS(Calendar!$C$16:$C$134,Calendar!$A$16:$A$134,"&gt;="&amp;MAX(R$7,$J61),Calendar!$A$16:$A$134,"&lt;="&amp;MIN(R$7+4,$K61))*$H61/$G61)))</x:f>
        <x:v>0</x:v>
      </x:c>
      <x:c r="S61" s="44" t="n">
        <x:f>IF(OR($J61="",$K61=""),"",IF(SUMIFS(Calendar!$C$16:$C$134,Calendar!$A$16:$A$134,"&gt;="&amp;MAX(S$7,$J61),Calendar!$A$16:$A$134,"&lt;="&amp;MIN(S$7+4,$K61))=0,0,IF($H61="","EXT",SUMIFS(Calendar!$C$16:$C$134,Calendar!$A$16:$A$134,"&gt;="&amp;MAX(S$7,$J61),Calendar!$A$16:$A$134,"&lt;="&amp;MIN(S$7+4,$K61))*$H61/$G61)))</x:f>
        <x:v>0</x:v>
      </x:c>
      <x:c r="T61" s="44" t="n">
        <x:f>IF(OR($J61="",$K61=""),"",IF(SUMIFS(Calendar!$C$16:$C$134,Calendar!$A$16:$A$134,"&gt;="&amp;MAX(T$7,$J61),Calendar!$A$16:$A$134,"&lt;="&amp;MIN(T$7+4,$K61))=0,0,IF($H61="","EXT",SUMIFS(Calendar!$C$16:$C$134,Calendar!$A$16:$A$134,"&gt;="&amp;MAX(T$7,$J61),Calendar!$A$16:$A$134,"&lt;="&amp;MIN(T$7+4,$K61))*$H61/$G61)))</x:f>
        <x:v>0</x:v>
      </x:c>
      <x:c r="U61" s="44" t="n">
        <x:f>IF(OR($J61="",$K61=""),"",IF(SUMIFS(Calendar!$C$16:$C$134,Calendar!$A$16:$A$134,"&gt;="&amp;MAX(U$7,$J61),Calendar!$A$16:$A$134,"&lt;="&amp;MIN(U$7+4,$K61))=0,0,IF($H61="","EXT",SUMIFS(Calendar!$C$16:$C$134,Calendar!$A$16:$A$134,"&gt;="&amp;MAX(U$7,$J61),Calendar!$A$16:$A$134,"&lt;="&amp;MIN(U$7+4,$K61))*$H61/$G61)))</x:f>
        <x:v>0</x:v>
      </x:c>
      <x:c r="V61" s="44" t="n">
        <x:f>IF(OR($J61="",$K61=""),"",IF(SUMIFS(Calendar!$C$16:$C$134,Calendar!$A$16:$A$134,"&gt;="&amp;MAX(V$7,$J61),Calendar!$A$16:$A$134,"&lt;="&amp;MIN(V$7+4,$K61))=0,0,IF($H61="","EXT",SUMIFS(Calendar!$C$16:$C$134,Calendar!$A$16:$A$134,"&gt;="&amp;MAX(V$7,$J61),Calendar!$A$16:$A$134,"&lt;="&amp;MIN(V$7+4,$K61))*$H61/$G61)))</x:f>
        <x:v>0</x:v>
      </x:c>
      <x:c r="W61" s="44" t="n">
        <x:f>IF(OR($J61="",$K61=""),"",IF(SUMIFS(Calendar!$C$16:$C$134,Calendar!$A$16:$A$134,"&gt;="&amp;MAX(W$7,$J61),Calendar!$A$16:$A$134,"&lt;="&amp;MIN(W$7+4,$K61))=0,0,IF($H61="","EXT",SUMIFS(Calendar!$C$16:$C$134,Calendar!$A$16:$A$134,"&gt;="&amp;MAX(W$7,$J61),Calendar!$A$16:$A$134,"&lt;="&amp;MIN(W$7+4,$K61))*$H61/$G61)))</x:f>
        <x:v>4</x:v>
      </x:c>
      <x:c r="X61" s="44" t="n">
        <x:f>IF(OR($J61="",$K61=""),"",IF(SUMIFS(Calendar!$C$16:$C$134,Calendar!$A$16:$A$134,"&gt;="&amp;MAX(X$7,$J61),Calendar!$A$16:$A$134,"&lt;="&amp;MIN(X$7+4,$K61))=0,0,IF($H61="","EXT",SUMIFS(Calendar!$C$16:$C$134,Calendar!$A$16:$A$134,"&gt;="&amp;MAX(X$7,$J61),Calendar!$A$16:$A$134,"&lt;="&amp;MIN(X$7+4,$K61))*$H61/$G61)))</x:f>
        <x:v>0</x:v>
      </x:c>
      <x:c r="Y61" s="44" t="n">
        <x:f>IF(OR($J61="",$K61=""),"",IF(SUMIFS(Calendar!$C$16:$C$134,Calendar!$A$16:$A$134,"&gt;="&amp;MAX(Y$7,$J61),Calendar!$A$16:$A$134,"&lt;="&amp;MIN(Y$7+4,$K61))=0,0,IF($H61="","EXT",SUMIFS(Calendar!$C$16:$C$134,Calendar!$A$16:$A$134,"&gt;="&amp;MAX(Y$7,$J61),Calendar!$A$16:$A$134,"&lt;="&amp;MIN(Y$7+4,$K61))*$H61/$G61)))</x:f>
        <x:v>0</x:v>
      </x:c>
      <x:c r="Z61" s="44" t="n">
        <x:f>IF(OR($J61="",$K61=""),"",IF(SUMIFS(Calendar!$C$16:$C$134,Calendar!$A$16:$A$134,"&gt;="&amp;MAX(Z$7,$J61),Calendar!$A$16:$A$134,"&lt;="&amp;MIN(Z$7+4,$K61))=0,0,IF($H61="","EXT",SUMIFS(Calendar!$C$16:$C$134,Calendar!$A$16:$A$134,"&gt;="&amp;MAX(Z$7,$J61),Calendar!$A$16:$A$134,"&lt;="&amp;MIN(Z$7+4,$K61))*$H61/$G61)))</x:f>
        <x:v>0</x:v>
      </x:c>
      <x:c r="AA61" s="44" t="n">
        <x:f>IF(OR($J61="",$K61=""),"",IF(SUMIFS(Calendar!$C$16:$C$134,Calendar!$A$16:$A$134,"&gt;="&amp;MAX(AA$7,$J61),Calendar!$A$16:$A$134,"&lt;="&amp;MIN(AA$7+4,$K61))=0,0,IF($H61="","EXT",SUMIFS(Calendar!$C$16:$C$134,Calendar!$A$16:$A$134,"&gt;="&amp;MAX(AA$7,$J61),Calendar!$A$16:$A$134,"&lt;="&amp;MIN(AA$7+4,$K61))*$H61/$G61)))</x:f>
        <x:v>0</x:v>
      </x:c>
      <x:c r="AB61" s="44" t="n">
        <x:f>IF(OR($J61="",$K61=""),"",IF(SUMIFS(Calendar!$C$16:$C$134,Calendar!$A$16:$A$134,"&gt;="&amp;MAX(AB$7,$J61),Calendar!$A$16:$A$134,"&lt;="&amp;MIN(AB$7+4,$K61))=0,0,IF($H61="","EXT",SUMIFS(Calendar!$C$16:$C$134,Calendar!$A$16:$A$134,"&gt;="&amp;MAX(AB$7,$J61),Calendar!$A$16:$A$134,"&lt;="&amp;MIN(AB$7+4,$K61))*$H61/$G61)))</x:f>
        <x:v>0</x:v>
      </x:c>
      <x:c r="AC61" s="44" t="n">
        <x:f>IF(OR($J61="",$K61=""),"",IF(SUMIFS(Calendar!$C$16:$C$134,Calendar!$A$16:$A$134,"&gt;="&amp;MAX(AC$7,$J61),Calendar!$A$16:$A$134,"&lt;="&amp;MIN(AC$7+4,$K61))=0,0,IF($H61="","EXT",SUMIFS(Calendar!$C$16:$C$134,Calendar!$A$16:$A$134,"&gt;="&amp;MAX(AC$7,$J61),Calendar!$A$16:$A$134,"&lt;="&amp;MIN(AC$7+4,$K61))*$H61/$G61)))</x:f>
        <x:v>0</x:v>
      </x:c>
      <x:c r="AD61" s="44" t="n">
        <x:f>IF(OR($J61="",$K61=""),"",IF(SUMIFS(Calendar!$C$16:$C$134,Calendar!$A$16:$A$134,"&gt;="&amp;MAX(AD$7,$J61),Calendar!$A$16:$A$134,"&lt;="&amp;MIN(AD$7+4,$K61))=0,0,IF($H61="","EXT",SUMIFS(Calendar!$C$16:$C$134,Calendar!$A$16:$A$134,"&gt;="&amp;MAX(AD$7,$J61),Calendar!$A$16:$A$134,"&lt;="&amp;MIN(AD$7+4,$K61))*$H61/$G61)))</x:f>
        <x:v>0</x:v>
      </x:c>
      <x:c r="AE61" s="42" t="n">
        <x:f>IF(OR(M61&lt;&gt;"Scheduled",INDEX('Team and Gates'!$C$7:$C$11,MATCH($D61,'Team and Gates'!$A$7:$A$11,0))=""),"CHECK",SUM(N61:AD61)*INDEX('Team and Gates'!$C$7:$C$11,MATCH($D61,'Team and Gates'!$A$7:$A$11,0)))</x:f>
        <x:v>1440</x:v>
      </x:c>
      <x:c r="AF61" s="43" t="str">
        <x:v>Both services recover; stale workers fail; business writes and tasks stay consistent.</x:v>
      </x:c>
      <x:c r="AG61" s="43" t="str"/>
    </x:row>
    <x:row r="62" ht="36" customHeight="1">
      <x:c r="A62" s="2" t="str">
        <x:v>Q10</x:v>
      </x:c>
      <x:c r="B62" s="2" t="str">
        <x:v>Technical QA</x:v>
      </x:c>
      <x:c r="C62" s="2" t="str">
        <x:v>Clean deploy, restore and release-candidate regression</x:v>
      </x:c>
      <x:c r="D62" s="28" t="str">
        <x:v>Tester 1</x:v>
      </x:c>
      <x:c r="E62" s="2" t="str">
        <x:v>Q09, A10:SS</x:v>
      </x:c>
      <x:c r="F62" s="47" t="n">
        <x:v>51</x:v>
      </x:c>
      <x:c r="G62" s="47" t="n">
        <x:v>5</x:v>
      </x:c>
      <x:c r="H62" s="48" t="n">
        <x:v>4</x:v>
      </x:c>
      <x:c r="I62" s="2" t="n">
        <x:f>IF(OR(F62="",G62=""),"",F62+G62-1)</x:f>
        <x:v>55</x:v>
      </x:c>
      <x:c r="J62" s="5" t="n">
        <x:f>IF(OR(F62="",F62&lt;1,F62&gt;Calendar!$B$9),"",INDEX(Calendar!$A$16:$A$134,MATCH(F62,Calendar!$D$16:$D$134,0)))</x:f>
        <x:v>46398</x:v>
      </x:c>
      <x:c r="K62" s="5" t="n">
        <x:f>IF(OR(I62="",I62&lt;1,I62&gt;Calendar!$B$9),"",INDEX(Calendar!$A$16:$A$134,MATCH(I62,Calendar!$D$16:$D$134,0)))</x:f>
        <x:v>46402</x:v>
      </x:c>
      <x:c r="L62" s="50" t="n">
        <x:v>0</x:v>
      </x:c>
      <x:c r="M62" s="2" t="str">
        <x:f>IF(OR(F62="",G62="",H62=""),"Missing input",IF(OR(F62&lt;1,G62&lt;1,I62&gt;Calendar!$B$9),"Outside calendar",IF(F62&lt;MAX(INDEX($I$8:$I$85,MATCH("Q09",$A$8:$A$85,0))+1,INDEX($F$8:$F$85,MATCH("A10",$A$8:$A$85,0))),"Dependency conflict","Scheduled")))</x:f>
        <x:v>Scheduled</x:v>
      </x:c>
      <x:c r="N62" s="44" t="n">
        <x:f>IF(OR($J62="",$K62=""),"",IF(SUMIFS(Calendar!$C$16:$C$134,Calendar!$A$16:$A$134,"&gt;="&amp;MAX(N$7,$J62),Calendar!$A$16:$A$134,"&lt;="&amp;MIN(N$7+4,$K62))=0,0,IF($H62="","EXT",SUMIFS(Calendar!$C$16:$C$134,Calendar!$A$16:$A$134,"&gt;="&amp;MAX(N$7,$J62),Calendar!$A$16:$A$134,"&lt;="&amp;MIN(N$7+4,$K62))*$H62/$G62)))</x:f>
        <x:v>0</x:v>
      </x:c>
      <x:c r="O62" s="44" t="n">
        <x:f>IF(OR($J62="",$K62=""),"",IF(SUMIFS(Calendar!$C$16:$C$134,Calendar!$A$16:$A$134,"&gt;="&amp;MAX(O$7,$J62),Calendar!$A$16:$A$134,"&lt;="&amp;MIN(O$7+4,$K62))=0,0,IF($H62="","EXT",SUMIFS(Calendar!$C$16:$C$134,Calendar!$A$16:$A$134,"&gt;="&amp;MAX(O$7,$J62),Calendar!$A$16:$A$134,"&lt;="&amp;MIN(O$7+4,$K62))*$H62/$G62)))</x:f>
        <x:v>0</x:v>
      </x:c>
      <x:c r="P62" s="44" t="n">
        <x:f>IF(OR($J62="",$K62=""),"",IF(SUMIFS(Calendar!$C$16:$C$134,Calendar!$A$16:$A$134,"&gt;="&amp;MAX(P$7,$J62),Calendar!$A$16:$A$134,"&lt;="&amp;MIN(P$7+4,$K62))=0,0,IF($H62="","EXT",SUMIFS(Calendar!$C$16:$C$134,Calendar!$A$16:$A$134,"&gt;="&amp;MAX(P$7,$J62),Calendar!$A$16:$A$134,"&lt;="&amp;MIN(P$7+4,$K62))*$H62/$G62)))</x:f>
        <x:v>0</x:v>
      </x:c>
      <x:c r="Q62" s="44" t="n">
        <x:f>IF(OR($J62="",$K62=""),"",IF(SUMIFS(Calendar!$C$16:$C$134,Calendar!$A$16:$A$134,"&gt;="&amp;MAX(Q$7,$J62),Calendar!$A$16:$A$134,"&lt;="&amp;MIN(Q$7+4,$K62))=0,0,IF($H62="","EXT",SUMIFS(Calendar!$C$16:$C$134,Calendar!$A$16:$A$134,"&gt;="&amp;MAX(Q$7,$J62),Calendar!$A$16:$A$134,"&lt;="&amp;MIN(Q$7+4,$K62))*$H62/$G62)))</x:f>
        <x:v>0</x:v>
      </x:c>
      <x:c r="R62" s="44" t="n">
        <x:f>IF(OR($J62="",$K62=""),"",IF(SUMIFS(Calendar!$C$16:$C$134,Calendar!$A$16:$A$134,"&gt;="&amp;MAX(R$7,$J62),Calendar!$A$16:$A$134,"&lt;="&amp;MIN(R$7+4,$K62))=0,0,IF($H62="","EXT",SUMIFS(Calendar!$C$16:$C$134,Calendar!$A$16:$A$134,"&gt;="&amp;MAX(R$7,$J62),Calendar!$A$16:$A$134,"&lt;="&amp;MIN(R$7+4,$K62))*$H62/$G62)))</x:f>
        <x:v>0</x:v>
      </x:c>
      <x:c r="S62" s="44" t="n">
        <x:f>IF(OR($J62="",$K62=""),"",IF(SUMIFS(Calendar!$C$16:$C$134,Calendar!$A$16:$A$134,"&gt;="&amp;MAX(S$7,$J62),Calendar!$A$16:$A$134,"&lt;="&amp;MIN(S$7+4,$K62))=0,0,IF($H62="","EXT",SUMIFS(Calendar!$C$16:$C$134,Calendar!$A$16:$A$134,"&gt;="&amp;MAX(S$7,$J62),Calendar!$A$16:$A$134,"&lt;="&amp;MIN(S$7+4,$K62))*$H62/$G62)))</x:f>
        <x:v>0</x:v>
      </x:c>
      <x:c r="T62" s="44" t="n">
        <x:f>IF(OR($J62="",$K62=""),"",IF(SUMIFS(Calendar!$C$16:$C$134,Calendar!$A$16:$A$134,"&gt;="&amp;MAX(T$7,$J62),Calendar!$A$16:$A$134,"&lt;="&amp;MIN(T$7+4,$K62))=0,0,IF($H62="","EXT",SUMIFS(Calendar!$C$16:$C$134,Calendar!$A$16:$A$134,"&gt;="&amp;MAX(T$7,$J62),Calendar!$A$16:$A$134,"&lt;="&amp;MIN(T$7+4,$K62))*$H62/$G62)))</x:f>
        <x:v>0</x:v>
      </x:c>
      <x:c r="U62" s="44" t="n">
        <x:f>IF(OR($J62="",$K62=""),"",IF(SUMIFS(Calendar!$C$16:$C$134,Calendar!$A$16:$A$134,"&gt;="&amp;MAX(U$7,$J62),Calendar!$A$16:$A$134,"&lt;="&amp;MIN(U$7+4,$K62))=0,0,IF($H62="","EXT",SUMIFS(Calendar!$C$16:$C$134,Calendar!$A$16:$A$134,"&gt;="&amp;MAX(U$7,$J62),Calendar!$A$16:$A$134,"&lt;="&amp;MIN(U$7+4,$K62))*$H62/$G62)))</x:f>
        <x:v>0</x:v>
      </x:c>
      <x:c r="V62" s="44" t="n">
        <x:f>IF(OR($J62="",$K62=""),"",IF(SUMIFS(Calendar!$C$16:$C$134,Calendar!$A$16:$A$134,"&gt;="&amp;MAX(V$7,$J62),Calendar!$A$16:$A$134,"&lt;="&amp;MIN(V$7+4,$K62))=0,0,IF($H62="","EXT",SUMIFS(Calendar!$C$16:$C$134,Calendar!$A$16:$A$134,"&gt;="&amp;MAX(V$7,$J62),Calendar!$A$16:$A$134,"&lt;="&amp;MIN(V$7+4,$K62))*$H62/$G62)))</x:f>
        <x:v>0</x:v>
      </x:c>
      <x:c r="W62" s="44" t="n">
        <x:f>IF(OR($J62="",$K62=""),"",IF(SUMIFS(Calendar!$C$16:$C$134,Calendar!$A$16:$A$134,"&gt;="&amp;MAX(W$7,$J62),Calendar!$A$16:$A$134,"&lt;="&amp;MIN(W$7+4,$K62))=0,0,IF($H62="","EXT",SUMIFS(Calendar!$C$16:$C$134,Calendar!$A$16:$A$134,"&gt;="&amp;MAX(W$7,$J62),Calendar!$A$16:$A$134,"&lt;="&amp;MIN(W$7+4,$K62))*$H62/$G62)))</x:f>
        <x:v>0</x:v>
      </x:c>
      <x:c r="X62" s="44" t="n">
        <x:f>IF(OR($J62="",$K62=""),"",IF(SUMIFS(Calendar!$C$16:$C$134,Calendar!$A$16:$A$134,"&gt;="&amp;MAX(X$7,$J62),Calendar!$A$16:$A$134,"&lt;="&amp;MIN(X$7+4,$K62))=0,0,IF($H62="","EXT",SUMIFS(Calendar!$C$16:$C$134,Calendar!$A$16:$A$134,"&gt;="&amp;MAX(X$7,$J62),Calendar!$A$16:$A$134,"&lt;="&amp;MIN(X$7+4,$K62))*$H62/$G62)))</x:f>
        <x:v>4</x:v>
      </x:c>
      <x:c r="Y62" s="44" t="n">
        <x:f>IF(OR($J62="",$K62=""),"",IF(SUMIFS(Calendar!$C$16:$C$134,Calendar!$A$16:$A$134,"&gt;="&amp;MAX(Y$7,$J62),Calendar!$A$16:$A$134,"&lt;="&amp;MIN(Y$7+4,$K62))=0,0,IF($H62="","EXT",SUMIFS(Calendar!$C$16:$C$134,Calendar!$A$16:$A$134,"&gt;="&amp;MAX(Y$7,$J62),Calendar!$A$16:$A$134,"&lt;="&amp;MIN(Y$7+4,$K62))*$H62/$G62)))</x:f>
        <x:v>0</x:v>
      </x:c>
      <x:c r="Z62" s="44" t="n">
        <x:f>IF(OR($J62="",$K62=""),"",IF(SUMIFS(Calendar!$C$16:$C$134,Calendar!$A$16:$A$134,"&gt;="&amp;MAX(Z$7,$J62),Calendar!$A$16:$A$134,"&lt;="&amp;MIN(Z$7+4,$K62))=0,0,IF($H62="","EXT",SUMIFS(Calendar!$C$16:$C$134,Calendar!$A$16:$A$134,"&gt;="&amp;MAX(Z$7,$J62),Calendar!$A$16:$A$134,"&lt;="&amp;MIN(Z$7+4,$K62))*$H62/$G62)))</x:f>
        <x:v>0</x:v>
      </x:c>
      <x:c r="AA62" s="44" t="n">
        <x:f>IF(OR($J62="",$K62=""),"",IF(SUMIFS(Calendar!$C$16:$C$134,Calendar!$A$16:$A$134,"&gt;="&amp;MAX(AA$7,$J62),Calendar!$A$16:$A$134,"&lt;="&amp;MIN(AA$7+4,$K62))=0,0,IF($H62="","EXT",SUMIFS(Calendar!$C$16:$C$134,Calendar!$A$16:$A$134,"&gt;="&amp;MAX(AA$7,$J62),Calendar!$A$16:$A$134,"&lt;="&amp;MIN(AA$7+4,$K62))*$H62/$G62)))</x:f>
        <x:v>0</x:v>
      </x:c>
      <x:c r="AB62" s="44" t="n">
        <x:f>IF(OR($J62="",$K62=""),"",IF(SUMIFS(Calendar!$C$16:$C$134,Calendar!$A$16:$A$134,"&gt;="&amp;MAX(AB$7,$J62),Calendar!$A$16:$A$134,"&lt;="&amp;MIN(AB$7+4,$K62))=0,0,IF($H62="","EXT",SUMIFS(Calendar!$C$16:$C$134,Calendar!$A$16:$A$134,"&gt;="&amp;MAX(AB$7,$J62),Calendar!$A$16:$A$134,"&lt;="&amp;MIN(AB$7+4,$K62))*$H62/$G62)))</x:f>
        <x:v>0</x:v>
      </x:c>
      <x:c r="AC62" s="44" t="n">
        <x:f>IF(OR($J62="",$K62=""),"",IF(SUMIFS(Calendar!$C$16:$C$134,Calendar!$A$16:$A$134,"&gt;="&amp;MAX(AC$7,$J62),Calendar!$A$16:$A$134,"&lt;="&amp;MIN(AC$7+4,$K62))=0,0,IF($H62="","EXT",SUMIFS(Calendar!$C$16:$C$134,Calendar!$A$16:$A$134,"&gt;="&amp;MAX(AC$7,$J62),Calendar!$A$16:$A$134,"&lt;="&amp;MIN(AC$7+4,$K62))*$H62/$G62)))</x:f>
        <x:v>0</x:v>
      </x:c>
      <x:c r="AD62" s="44" t="n">
        <x:f>IF(OR($J62="",$K62=""),"",IF(SUMIFS(Calendar!$C$16:$C$134,Calendar!$A$16:$A$134,"&gt;="&amp;MAX(AD$7,$J62),Calendar!$A$16:$A$134,"&lt;="&amp;MIN(AD$7+4,$K62))=0,0,IF($H62="","EXT",SUMIFS(Calendar!$C$16:$C$134,Calendar!$A$16:$A$134,"&gt;="&amp;MAX(AD$7,$J62),Calendar!$A$16:$A$134,"&lt;="&amp;MIN(AD$7+4,$K62))*$H62/$G62)))</x:f>
        <x:v>0</x:v>
      </x:c>
      <x:c r="AE62" s="42" t="n">
        <x:f>IF(OR(M62&lt;&gt;"Scheduled",INDEX('Team and Gates'!$C$7:$C$11,MATCH($D62,'Team and Gates'!$A$7:$A$11,0))=""),"CHECK",SUM(N62:AD62)*INDEX('Team and Gates'!$C$7:$C$11,MATCH($D62,'Team and Gates'!$A$7:$A$11,0)))</x:f>
        <x:v>1440</x:v>
      </x:c>
      <x:c r="AF62" s="43" t="str">
        <x:v>Qualified artifacts deploy from clean state; critical negatives actually run in CI.</x:v>
      </x:c>
      <x:c r="AG62" s="43" t="str"/>
    </x:row>
    <x:row r="63" ht="36" customHeight="1">
      <x:c r="A63" s="35" t="str">
        <x:v>Q11</x:v>
      </x:c>
      <x:c r="B63" s="35" t="str">
        <x:v>Technical QA</x:v>
      </x:c>
      <x:c r="C63" s="35" t="str">
        <x:v>UAT fix regression and security review</x:v>
      </x:c>
      <x:c r="D63" s="28" t="str">
        <x:v>Tester 1</x:v>
      </x:c>
      <x:c r="E63" s="35" t="str">
        <x:v>Q10, A11:SS, B11:SS</x:v>
      </x:c>
      <x:c r="F63" s="47" t="n">
        <x:v>56</x:v>
      </x:c>
      <x:c r="G63" s="47" t="n">
        <x:v>5</x:v>
      </x:c>
      <x:c r="H63" s="48" t="n">
        <x:v>4</x:v>
      </x:c>
      <x:c r="I63" s="35" t="n">
        <x:f>IF(OR(F63="",G63=""),"",F63+G63-1)</x:f>
        <x:v>60</x:v>
      </x:c>
      <x:c r="J63" s="37" t="n">
        <x:f>IF(OR(F63="",F63&lt;1,F63&gt;Calendar!$B$9),"",INDEX(Calendar!$A$16:$A$134,MATCH(F63,Calendar!$D$16:$D$134,0)))</x:f>
        <x:v>46405</x:v>
      </x:c>
      <x:c r="K63" s="37" t="n">
        <x:f>IF(OR(I63="",I63&lt;1,I63&gt;Calendar!$B$9),"",INDEX(Calendar!$A$16:$A$134,MATCH(I63,Calendar!$D$16:$D$134,0)))</x:f>
        <x:v>46409</x:v>
      </x:c>
      <x:c r="L63" s="50" t="n">
        <x:v>0</x:v>
      </x:c>
      <x:c r="M63" s="35" t="str">
        <x:f>IF(OR(F63="",G63="",H63=""),"Missing input",IF(OR(F63&lt;1,G63&lt;1,I63&gt;Calendar!$B$9),"Outside calendar",IF(F63&lt;MAX(INDEX($I$8:$I$85,MATCH("Q10",$A$8:$A$85,0))+1,INDEX($F$8:$F$85,MATCH("A11",$A$8:$A$85,0)),INDEX($F$8:$F$85,MATCH("B11",$A$8:$A$85,0))),"Dependency conflict","Scheduled")))</x:f>
        <x:v>Scheduled</x:v>
      </x:c>
      <x:c r="N63" s="44" t="n">
        <x:f>IF(OR($J63="",$K63=""),"",IF(SUMIFS(Calendar!$C$16:$C$134,Calendar!$A$16:$A$134,"&gt;="&amp;MAX(N$7,$J63),Calendar!$A$16:$A$134,"&lt;="&amp;MIN(N$7+4,$K63))=0,0,IF($H63="","EXT",SUMIFS(Calendar!$C$16:$C$134,Calendar!$A$16:$A$134,"&gt;="&amp;MAX(N$7,$J63),Calendar!$A$16:$A$134,"&lt;="&amp;MIN(N$7+4,$K63))*$H63/$G63)))</x:f>
        <x:v>0</x:v>
      </x:c>
      <x:c r="O63" s="44" t="n">
        <x:f>IF(OR($J63="",$K63=""),"",IF(SUMIFS(Calendar!$C$16:$C$134,Calendar!$A$16:$A$134,"&gt;="&amp;MAX(O$7,$J63),Calendar!$A$16:$A$134,"&lt;="&amp;MIN(O$7+4,$K63))=0,0,IF($H63="","EXT",SUMIFS(Calendar!$C$16:$C$134,Calendar!$A$16:$A$134,"&gt;="&amp;MAX(O$7,$J63),Calendar!$A$16:$A$134,"&lt;="&amp;MIN(O$7+4,$K63))*$H63/$G63)))</x:f>
        <x:v>0</x:v>
      </x:c>
      <x:c r="P63" s="44" t="n">
        <x:f>IF(OR($J63="",$K63=""),"",IF(SUMIFS(Calendar!$C$16:$C$134,Calendar!$A$16:$A$134,"&gt;="&amp;MAX(P$7,$J63),Calendar!$A$16:$A$134,"&lt;="&amp;MIN(P$7+4,$K63))=0,0,IF($H63="","EXT",SUMIFS(Calendar!$C$16:$C$134,Calendar!$A$16:$A$134,"&gt;="&amp;MAX(P$7,$J63),Calendar!$A$16:$A$134,"&lt;="&amp;MIN(P$7+4,$K63))*$H63/$G63)))</x:f>
        <x:v>0</x:v>
      </x:c>
      <x:c r="Q63" s="44" t="n">
        <x:f>IF(OR($J63="",$K63=""),"",IF(SUMIFS(Calendar!$C$16:$C$134,Calendar!$A$16:$A$134,"&gt;="&amp;MAX(Q$7,$J63),Calendar!$A$16:$A$134,"&lt;="&amp;MIN(Q$7+4,$K63))=0,0,IF($H63="","EXT",SUMIFS(Calendar!$C$16:$C$134,Calendar!$A$16:$A$134,"&gt;="&amp;MAX(Q$7,$J63),Calendar!$A$16:$A$134,"&lt;="&amp;MIN(Q$7+4,$K63))*$H63/$G63)))</x:f>
        <x:v>0</x:v>
      </x:c>
      <x:c r="R63" s="44" t="n">
        <x:f>IF(OR($J63="",$K63=""),"",IF(SUMIFS(Calendar!$C$16:$C$134,Calendar!$A$16:$A$134,"&gt;="&amp;MAX(R$7,$J63),Calendar!$A$16:$A$134,"&lt;="&amp;MIN(R$7+4,$K63))=0,0,IF($H63="","EXT",SUMIFS(Calendar!$C$16:$C$134,Calendar!$A$16:$A$134,"&gt;="&amp;MAX(R$7,$J63),Calendar!$A$16:$A$134,"&lt;="&amp;MIN(R$7+4,$K63))*$H63/$G63)))</x:f>
        <x:v>0</x:v>
      </x:c>
      <x:c r="S63" s="44" t="n">
        <x:f>IF(OR($J63="",$K63=""),"",IF(SUMIFS(Calendar!$C$16:$C$134,Calendar!$A$16:$A$134,"&gt;="&amp;MAX(S$7,$J63),Calendar!$A$16:$A$134,"&lt;="&amp;MIN(S$7+4,$K63))=0,0,IF($H63="","EXT",SUMIFS(Calendar!$C$16:$C$134,Calendar!$A$16:$A$134,"&gt;="&amp;MAX(S$7,$J63),Calendar!$A$16:$A$134,"&lt;="&amp;MIN(S$7+4,$K63))*$H63/$G63)))</x:f>
        <x:v>0</x:v>
      </x:c>
      <x:c r="T63" s="44" t="n">
        <x:f>IF(OR($J63="",$K63=""),"",IF(SUMIFS(Calendar!$C$16:$C$134,Calendar!$A$16:$A$134,"&gt;="&amp;MAX(T$7,$J63),Calendar!$A$16:$A$134,"&lt;="&amp;MIN(T$7+4,$K63))=0,0,IF($H63="","EXT",SUMIFS(Calendar!$C$16:$C$134,Calendar!$A$16:$A$134,"&gt;="&amp;MAX(T$7,$J63),Calendar!$A$16:$A$134,"&lt;="&amp;MIN(T$7+4,$K63))*$H63/$G63)))</x:f>
        <x:v>0</x:v>
      </x:c>
      <x:c r="U63" s="44" t="n">
        <x:f>IF(OR($J63="",$K63=""),"",IF(SUMIFS(Calendar!$C$16:$C$134,Calendar!$A$16:$A$134,"&gt;="&amp;MAX(U$7,$J63),Calendar!$A$16:$A$134,"&lt;="&amp;MIN(U$7+4,$K63))=0,0,IF($H63="","EXT",SUMIFS(Calendar!$C$16:$C$134,Calendar!$A$16:$A$134,"&gt;="&amp;MAX(U$7,$J63),Calendar!$A$16:$A$134,"&lt;="&amp;MIN(U$7+4,$K63))*$H63/$G63)))</x:f>
        <x:v>0</x:v>
      </x:c>
      <x:c r="V63" s="44" t="n">
        <x:f>IF(OR($J63="",$K63=""),"",IF(SUMIFS(Calendar!$C$16:$C$134,Calendar!$A$16:$A$134,"&gt;="&amp;MAX(V$7,$J63),Calendar!$A$16:$A$134,"&lt;="&amp;MIN(V$7+4,$K63))=0,0,IF($H63="","EXT",SUMIFS(Calendar!$C$16:$C$134,Calendar!$A$16:$A$134,"&gt;="&amp;MAX(V$7,$J63),Calendar!$A$16:$A$134,"&lt;="&amp;MIN(V$7+4,$K63))*$H63/$G63)))</x:f>
        <x:v>0</x:v>
      </x:c>
      <x:c r="W63" s="44" t="n">
        <x:f>IF(OR($J63="",$K63=""),"",IF(SUMIFS(Calendar!$C$16:$C$134,Calendar!$A$16:$A$134,"&gt;="&amp;MAX(W$7,$J63),Calendar!$A$16:$A$134,"&lt;="&amp;MIN(W$7+4,$K63))=0,0,IF($H63="","EXT",SUMIFS(Calendar!$C$16:$C$134,Calendar!$A$16:$A$134,"&gt;="&amp;MAX(W$7,$J63),Calendar!$A$16:$A$134,"&lt;="&amp;MIN(W$7+4,$K63))*$H63/$G63)))</x:f>
        <x:v>0</x:v>
      </x:c>
      <x:c r="X63" s="44" t="n">
        <x:f>IF(OR($J63="",$K63=""),"",IF(SUMIFS(Calendar!$C$16:$C$134,Calendar!$A$16:$A$134,"&gt;="&amp;MAX(X$7,$J63),Calendar!$A$16:$A$134,"&lt;="&amp;MIN(X$7+4,$K63))=0,0,IF($H63="","EXT",SUMIFS(Calendar!$C$16:$C$134,Calendar!$A$16:$A$134,"&gt;="&amp;MAX(X$7,$J63),Calendar!$A$16:$A$134,"&lt;="&amp;MIN(X$7+4,$K63))*$H63/$G63)))</x:f>
        <x:v>0</x:v>
      </x:c>
      <x:c r="Y63" s="44" t="n">
        <x:f>IF(OR($J63="",$K63=""),"",IF(SUMIFS(Calendar!$C$16:$C$134,Calendar!$A$16:$A$134,"&gt;="&amp;MAX(Y$7,$J63),Calendar!$A$16:$A$134,"&lt;="&amp;MIN(Y$7+4,$K63))=0,0,IF($H63="","EXT",SUMIFS(Calendar!$C$16:$C$134,Calendar!$A$16:$A$134,"&gt;="&amp;MAX(Y$7,$J63),Calendar!$A$16:$A$134,"&lt;="&amp;MIN(Y$7+4,$K63))*$H63/$G63)))</x:f>
        <x:v>4</x:v>
      </x:c>
      <x:c r="Z63" s="44" t="n">
        <x:f>IF(OR($J63="",$K63=""),"",IF(SUMIFS(Calendar!$C$16:$C$134,Calendar!$A$16:$A$134,"&gt;="&amp;MAX(Z$7,$J63),Calendar!$A$16:$A$134,"&lt;="&amp;MIN(Z$7+4,$K63))=0,0,IF($H63="","EXT",SUMIFS(Calendar!$C$16:$C$134,Calendar!$A$16:$A$134,"&gt;="&amp;MAX(Z$7,$J63),Calendar!$A$16:$A$134,"&lt;="&amp;MIN(Z$7+4,$K63))*$H63/$G63)))</x:f>
        <x:v>0</x:v>
      </x:c>
      <x:c r="AA63" s="44" t="n">
        <x:f>IF(OR($J63="",$K63=""),"",IF(SUMIFS(Calendar!$C$16:$C$134,Calendar!$A$16:$A$134,"&gt;="&amp;MAX(AA$7,$J63),Calendar!$A$16:$A$134,"&lt;="&amp;MIN(AA$7+4,$K63))=0,0,IF($H63="","EXT",SUMIFS(Calendar!$C$16:$C$134,Calendar!$A$16:$A$134,"&gt;="&amp;MAX(AA$7,$J63),Calendar!$A$16:$A$134,"&lt;="&amp;MIN(AA$7+4,$K63))*$H63/$G63)))</x:f>
        <x:v>0</x:v>
      </x:c>
      <x:c r="AB63" s="44" t="n">
        <x:f>IF(OR($J63="",$K63=""),"",IF(SUMIFS(Calendar!$C$16:$C$134,Calendar!$A$16:$A$134,"&gt;="&amp;MAX(AB$7,$J63),Calendar!$A$16:$A$134,"&lt;="&amp;MIN(AB$7+4,$K63))=0,0,IF($H63="","EXT",SUMIFS(Calendar!$C$16:$C$134,Calendar!$A$16:$A$134,"&gt;="&amp;MAX(AB$7,$J63),Calendar!$A$16:$A$134,"&lt;="&amp;MIN(AB$7+4,$K63))*$H63/$G63)))</x:f>
        <x:v>0</x:v>
      </x:c>
      <x:c r="AC63" s="44" t="n">
        <x:f>IF(OR($J63="",$K63=""),"",IF(SUMIFS(Calendar!$C$16:$C$134,Calendar!$A$16:$A$134,"&gt;="&amp;MAX(AC$7,$J63),Calendar!$A$16:$A$134,"&lt;="&amp;MIN(AC$7+4,$K63))=0,0,IF($H63="","EXT",SUMIFS(Calendar!$C$16:$C$134,Calendar!$A$16:$A$134,"&gt;="&amp;MAX(AC$7,$J63),Calendar!$A$16:$A$134,"&lt;="&amp;MIN(AC$7+4,$K63))*$H63/$G63)))</x:f>
        <x:v>0</x:v>
      </x:c>
      <x:c r="AD63" s="44" t="n">
        <x:f>IF(OR($J63="",$K63=""),"",IF(SUMIFS(Calendar!$C$16:$C$134,Calendar!$A$16:$A$134,"&gt;="&amp;MAX(AD$7,$J63),Calendar!$A$16:$A$134,"&lt;="&amp;MIN(AD$7+4,$K63))=0,0,IF($H63="","EXT",SUMIFS(Calendar!$C$16:$C$134,Calendar!$A$16:$A$134,"&gt;="&amp;MAX(AD$7,$J63),Calendar!$A$16:$A$134,"&lt;="&amp;MIN(AD$7+4,$K63))*$H63/$G63)))</x:f>
        <x:v>0</x:v>
      </x:c>
      <x:c r="AE63" s="42" t="n">
        <x:f>IF(OR(M63&lt;&gt;"Scheduled",INDEX('Team and Gates'!$C$7:$C$11,MATCH($D63,'Team and Gates'!$A$7:$A$11,0))=""),"CHECK",SUM(N63:AD63)*INDEX('Team and Gates'!$C$7:$C$11,MATCH($D63,'Team and Gates'!$A$7:$A$11,0)))</x:f>
        <x:v>1440</x:v>
      </x:c>
      <x:c r="AF63" s="43" t="str">
        <x:v>Affected API, integration and fault paths are rechecked after fixes.</x:v>
      </x:c>
      <x:c r="AG63" s="43" t="str"/>
    </x:row>
    <x:row r="64" ht="36" customHeight="1">
      <x:c r="A64" s="2" t="str">
        <x:v>Q12</x:v>
      </x:c>
      <x:c r="B64" s="2" t="str">
        <x:v>Technical QA</x:v>
      </x:c>
      <x:c r="C64" s="2" t="str">
        <x:v>Release regression and two-service rollback rehearsal</x:v>
      </x:c>
      <x:c r="D64" s="28" t="str">
        <x:v>Tester 1</x:v>
      </x:c>
      <x:c r="E64" s="2" t="str">
        <x:v>Q11, A12:SS, B12:SS</x:v>
      </x:c>
      <x:c r="F64" s="47" t="n">
        <x:v>61</x:v>
      </x:c>
      <x:c r="G64" s="47" t="n">
        <x:v>5</x:v>
      </x:c>
      <x:c r="H64" s="48" t="n">
        <x:v>4</x:v>
      </x:c>
      <x:c r="I64" s="2" t="n">
        <x:f>IF(OR(F64="",G64=""),"",F64+G64-1)</x:f>
        <x:v>65</x:v>
      </x:c>
      <x:c r="J64" s="5" t="n">
        <x:f>IF(OR(F64="",F64&lt;1,F64&gt;Calendar!$B$9),"",INDEX(Calendar!$A$16:$A$134,MATCH(F64,Calendar!$D$16:$D$134,0)))</x:f>
        <x:v>46412</x:v>
      </x:c>
      <x:c r="K64" s="5" t="n">
        <x:f>IF(OR(I64="",I64&lt;1,I64&gt;Calendar!$B$9),"",INDEX(Calendar!$A$16:$A$134,MATCH(I64,Calendar!$D$16:$D$134,0)))</x:f>
        <x:v>46416</x:v>
      </x:c>
      <x:c r="L64" s="50" t="n">
        <x:v>0</x:v>
      </x:c>
      <x:c r="M64" s="2" t="str">
        <x:f>IF(OR(F64="",G64="",H64=""),"Missing input",IF(OR(F64&lt;1,G64&lt;1,I64&gt;Calendar!$B$9),"Outside calendar",IF(F64&lt;MAX(INDEX($I$8:$I$85,MATCH("Q11",$A$8:$A$85,0))+1,INDEX($F$8:$F$85,MATCH("A12",$A$8:$A$85,0)),INDEX($F$8:$F$85,MATCH("B12",$A$8:$A$85,0))),"Dependency conflict","Scheduled")))</x:f>
        <x:v>Scheduled</x:v>
      </x:c>
      <x:c r="N64" s="44" t="n">
        <x:f>IF(OR($J64="",$K64=""),"",IF(SUMIFS(Calendar!$C$16:$C$134,Calendar!$A$16:$A$134,"&gt;="&amp;MAX(N$7,$J64),Calendar!$A$16:$A$134,"&lt;="&amp;MIN(N$7+4,$K64))=0,0,IF($H64="","EXT",SUMIFS(Calendar!$C$16:$C$134,Calendar!$A$16:$A$134,"&gt;="&amp;MAX(N$7,$J64),Calendar!$A$16:$A$134,"&lt;="&amp;MIN(N$7+4,$K64))*$H64/$G64)))</x:f>
        <x:v>0</x:v>
      </x:c>
      <x:c r="O64" s="44" t="n">
        <x:f>IF(OR($J64="",$K64=""),"",IF(SUMIFS(Calendar!$C$16:$C$134,Calendar!$A$16:$A$134,"&gt;="&amp;MAX(O$7,$J64),Calendar!$A$16:$A$134,"&lt;="&amp;MIN(O$7+4,$K64))=0,0,IF($H64="","EXT",SUMIFS(Calendar!$C$16:$C$134,Calendar!$A$16:$A$134,"&gt;="&amp;MAX(O$7,$J64),Calendar!$A$16:$A$134,"&lt;="&amp;MIN(O$7+4,$K64))*$H64/$G64)))</x:f>
        <x:v>0</x:v>
      </x:c>
      <x:c r="P64" s="44" t="n">
        <x:f>IF(OR($J64="",$K64=""),"",IF(SUMIFS(Calendar!$C$16:$C$134,Calendar!$A$16:$A$134,"&gt;="&amp;MAX(P$7,$J64),Calendar!$A$16:$A$134,"&lt;="&amp;MIN(P$7+4,$K64))=0,0,IF($H64="","EXT",SUMIFS(Calendar!$C$16:$C$134,Calendar!$A$16:$A$134,"&gt;="&amp;MAX(P$7,$J64),Calendar!$A$16:$A$134,"&lt;="&amp;MIN(P$7+4,$K64))*$H64/$G64)))</x:f>
        <x:v>0</x:v>
      </x:c>
      <x:c r="Q64" s="44" t="n">
        <x:f>IF(OR($J64="",$K64=""),"",IF(SUMIFS(Calendar!$C$16:$C$134,Calendar!$A$16:$A$134,"&gt;="&amp;MAX(Q$7,$J64),Calendar!$A$16:$A$134,"&lt;="&amp;MIN(Q$7+4,$K64))=0,0,IF($H64="","EXT",SUMIFS(Calendar!$C$16:$C$134,Calendar!$A$16:$A$134,"&gt;="&amp;MAX(Q$7,$J64),Calendar!$A$16:$A$134,"&lt;="&amp;MIN(Q$7+4,$K64))*$H64/$G64)))</x:f>
        <x:v>0</x:v>
      </x:c>
      <x:c r="R64" s="44" t="n">
        <x:f>IF(OR($J64="",$K64=""),"",IF(SUMIFS(Calendar!$C$16:$C$134,Calendar!$A$16:$A$134,"&gt;="&amp;MAX(R$7,$J64),Calendar!$A$16:$A$134,"&lt;="&amp;MIN(R$7+4,$K64))=0,0,IF($H64="","EXT",SUMIFS(Calendar!$C$16:$C$134,Calendar!$A$16:$A$134,"&gt;="&amp;MAX(R$7,$J64),Calendar!$A$16:$A$134,"&lt;="&amp;MIN(R$7+4,$K64))*$H64/$G64)))</x:f>
        <x:v>0</x:v>
      </x:c>
      <x:c r="S64" s="44" t="n">
        <x:f>IF(OR($J64="",$K64=""),"",IF(SUMIFS(Calendar!$C$16:$C$134,Calendar!$A$16:$A$134,"&gt;="&amp;MAX(S$7,$J64),Calendar!$A$16:$A$134,"&lt;="&amp;MIN(S$7+4,$K64))=0,0,IF($H64="","EXT",SUMIFS(Calendar!$C$16:$C$134,Calendar!$A$16:$A$134,"&gt;="&amp;MAX(S$7,$J64),Calendar!$A$16:$A$134,"&lt;="&amp;MIN(S$7+4,$K64))*$H64/$G64)))</x:f>
        <x:v>0</x:v>
      </x:c>
      <x:c r="T64" s="44" t="n">
        <x:f>IF(OR($J64="",$K64=""),"",IF(SUMIFS(Calendar!$C$16:$C$134,Calendar!$A$16:$A$134,"&gt;="&amp;MAX(T$7,$J64),Calendar!$A$16:$A$134,"&lt;="&amp;MIN(T$7+4,$K64))=0,0,IF($H64="","EXT",SUMIFS(Calendar!$C$16:$C$134,Calendar!$A$16:$A$134,"&gt;="&amp;MAX(T$7,$J64),Calendar!$A$16:$A$134,"&lt;="&amp;MIN(T$7+4,$K64))*$H64/$G64)))</x:f>
        <x:v>0</x:v>
      </x:c>
      <x:c r="U64" s="44" t="n">
        <x:f>IF(OR($J64="",$K64=""),"",IF(SUMIFS(Calendar!$C$16:$C$134,Calendar!$A$16:$A$134,"&gt;="&amp;MAX(U$7,$J64),Calendar!$A$16:$A$134,"&lt;="&amp;MIN(U$7+4,$K64))=0,0,IF($H64="","EXT",SUMIFS(Calendar!$C$16:$C$134,Calendar!$A$16:$A$134,"&gt;="&amp;MAX(U$7,$J64),Calendar!$A$16:$A$134,"&lt;="&amp;MIN(U$7+4,$K64))*$H64/$G64)))</x:f>
        <x:v>0</x:v>
      </x:c>
      <x:c r="V64" s="44" t="n">
        <x:f>IF(OR($J64="",$K64=""),"",IF(SUMIFS(Calendar!$C$16:$C$134,Calendar!$A$16:$A$134,"&gt;="&amp;MAX(V$7,$J64),Calendar!$A$16:$A$134,"&lt;="&amp;MIN(V$7+4,$K64))=0,0,IF($H64="","EXT",SUMIFS(Calendar!$C$16:$C$134,Calendar!$A$16:$A$134,"&gt;="&amp;MAX(V$7,$J64),Calendar!$A$16:$A$134,"&lt;="&amp;MIN(V$7+4,$K64))*$H64/$G64)))</x:f>
        <x:v>0</x:v>
      </x:c>
      <x:c r="W64" s="44" t="n">
        <x:f>IF(OR($J64="",$K64=""),"",IF(SUMIFS(Calendar!$C$16:$C$134,Calendar!$A$16:$A$134,"&gt;="&amp;MAX(W$7,$J64),Calendar!$A$16:$A$134,"&lt;="&amp;MIN(W$7+4,$K64))=0,0,IF($H64="","EXT",SUMIFS(Calendar!$C$16:$C$134,Calendar!$A$16:$A$134,"&gt;="&amp;MAX(W$7,$J64),Calendar!$A$16:$A$134,"&lt;="&amp;MIN(W$7+4,$K64))*$H64/$G64)))</x:f>
        <x:v>0</x:v>
      </x:c>
      <x:c r="X64" s="44" t="n">
        <x:f>IF(OR($J64="",$K64=""),"",IF(SUMIFS(Calendar!$C$16:$C$134,Calendar!$A$16:$A$134,"&gt;="&amp;MAX(X$7,$J64),Calendar!$A$16:$A$134,"&lt;="&amp;MIN(X$7+4,$K64))=0,0,IF($H64="","EXT",SUMIFS(Calendar!$C$16:$C$134,Calendar!$A$16:$A$134,"&gt;="&amp;MAX(X$7,$J64),Calendar!$A$16:$A$134,"&lt;="&amp;MIN(X$7+4,$K64))*$H64/$G64)))</x:f>
        <x:v>0</x:v>
      </x:c>
      <x:c r="Y64" s="44" t="n">
        <x:f>IF(OR($J64="",$K64=""),"",IF(SUMIFS(Calendar!$C$16:$C$134,Calendar!$A$16:$A$134,"&gt;="&amp;MAX(Y$7,$J64),Calendar!$A$16:$A$134,"&lt;="&amp;MIN(Y$7+4,$K64))=0,0,IF($H64="","EXT",SUMIFS(Calendar!$C$16:$C$134,Calendar!$A$16:$A$134,"&gt;="&amp;MAX(Y$7,$J64),Calendar!$A$16:$A$134,"&lt;="&amp;MIN(Y$7+4,$K64))*$H64/$G64)))</x:f>
        <x:v>0</x:v>
      </x:c>
      <x:c r="Z64" s="44" t="n">
        <x:f>IF(OR($J64="",$K64=""),"",IF(SUMIFS(Calendar!$C$16:$C$134,Calendar!$A$16:$A$134,"&gt;="&amp;MAX(Z$7,$J64),Calendar!$A$16:$A$134,"&lt;="&amp;MIN(Z$7+4,$K64))=0,0,IF($H64="","EXT",SUMIFS(Calendar!$C$16:$C$134,Calendar!$A$16:$A$134,"&gt;="&amp;MAX(Z$7,$J64),Calendar!$A$16:$A$134,"&lt;="&amp;MIN(Z$7+4,$K64))*$H64/$G64)))</x:f>
        <x:v>4</x:v>
      </x:c>
      <x:c r="AA64" s="44" t="n">
        <x:f>IF(OR($J64="",$K64=""),"",IF(SUMIFS(Calendar!$C$16:$C$134,Calendar!$A$16:$A$134,"&gt;="&amp;MAX(AA$7,$J64),Calendar!$A$16:$A$134,"&lt;="&amp;MIN(AA$7+4,$K64))=0,0,IF($H64="","EXT",SUMIFS(Calendar!$C$16:$C$134,Calendar!$A$16:$A$134,"&gt;="&amp;MAX(AA$7,$J64),Calendar!$A$16:$A$134,"&lt;="&amp;MIN(AA$7+4,$K64))*$H64/$G64)))</x:f>
        <x:v>0</x:v>
      </x:c>
      <x:c r="AB64" s="44" t="n">
        <x:f>IF(OR($J64="",$K64=""),"",IF(SUMIFS(Calendar!$C$16:$C$134,Calendar!$A$16:$A$134,"&gt;="&amp;MAX(AB$7,$J64),Calendar!$A$16:$A$134,"&lt;="&amp;MIN(AB$7+4,$K64))=0,0,IF($H64="","EXT",SUMIFS(Calendar!$C$16:$C$134,Calendar!$A$16:$A$134,"&gt;="&amp;MAX(AB$7,$J64),Calendar!$A$16:$A$134,"&lt;="&amp;MIN(AB$7+4,$K64))*$H64/$G64)))</x:f>
        <x:v>0</x:v>
      </x:c>
      <x:c r="AC64" s="44" t="n">
        <x:f>IF(OR($J64="",$K64=""),"",IF(SUMIFS(Calendar!$C$16:$C$134,Calendar!$A$16:$A$134,"&gt;="&amp;MAX(AC$7,$J64),Calendar!$A$16:$A$134,"&lt;="&amp;MIN(AC$7+4,$K64))=0,0,IF($H64="","EXT",SUMIFS(Calendar!$C$16:$C$134,Calendar!$A$16:$A$134,"&gt;="&amp;MAX(AC$7,$J64),Calendar!$A$16:$A$134,"&lt;="&amp;MIN(AC$7+4,$K64))*$H64/$G64)))</x:f>
        <x:v>0</x:v>
      </x:c>
      <x:c r="AD64" s="44" t="n">
        <x:f>IF(OR($J64="",$K64=""),"",IF(SUMIFS(Calendar!$C$16:$C$134,Calendar!$A$16:$A$134,"&gt;="&amp;MAX(AD$7,$J64),Calendar!$A$16:$A$134,"&lt;="&amp;MIN(AD$7+4,$K64))=0,0,IF($H64="","EXT",SUMIFS(Calendar!$C$16:$C$134,Calendar!$A$16:$A$134,"&gt;="&amp;MAX(AD$7,$J64),Calendar!$A$16:$A$134,"&lt;="&amp;MIN(AD$7+4,$K64))*$H64/$G64)))</x:f>
        <x:v>0</x:v>
      </x:c>
      <x:c r="AE64" s="42" t="n">
        <x:f>IF(OR(M64&lt;&gt;"Scheduled",INDEX('Team and Gates'!$C$7:$C$11,MATCH($D64,'Team and Gates'!$A$7:$A$11,0))=""),"CHECK",SUM(N64:AD64)*INDEX('Team and Gates'!$C$7:$C$11,MATCH($D64,'Team and Gates'!$A$7:$A$11,0)))</x:f>
        <x:v>1440</x:v>
      </x:c>
      <x:c r="AF64" s="43" t="str">
        <x:v>P0/P1 defects are closed; approved send/recovery and rollback evidence is retained.</x:v>
      </x:c>
      <x:c r="AG64" s="43" t="str"/>
    </x:row>
    <x:row r="65" ht="36" customHeight="1">
      <x:c r="A65" s="35" t="str">
        <x:v>Q13</x:v>
      </x:c>
      <x:c r="B65" s="35" t="str">
        <x:v>Technical QA</x:v>
      </x:c>
      <x:c r="C65" s="35" t="str">
        <x:v>Pre-holiday technical checkpoint</x:v>
      </x:c>
      <x:c r="D65" s="28" t="str">
        <x:v>Tester 1</x:v>
      </x:c>
      <x:c r="E65" s="35" t="str">
        <x:v>Q12</x:v>
      </x:c>
      <x:c r="F65" s="47" t="n">
        <x:v>66</x:v>
      </x:c>
      <x:c r="G65" s="47" t="n">
        <x:v>2</x:v>
      </x:c>
      <x:c r="H65" s="48" t="n">
        <x:v>1.5</x:v>
      </x:c>
      <x:c r="I65" s="35" t="n">
        <x:f>IF(OR(F65="",G65=""),"",F65+G65-1)</x:f>
        <x:v>67</x:v>
      </x:c>
      <x:c r="J65" s="37" t="n">
        <x:f>IF(OR(F65="",F65&lt;1,F65&gt;Calendar!$B$9),"",INDEX(Calendar!$A$16:$A$134,MATCH(F65,Calendar!$D$16:$D$134,0)))</x:f>
        <x:v>46419</x:v>
      </x:c>
      <x:c r="K65" s="37" t="n">
        <x:f>IF(OR(I65="",I65&lt;1,I65&gt;Calendar!$B$9),"",INDEX(Calendar!$A$16:$A$134,MATCH(I65,Calendar!$D$16:$D$134,0)))</x:f>
        <x:v>46420</x:v>
      </x:c>
      <x:c r="L65" s="50" t="n">
        <x:v>0</x:v>
      </x:c>
      <x:c r="M65" s="35" t="str">
        <x:f>IF(OR(F65="",G65="",H65=""),"Missing input",IF(OR(F65&lt;1,G65&lt;1,I65&gt;Calendar!$B$9),"Outside calendar",IF(F65&lt;MAX(INDEX($I$8:$I$85,MATCH("Q12",$A$8:$A$85,0))+1),"Dependency conflict","Scheduled")))</x:f>
        <x:v>Scheduled</x:v>
      </x:c>
      <x:c r="N65" s="44" t="n">
        <x:f>IF(OR($J65="",$K65=""),"",IF(SUMIFS(Calendar!$C$16:$C$134,Calendar!$A$16:$A$134,"&gt;="&amp;MAX(N$7,$J65),Calendar!$A$16:$A$134,"&lt;="&amp;MIN(N$7+4,$K65))=0,0,IF($H65="","EXT",SUMIFS(Calendar!$C$16:$C$134,Calendar!$A$16:$A$134,"&gt;="&amp;MAX(N$7,$J65),Calendar!$A$16:$A$134,"&lt;="&amp;MIN(N$7+4,$K65))*$H65/$G65)))</x:f>
        <x:v>0</x:v>
      </x:c>
      <x:c r="O65" s="44" t="n">
        <x:f>IF(OR($J65="",$K65=""),"",IF(SUMIFS(Calendar!$C$16:$C$134,Calendar!$A$16:$A$134,"&gt;="&amp;MAX(O$7,$J65),Calendar!$A$16:$A$134,"&lt;="&amp;MIN(O$7+4,$K65))=0,0,IF($H65="","EXT",SUMIFS(Calendar!$C$16:$C$134,Calendar!$A$16:$A$134,"&gt;="&amp;MAX(O$7,$J65),Calendar!$A$16:$A$134,"&lt;="&amp;MIN(O$7+4,$K65))*$H65/$G65)))</x:f>
        <x:v>0</x:v>
      </x:c>
      <x:c r="P65" s="44" t="n">
        <x:f>IF(OR($J65="",$K65=""),"",IF(SUMIFS(Calendar!$C$16:$C$134,Calendar!$A$16:$A$134,"&gt;="&amp;MAX(P$7,$J65),Calendar!$A$16:$A$134,"&lt;="&amp;MIN(P$7+4,$K65))=0,0,IF($H65="","EXT",SUMIFS(Calendar!$C$16:$C$134,Calendar!$A$16:$A$134,"&gt;="&amp;MAX(P$7,$J65),Calendar!$A$16:$A$134,"&lt;="&amp;MIN(P$7+4,$K65))*$H65/$G65)))</x:f>
        <x:v>0</x:v>
      </x:c>
      <x:c r="Q65" s="44" t="n">
        <x:f>IF(OR($J65="",$K65=""),"",IF(SUMIFS(Calendar!$C$16:$C$134,Calendar!$A$16:$A$134,"&gt;="&amp;MAX(Q$7,$J65),Calendar!$A$16:$A$134,"&lt;="&amp;MIN(Q$7+4,$K65))=0,0,IF($H65="","EXT",SUMIFS(Calendar!$C$16:$C$134,Calendar!$A$16:$A$134,"&gt;="&amp;MAX(Q$7,$J65),Calendar!$A$16:$A$134,"&lt;="&amp;MIN(Q$7+4,$K65))*$H65/$G65)))</x:f>
        <x:v>0</x:v>
      </x:c>
      <x:c r="R65" s="44" t="n">
        <x:f>IF(OR($J65="",$K65=""),"",IF(SUMIFS(Calendar!$C$16:$C$134,Calendar!$A$16:$A$134,"&gt;="&amp;MAX(R$7,$J65),Calendar!$A$16:$A$134,"&lt;="&amp;MIN(R$7+4,$K65))=0,0,IF($H65="","EXT",SUMIFS(Calendar!$C$16:$C$134,Calendar!$A$16:$A$134,"&gt;="&amp;MAX(R$7,$J65),Calendar!$A$16:$A$134,"&lt;="&amp;MIN(R$7+4,$K65))*$H65/$G65)))</x:f>
        <x:v>0</x:v>
      </x:c>
      <x:c r="S65" s="44" t="n">
        <x:f>IF(OR($J65="",$K65=""),"",IF(SUMIFS(Calendar!$C$16:$C$134,Calendar!$A$16:$A$134,"&gt;="&amp;MAX(S$7,$J65),Calendar!$A$16:$A$134,"&lt;="&amp;MIN(S$7+4,$K65))=0,0,IF($H65="","EXT",SUMIFS(Calendar!$C$16:$C$134,Calendar!$A$16:$A$134,"&gt;="&amp;MAX(S$7,$J65),Calendar!$A$16:$A$134,"&lt;="&amp;MIN(S$7+4,$K65))*$H65/$G65)))</x:f>
        <x:v>0</x:v>
      </x:c>
      <x:c r="T65" s="44" t="n">
        <x:f>IF(OR($J65="",$K65=""),"",IF(SUMIFS(Calendar!$C$16:$C$134,Calendar!$A$16:$A$134,"&gt;="&amp;MAX(T$7,$J65),Calendar!$A$16:$A$134,"&lt;="&amp;MIN(T$7+4,$K65))=0,0,IF($H65="","EXT",SUMIFS(Calendar!$C$16:$C$134,Calendar!$A$16:$A$134,"&gt;="&amp;MAX(T$7,$J65),Calendar!$A$16:$A$134,"&lt;="&amp;MIN(T$7+4,$K65))*$H65/$G65)))</x:f>
        <x:v>0</x:v>
      </x:c>
      <x:c r="U65" s="44" t="n">
        <x:f>IF(OR($J65="",$K65=""),"",IF(SUMIFS(Calendar!$C$16:$C$134,Calendar!$A$16:$A$134,"&gt;="&amp;MAX(U$7,$J65),Calendar!$A$16:$A$134,"&lt;="&amp;MIN(U$7+4,$K65))=0,0,IF($H65="","EXT",SUMIFS(Calendar!$C$16:$C$134,Calendar!$A$16:$A$134,"&gt;="&amp;MAX(U$7,$J65),Calendar!$A$16:$A$134,"&lt;="&amp;MIN(U$7+4,$K65))*$H65/$G65)))</x:f>
        <x:v>0</x:v>
      </x:c>
      <x:c r="V65" s="44" t="n">
        <x:f>IF(OR($J65="",$K65=""),"",IF(SUMIFS(Calendar!$C$16:$C$134,Calendar!$A$16:$A$134,"&gt;="&amp;MAX(V$7,$J65),Calendar!$A$16:$A$134,"&lt;="&amp;MIN(V$7+4,$K65))=0,0,IF($H65="","EXT",SUMIFS(Calendar!$C$16:$C$134,Calendar!$A$16:$A$134,"&gt;="&amp;MAX(V$7,$J65),Calendar!$A$16:$A$134,"&lt;="&amp;MIN(V$7+4,$K65))*$H65/$G65)))</x:f>
        <x:v>0</x:v>
      </x:c>
      <x:c r="W65" s="44" t="n">
        <x:f>IF(OR($J65="",$K65=""),"",IF(SUMIFS(Calendar!$C$16:$C$134,Calendar!$A$16:$A$134,"&gt;="&amp;MAX(W$7,$J65),Calendar!$A$16:$A$134,"&lt;="&amp;MIN(W$7+4,$K65))=0,0,IF($H65="","EXT",SUMIFS(Calendar!$C$16:$C$134,Calendar!$A$16:$A$134,"&gt;="&amp;MAX(W$7,$J65),Calendar!$A$16:$A$134,"&lt;="&amp;MIN(W$7+4,$K65))*$H65/$G65)))</x:f>
        <x:v>0</x:v>
      </x:c>
      <x:c r="X65" s="44" t="n">
        <x:f>IF(OR($J65="",$K65=""),"",IF(SUMIFS(Calendar!$C$16:$C$134,Calendar!$A$16:$A$134,"&gt;="&amp;MAX(X$7,$J65),Calendar!$A$16:$A$134,"&lt;="&amp;MIN(X$7+4,$K65))=0,0,IF($H65="","EXT",SUMIFS(Calendar!$C$16:$C$134,Calendar!$A$16:$A$134,"&gt;="&amp;MAX(X$7,$J65),Calendar!$A$16:$A$134,"&lt;="&amp;MIN(X$7+4,$K65))*$H65/$G65)))</x:f>
        <x:v>0</x:v>
      </x:c>
      <x:c r="Y65" s="44" t="n">
        <x:f>IF(OR($J65="",$K65=""),"",IF(SUMIFS(Calendar!$C$16:$C$134,Calendar!$A$16:$A$134,"&gt;="&amp;MAX(Y$7,$J65),Calendar!$A$16:$A$134,"&lt;="&amp;MIN(Y$7+4,$K65))=0,0,IF($H65="","EXT",SUMIFS(Calendar!$C$16:$C$134,Calendar!$A$16:$A$134,"&gt;="&amp;MAX(Y$7,$J65),Calendar!$A$16:$A$134,"&lt;="&amp;MIN(Y$7+4,$K65))*$H65/$G65)))</x:f>
        <x:v>0</x:v>
      </x:c>
      <x:c r="Z65" s="44" t="n">
        <x:f>IF(OR($J65="",$K65=""),"",IF(SUMIFS(Calendar!$C$16:$C$134,Calendar!$A$16:$A$134,"&gt;="&amp;MAX(Z$7,$J65),Calendar!$A$16:$A$134,"&lt;="&amp;MIN(Z$7+4,$K65))=0,0,IF($H65="","EXT",SUMIFS(Calendar!$C$16:$C$134,Calendar!$A$16:$A$134,"&gt;="&amp;MAX(Z$7,$J65),Calendar!$A$16:$A$134,"&lt;="&amp;MIN(Z$7+4,$K65))*$H65/$G65)))</x:f>
        <x:v>0</x:v>
      </x:c>
      <x:c r="AA65" s="44" t="n">
        <x:f>IF(OR($J65="",$K65=""),"",IF(SUMIFS(Calendar!$C$16:$C$134,Calendar!$A$16:$A$134,"&gt;="&amp;MAX(AA$7,$J65),Calendar!$A$16:$A$134,"&lt;="&amp;MIN(AA$7+4,$K65))=0,0,IF($H65="","EXT",SUMIFS(Calendar!$C$16:$C$134,Calendar!$A$16:$A$134,"&gt;="&amp;MAX(AA$7,$J65),Calendar!$A$16:$A$134,"&lt;="&amp;MIN(AA$7+4,$K65))*$H65/$G65)))</x:f>
        <x:v>1.5</x:v>
      </x:c>
      <x:c r="AB65" s="44" t="n">
        <x:f>IF(OR($J65="",$K65=""),"",IF(SUMIFS(Calendar!$C$16:$C$134,Calendar!$A$16:$A$134,"&gt;="&amp;MAX(AB$7,$J65),Calendar!$A$16:$A$134,"&lt;="&amp;MIN(AB$7+4,$K65))=0,0,IF($H65="","EXT",SUMIFS(Calendar!$C$16:$C$134,Calendar!$A$16:$A$134,"&gt;="&amp;MAX(AB$7,$J65),Calendar!$A$16:$A$134,"&lt;="&amp;MIN(AB$7+4,$K65))*$H65/$G65)))</x:f>
        <x:v>0</x:v>
      </x:c>
      <x:c r="AC65" s="44" t="n">
        <x:f>IF(OR($J65="",$K65=""),"",IF(SUMIFS(Calendar!$C$16:$C$134,Calendar!$A$16:$A$134,"&gt;="&amp;MAX(AC$7,$J65),Calendar!$A$16:$A$134,"&lt;="&amp;MIN(AC$7+4,$K65))=0,0,IF($H65="","EXT",SUMIFS(Calendar!$C$16:$C$134,Calendar!$A$16:$A$134,"&gt;="&amp;MAX(AC$7,$J65),Calendar!$A$16:$A$134,"&lt;="&amp;MIN(AC$7+4,$K65))*$H65/$G65)))</x:f>
        <x:v>0</x:v>
      </x:c>
      <x:c r="AD65" s="44" t="n">
        <x:f>IF(OR($J65="",$K65=""),"",IF(SUMIFS(Calendar!$C$16:$C$134,Calendar!$A$16:$A$134,"&gt;="&amp;MAX(AD$7,$J65),Calendar!$A$16:$A$134,"&lt;="&amp;MIN(AD$7+4,$K65))=0,0,IF($H65="","EXT",SUMIFS(Calendar!$C$16:$C$134,Calendar!$A$16:$A$134,"&gt;="&amp;MAX(AD$7,$J65),Calendar!$A$16:$A$134,"&lt;="&amp;MIN(AD$7+4,$K65))*$H65/$G65)))</x:f>
        <x:v>0</x:v>
      </x:c>
      <x:c r="AE65" s="42" t="n">
        <x:f>IF(OR(M65&lt;&gt;"Scheduled",INDEX('Team and Gates'!$C$7:$C$11,MATCH($D65,'Team and Gates'!$A$7:$A$11,0))=""),"CHECK",SUM(N65:AD65)*INDEX('Team and Gates'!$C$7:$C$11,MATCH($D65,'Team and Gates'!$A$7:$A$11,0)))</x:f>
        <x:v>540</x:v>
      </x:c>
      <x:c r="AF65" s="43" t="str">
        <x:v>Frozen artifacts, alerts, backups and recovery instructions are verified.</x:v>
      </x:c>
      <x:c r="AG65" s="43" t="str"/>
    </x:row>
    <x:row r="66" ht="36" customHeight="1">
      <x:c r="A66" s="2" t="str">
        <x:v>Q14</x:v>
      </x:c>
      <x:c r="B66" s="2" t="str">
        <x:v>Technical QA</x:v>
      </x:c>
      <x:c r="C66" s="2" t="str">
        <x:v>Post-holiday full regression and technical Go/No-Go</x:v>
      </x:c>
      <x:c r="D66" s="28" t="str">
        <x:v>Tester 1</x:v>
      </x:c>
      <x:c r="E66" s="2" t="str">
        <x:v>Q13, A14:SS, B14:SS</x:v>
      </x:c>
      <x:c r="F66" s="47" t="n">
        <x:v>68</x:v>
      </x:c>
      <x:c r="G66" s="47" t="n">
        <x:v>5</x:v>
      </x:c>
      <x:c r="H66" s="48" t="n">
        <x:v>4</x:v>
      </x:c>
      <x:c r="I66" s="2" t="n">
        <x:f>IF(OR(F66="",G66=""),"",F66+G66-1)</x:f>
        <x:v>72</x:v>
      </x:c>
      <x:c r="J66" s="5" t="n">
        <x:f>IF(OR(F66="",F66&lt;1,F66&gt;Calendar!$B$9),"",INDEX(Calendar!$A$16:$A$134,MATCH(F66,Calendar!$D$16:$D$134,0)))</x:f>
        <x:v>46433</x:v>
      </x:c>
      <x:c r="K66" s="5" t="n">
        <x:f>IF(OR(I66="",I66&lt;1,I66&gt;Calendar!$B$9),"",INDEX(Calendar!$A$16:$A$134,MATCH(I66,Calendar!$D$16:$D$134,0)))</x:f>
        <x:v>46437</x:v>
      </x:c>
      <x:c r="L66" s="50" t="n">
        <x:v>0</x:v>
      </x:c>
      <x:c r="M66" s="2" t="str">
        <x:f>IF(OR(F66="",G66="",H66=""),"Missing input",IF(OR(F66&lt;1,G66&lt;1,I66&gt;Calendar!$B$9),"Outside calendar",IF(F66&lt;MAX(INDEX($I$8:$I$85,MATCH("Q13",$A$8:$A$85,0))+1,INDEX($F$8:$F$85,MATCH("A14",$A$8:$A$85,0)),INDEX($F$8:$F$85,MATCH("B14",$A$8:$A$85,0))),"Dependency conflict","Scheduled")))</x:f>
        <x:v>Scheduled</x:v>
      </x:c>
      <x:c r="N66" s="44" t="n">
        <x:f>IF(OR($J66="",$K66=""),"",IF(SUMIFS(Calendar!$C$16:$C$134,Calendar!$A$16:$A$134,"&gt;="&amp;MAX(N$7,$J66),Calendar!$A$16:$A$134,"&lt;="&amp;MIN(N$7+4,$K66))=0,0,IF($H66="","EXT",SUMIFS(Calendar!$C$16:$C$134,Calendar!$A$16:$A$134,"&gt;="&amp;MAX(N$7,$J66),Calendar!$A$16:$A$134,"&lt;="&amp;MIN(N$7+4,$K66))*$H66/$G66)))</x:f>
        <x:v>0</x:v>
      </x:c>
      <x:c r="O66" s="44" t="n">
        <x:f>IF(OR($J66="",$K66=""),"",IF(SUMIFS(Calendar!$C$16:$C$134,Calendar!$A$16:$A$134,"&gt;="&amp;MAX(O$7,$J66),Calendar!$A$16:$A$134,"&lt;="&amp;MIN(O$7+4,$K66))=0,0,IF($H66="","EXT",SUMIFS(Calendar!$C$16:$C$134,Calendar!$A$16:$A$134,"&gt;="&amp;MAX(O$7,$J66),Calendar!$A$16:$A$134,"&lt;="&amp;MIN(O$7+4,$K66))*$H66/$G66)))</x:f>
        <x:v>0</x:v>
      </x:c>
      <x:c r="P66" s="44" t="n">
        <x:f>IF(OR($J66="",$K66=""),"",IF(SUMIFS(Calendar!$C$16:$C$134,Calendar!$A$16:$A$134,"&gt;="&amp;MAX(P$7,$J66),Calendar!$A$16:$A$134,"&lt;="&amp;MIN(P$7+4,$K66))=0,0,IF($H66="","EXT",SUMIFS(Calendar!$C$16:$C$134,Calendar!$A$16:$A$134,"&gt;="&amp;MAX(P$7,$J66),Calendar!$A$16:$A$134,"&lt;="&amp;MIN(P$7+4,$K66))*$H66/$G66)))</x:f>
        <x:v>0</x:v>
      </x:c>
      <x:c r="Q66" s="44" t="n">
        <x:f>IF(OR($J66="",$K66=""),"",IF(SUMIFS(Calendar!$C$16:$C$134,Calendar!$A$16:$A$134,"&gt;="&amp;MAX(Q$7,$J66),Calendar!$A$16:$A$134,"&lt;="&amp;MIN(Q$7+4,$K66))=0,0,IF($H66="","EXT",SUMIFS(Calendar!$C$16:$C$134,Calendar!$A$16:$A$134,"&gt;="&amp;MAX(Q$7,$J66),Calendar!$A$16:$A$134,"&lt;="&amp;MIN(Q$7+4,$K66))*$H66/$G66)))</x:f>
        <x:v>0</x:v>
      </x:c>
      <x:c r="R66" s="44" t="n">
        <x:f>IF(OR($J66="",$K66=""),"",IF(SUMIFS(Calendar!$C$16:$C$134,Calendar!$A$16:$A$134,"&gt;="&amp;MAX(R$7,$J66),Calendar!$A$16:$A$134,"&lt;="&amp;MIN(R$7+4,$K66))=0,0,IF($H66="","EXT",SUMIFS(Calendar!$C$16:$C$134,Calendar!$A$16:$A$134,"&gt;="&amp;MAX(R$7,$J66),Calendar!$A$16:$A$134,"&lt;="&amp;MIN(R$7+4,$K66))*$H66/$G66)))</x:f>
        <x:v>0</x:v>
      </x:c>
      <x:c r="S66" s="44" t="n">
        <x:f>IF(OR($J66="",$K66=""),"",IF(SUMIFS(Calendar!$C$16:$C$134,Calendar!$A$16:$A$134,"&gt;="&amp;MAX(S$7,$J66),Calendar!$A$16:$A$134,"&lt;="&amp;MIN(S$7+4,$K66))=0,0,IF($H66="","EXT",SUMIFS(Calendar!$C$16:$C$134,Calendar!$A$16:$A$134,"&gt;="&amp;MAX(S$7,$J66),Calendar!$A$16:$A$134,"&lt;="&amp;MIN(S$7+4,$K66))*$H66/$G66)))</x:f>
        <x:v>0</x:v>
      </x:c>
      <x:c r="T66" s="44" t="n">
        <x:f>IF(OR($J66="",$K66=""),"",IF(SUMIFS(Calendar!$C$16:$C$134,Calendar!$A$16:$A$134,"&gt;="&amp;MAX(T$7,$J66),Calendar!$A$16:$A$134,"&lt;="&amp;MIN(T$7+4,$K66))=0,0,IF($H66="","EXT",SUMIFS(Calendar!$C$16:$C$134,Calendar!$A$16:$A$134,"&gt;="&amp;MAX(T$7,$J66),Calendar!$A$16:$A$134,"&lt;="&amp;MIN(T$7+4,$K66))*$H66/$G66)))</x:f>
        <x:v>0</x:v>
      </x:c>
      <x:c r="U66" s="44" t="n">
        <x:f>IF(OR($J66="",$K66=""),"",IF(SUMIFS(Calendar!$C$16:$C$134,Calendar!$A$16:$A$134,"&gt;="&amp;MAX(U$7,$J66),Calendar!$A$16:$A$134,"&lt;="&amp;MIN(U$7+4,$K66))=0,0,IF($H66="","EXT",SUMIFS(Calendar!$C$16:$C$134,Calendar!$A$16:$A$134,"&gt;="&amp;MAX(U$7,$J66),Calendar!$A$16:$A$134,"&lt;="&amp;MIN(U$7+4,$K66))*$H66/$G66)))</x:f>
        <x:v>0</x:v>
      </x:c>
      <x:c r="V66" s="44" t="n">
        <x:f>IF(OR($J66="",$K66=""),"",IF(SUMIFS(Calendar!$C$16:$C$134,Calendar!$A$16:$A$134,"&gt;="&amp;MAX(V$7,$J66),Calendar!$A$16:$A$134,"&lt;="&amp;MIN(V$7+4,$K66))=0,0,IF($H66="","EXT",SUMIFS(Calendar!$C$16:$C$134,Calendar!$A$16:$A$134,"&gt;="&amp;MAX(V$7,$J66),Calendar!$A$16:$A$134,"&lt;="&amp;MIN(V$7+4,$K66))*$H66/$G66)))</x:f>
        <x:v>0</x:v>
      </x:c>
      <x:c r="W66" s="44" t="n">
        <x:f>IF(OR($J66="",$K66=""),"",IF(SUMIFS(Calendar!$C$16:$C$134,Calendar!$A$16:$A$134,"&gt;="&amp;MAX(W$7,$J66),Calendar!$A$16:$A$134,"&lt;="&amp;MIN(W$7+4,$K66))=0,0,IF($H66="","EXT",SUMIFS(Calendar!$C$16:$C$134,Calendar!$A$16:$A$134,"&gt;="&amp;MAX(W$7,$J66),Calendar!$A$16:$A$134,"&lt;="&amp;MIN(W$7+4,$K66))*$H66/$G66)))</x:f>
        <x:v>0</x:v>
      </x:c>
      <x:c r="X66" s="44" t="n">
        <x:f>IF(OR($J66="",$K66=""),"",IF(SUMIFS(Calendar!$C$16:$C$134,Calendar!$A$16:$A$134,"&gt;="&amp;MAX(X$7,$J66),Calendar!$A$16:$A$134,"&lt;="&amp;MIN(X$7+4,$K66))=0,0,IF($H66="","EXT",SUMIFS(Calendar!$C$16:$C$134,Calendar!$A$16:$A$134,"&gt;="&amp;MAX(X$7,$J66),Calendar!$A$16:$A$134,"&lt;="&amp;MIN(X$7+4,$K66))*$H66/$G66)))</x:f>
        <x:v>0</x:v>
      </x:c>
      <x:c r="Y66" s="44" t="n">
        <x:f>IF(OR($J66="",$K66=""),"",IF(SUMIFS(Calendar!$C$16:$C$134,Calendar!$A$16:$A$134,"&gt;="&amp;MAX(Y$7,$J66),Calendar!$A$16:$A$134,"&lt;="&amp;MIN(Y$7+4,$K66))=0,0,IF($H66="","EXT",SUMIFS(Calendar!$C$16:$C$134,Calendar!$A$16:$A$134,"&gt;="&amp;MAX(Y$7,$J66),Calendar!$A$16:$A$134,"&lt;="&amp;MIN(Y$7+4,$K66))*$H66/$G66)))</x:f>
        <x:v>0</x:v>
      </x:c>
      <x:c r="Z66" s="44" t="n">
        <x:f>IF(OR($J66="",$K66=""),"",IF(SUMIFS(Calendar!$C$16:$C$134,Calendar!$A$16:$A$134,"&gt;="&amp;MAX(Z$7,$J66),Calendar!$A$16:$A$134,"&lt;="&amp;MIN(Z$7+4,$K66))=0,0,IF($H66="","EXT",SUMIFS(Calendar!$C$16:$C$134,Calendar!$A$16:$A$134,"&gt;="&amp;MAX(Z$7,$J66),Calendar!$A$16:$A$134,"&lt;="&amp;MIN(Z$7+4,$K66))*$H66/$G66)))</x:f>
        <x:v>0</x:v>
      </x:c>
      <x:c r="AA66" s="44" t="n">
        <x:f>IF(OR($J66="",$K66=""),"",IF(SUMIFS(Calendar!$C$16:$C$134,Calendar!$A$16:$A$134,"&gt;="&amp;MAX(AA$7,$J66),Calendar!$A$16:$A$134,"&lt;="&amp;MIN(AA$7+4,$K66))=0,0,IF($H66="","EXT",SUMIFS(Calendar!$C$16:$C$134,Calendar!$A$16:$A$134,"&gt;="&amp;MAX(AA$7,$J66),Calendar!$A$16:$A$134,"&lt;="&amp;MIN(AA$7+4,$K66))*$H66/$G66)))</x:f>
        <x:v>0</x:v>
      </x:c>
      <x:c r="AB66" s="44" t="n">
        <x:f>IF(OR($J66="",$K66=""),"",IF(SUMIFS(Calendar!$C$16:$C$134,Calendar!$A$16:$A$134,"&gt;="&amp;MAX(AB$7,$J66),Calendar!$A$16:$A$134,"&lt;="&amp;MIN(AB$7+4,$K66))=0,0,IF($H66="","EXT",SUMIFS(Calendar!$C$16:$C$134,Calendar!$A$16:$A$134,"&gt;="&amp;MAX(AB$7,$J66),Calendar!$A$16:$A$134,"&lt;="&amp;MIN(AB$7+4,$K66))*$H66/$G66)))</x:f>
        <x:v>0</x:v>
      </x:c>
      <x:c r="AC66" s="44" t="n">
        <x:f>IF(OR($J66="",$K66=""),"",IF(SUMIFS(Calendar!$C$16:$C$134,Calendar!$A$16:$A$134,"&gt;="&amp;MAX(AC$7,$J66),Calendar!$A$16:$A$134,"&lt;="&amp;MIN(AC$7+4,$K66))=0,0,IF($H66="","EXT",SUMIFS(Calendar!$C$16:$C$134,Calendar!$A$16:$A$134,"&gt;="&amp;MAX(AC$7,$J66),Calendar!$A$16:$A$134,"&lt;="&amp;MIN(AC$7+4,$K66))*$H66/$G66)))</x:f>
        <x:v>4</x:v>
      </x:c>
      <x:c r="AD66" s="44" t="n">
        <x:f>IF(OR($J66="",$K66=""),"",IF(SUMIFS(Calendar!$C$16:$C$134,Calendar!$A$16:$A$134,"&gt;="&amp;MAX(AD$7,$J66),Calendar!$A$16:$A$134,"&lt;="&amp;MIN(AD$7+4,$K66))=0,0,IF($H66="","EXT",SUMIFS(Calendar!$C$16:$C$134,Calendar!$A$16:$A$134,"&gt;="&amp;MAX(AD$7,$J66),Calendar!$A$16:$A$134,"&lt;="&amp;MIN(AD$7+4,$K66))*$H66/$G66)))</x:f>
        <x:v>0</x:v>
      </x:c>
      <x:c r="AE66" s="42" t="n">
        <x:f>IF(OR(M66&lt;&gt;"Scheduled",INDEX('Team and Gates'!$C$7:$C$11,MATCH($D66,'Team and Gates'!$A$7:$A$11,0))=""),"CHECK",SUM(N66:AD66)*INDEX('Team and Gates'!$C$7:$C$11,MATCH($D66,'Team and Gates'!$A$7:$A$11,0)))</x:f>
        <x:v>1440</x:v>
      </x:c>
      <x:c r="AF66" s="43" t="str">
        <x:v>Re-run core, send, permission and recovery paths against the final release.</x:v>
      </x:c>
      <x:c r="AG66" s="43" t="str"/>
    </x:row>
    <x:row r="67" ht="36" customHeight="1">
      <x:c r="A67" s="35" t="str">
        <x:v>Q15</x:v>
      </x:c>
      <x:c r="B67" s="35" t="str">
        <x:v>Technical QA</x:v>
      </x:c>
      <x:c r="C67" s="35" t="str">
        <x:v>Production smoke tests and alert verification</x:v>
      </x:c>
      <x:c r="D67" s="28" t="str">
        <x:v>Tester 1</x:v>
      </x:c>
      <x:c r="E67" s="35" t="str">
        <x:v>Q14, U14</x:v>
      </x:c>
      <x:c r="F67" s="47" t="n">
        <x:v>73</x:v>
      </x:c>
      <x:c r="G67" s="47" t="n">
        <x:v>5</x:v>
      </x:c>
      <x:c r="H67" s="48" t="n">
        <x:v>3</x:v>
      </x:c>
      <x:c r="I67" s="35" t="n">
        <x:f>IF(OR(F67="",G67=""),"",F67+G67-1)</x:f>
        <x:v>77</x:v>
      </x:c>
      <x:c r="J67" s="37" t="n">
        <x:f>IF(OR(F67="",F67&lt;1,F67&gt;Calendar!$B$9),"",INDEX(Calendar!$A$16:$A$134,MATCH(F67,Calendar!$D$16:$D$134,0)))</x:f>
        <x:v>46440</x:v>
      </x:c>
      <x:c r="K67" s="37" t="n">
        <x:f>IF(OR(I67="",I67&lt;1,I67&gt;Calendar!$B$9),"",INDEX(Calendar!$A$16:$A$134,MATCH(I67,Calendar!$D$16:$D$134,0)))</x:f>
        <x:v>46444</x:v>
      </x:c>
      <x:c r="L67" s="50" t="n">
        <x:v>0</x:v>
      </x:c>
      <x:c r="M67" s="35" t="str">
        <x:f>IF(OR(F67="",G67="",H67=""),"Missing input",IF(OR(F67&lt;1,G67&lt;1,I67&gt;Calendar!$B$9),"Outside calendar",IF(F67&lt;MAX(INDEX($I$8:$I$85,MATCH("Q14",$A$8:$A$85,0))+1,INDEX($I$8:$I$85,MATCH("U14",$A$8:$A$85,0))+1),"Dependency conflict","Scheduled")))</x:f>
        <x:v>Scheduled</x:v>
      </x:c>
      <x:c r="N67" s="44" t="n">
        <x:f>IF(OR($J67="",$K67=""),"",IF(SUMIFS(Calendar!$C$16:$C$134,Calendar!$A$16:$A$134,"&gt;="&amp;MAX(N$7,$J67),Calendar!$A$16:$A$134,"&lt;="&amp;MIN(N$7+4,$K67))=0,0,IF($H67="","EXT",SUMIFS(Calendar!$C$16:$C$134,Calendar!$A$16:$A$134,"&gt;="&amp;MAX(N$7,$J67),Calendar!$A$16:$A$134,"&lt;="&amp;MIN(N$7+4,$K67))*$H67/$G67)))</x:f>
        <x:v>0</x:v>
      </x:c>
      <x:c r="O67" s="44" t="n">
        <x:f>IF(OR($J67="",$K67=""),"",IF(SUMIFS(Calendar!$C$16:$C$134,Calendar!$A$16:$A$134,"&gt;="&amp;MAX(O$7,$J67),Calendar!$A$16:$A$134,"&lt;="&amp;MIN(O$7+4,$K67))=0,0,IF($H67="","EXT",SUMIFS(Calendar!$C$16:$C$134,Calendar!$A$16:$A$134,"&gt;="&amp;MAX(O$7,$J67),Calendar!$A$16:$A$134,"&lt;="&amp;MIN(O$7+4,$K67))*$H67/$G67)))</x:f>
        <x:v>0</x:v>
      </x:c>
      <x:c r="P67" s="44" t="n">
        <x:f>IF(OR($J67="",$K67=""),"",IF(SUMIFS(Calendar!$C$16:$C$134,Calendar!$A$16:$A$134,"&gt;="&amp;MAX(P$7,$J67),Calendar!$A$16:$A$134,"&lt;="&amp;MIN(P$7+4,$K67))=0,0,IF($H67="","EXT",SUMIFS(Calendar!$C$16:$C$134,Calendar!$A$16:$A$134,"&gt;="&amp;MAX(P$7,$J67),Calendar!$A$16:$A$134,"&lt;="&amp;MIN(P$7+4,$K67))*$H67/$G67)))</x:f>
        <x:v>0</x:v>
      </x:c>
      <x:c r="Q67" s="44" t="n">
        <x:f>IF(OR($J67="",$K67=""),"",IF(SUMIFS(Calendar!$C$16:$C$134,Calendar!$A$16:$A$134,"&gt;="&amp;MAX(Q$7,$J67),Calendar!$A$16:$A$134,"&lt;="&amp;MIN(Q$7+4,$K67))=0,0,IF($H67="","EXT",SUMIFS(Calendar!$C$16:$C$134,Calendar!$A$16:$A$134,"&gt;="&amp;MAX(Q$7,$J67),Calendar!$A$16:$A$134,"&lt;="&amp;MIN(Q$7+4,$K67))*$H67/$G67)))</x:f>
        <x:v>0</x:v>
      </x:c>
      <x:c r="R67" s="44" t="n">
        <x:f>IF(OR($J67="",$K67=""),"",IF(SUMIFS(Calendar!$C$16:$C$134,Calendar!$A$16:$A$134,"&gt;="&amp;MAX(R$7,$J67),Calendar!$A$16:$A$134,"&lt;="&amp;MIN(R$7+4,$K67))=0,0,IF($H67="","EXT",SUMIFS(Calendar!$C$16:$C$134,Calendar!$A$16:$A$134,"&gt;="&amp;MAX(R$7,$J67),Calendar!$A$16:$A$134,"&lt;="&amp;MIN(R$7+4,$K67))*$H67/$G67)))</x:f>
        <x:v>0</x:v>
      </x:c>
      <x:c r="S67" s="44" t="n">
        <x:f>IF(OR($J67="",$K67=""),"",IF(SUMIFS(Calendar!$C$16:$C$134,Calendar!$A$16:$A$134,"&gt;="&amp;MAX(S$7,$J67),Calendar!$A$16:$A$134,"&lt;="&amp;MIN(S$7+4,$K67))=0,0,IF($H67="","EXT",SUMIFS(Calendar!$C$16:$C$134,Calendar!$A$16:$A$134,"&gt;="&amp;MAX(S$7,$J67),Calendar!$A$16:$A$134,"&lt;="&amp;MIN(S$7+4,$K67))*$H67/$G67)))</x:f>
        <x:v>0</x:v>
      </x:c>
      <x:c r="T67" s="44" t="n">
        <x:f>IF(OR($J67="",$K67=""),"",IF(SUMIFS(Calendar!$C$16:$C$134,Calendar!$A$16:$A$134,"&gt;="&amp;MAX(T$7,$J67),Calendar!$A$16:$A$134,"&lt;="&amp;MIN(T$7+4,$K67))=0,0,IF($H67="","EXT",SUMIFS(Calendar!$C$16:$C$134,Calendar!$A$16:$A$134,"&gt;="&amp;MAX(T$7,$J67),Calendar!$A$16:$A$134,"&lt;="&amp;MIN(T$7+4,$K67))*$H67/$G67)))</x:f>
        <x:v>0</x:v>
      </x:c>
      <x:c r="U67" s="44" t="n">
        <x:f>IF(OR($J67="",$K67=""),"",IF(SUMIFS(Calendar!$C$16:$C$134,Calendar!$A$16:$A$134,"&gt;="&amp;MAX(U$7,$J67),Calendar!$A$16:$A$134,"&lt;="&amp;MIN(U$7+4,$K67))=0,0,IF($H67="","EXT",SUMIFS(Calendar!$C$16:$C$134,Calendar!$A$16:$A$134,"&gt;="&amp;MAX(U$7,$J67),Calendar!$A$16:$A$134,"&lt;="&amp;MIN(U$7+4,$K67))*$H67/$G67)))</x:f>
        <x:v>0</x:v>
      </x:c>
      <x:c r="V67" s="44" t="n">
        <x:f>IF(OR($J67="",$K67=""),"",IF(SUMIFS(Calendar!$C$16:$C$134,Calendar!$A$16:$A$134,"&gt;="&amp;MAX(V$7,$J67),Calendar!$A$16:$A$134,"&lt;="&amp;MIN(V$7+4,$K67))=0,0,IF($H67="","EXT",SUMIFS(Calendar!$C$16:$C$134,Calendar!$A$16:$A$134,"&gt;="&amp;MAX(V$7,$J67),Calendar!$A$16:$A$134,"&lt;="&amp;MIN(V$7+4,$K67))*$H67/$G67)))</x:f>
        <x:v>0</x:v>
      </x:c>
      <x:c r="W67" s="44" t="n">
        <x:f>IF(OR($J67="",$K67=""),"",IF(SUMIFS(Calendar!$C$16:$C$134,Calendar!$A$16:$A$134,"&gt;="&amp;MAX(W$7,$J67),Calendar!$A$16:$A$134,"&lt;="&amp;MIN(W$7+4,$K67))=0,0,IF($H67="","EXT",SUMIFS(Calendar!$C$16:$C$134,Calendar!$A$16:$A$134,"&gt;="&amp;MAX(W$7,$J67),Calendar!$A$16:$A$134,"&lt;="&amp;MIN(W$7+4,$K67))*$H67/$G67)))</x:f>
        <x:v>0</x:v>
      </x:c>
      <x:c r="X67" s="44" t="n">
        <x:f>IF(OR($J67="",$K67=""),"",IF(SUMIFS(Calendar!$C$16:$C$134,Calendar!$A$16:$A$134,"&gt;="&amp;MAX(X$7,$J67),Calendar!$A$16:$A$134,"&lt;="&amp;MIN(X$7+4,$K67))=0,0,IF($H67="","EXT",SUMIFS(Calendar!$C$16:$C$134,Calendar!$A$16:$A$134,"&gt;="&amp;MAX(X$7,$J67),Calendar!$A$16:$A$134,"&lt;="&amp;MIN(X$7+4,$K67))*$H67/$G67)))</x:f>
        <x:v>0</x:v>
      </x:c>
      <x:c r="Y67" s="44" t="n">
        <x:f>IF(OR($J67="",$K67=""),"",IF(SUMIFS(Calendar!$C$16:$C$134,Calendar!$A$16:$A$134,"&gt;="&amp;MAX(Y$7,$J67),Calendar!$A$16:$A$134,"&lt;="&amp;MIN(Y$7+4,$K67))=0,0,IF($H67="","EXT",SUMIFS(Calendar!$C$16:$C$134,Calendar!$A$16:$A$134,"&gt;="&amp;MAX(Y$7,$J67),Calendar!$A$16:$A$134,"&lt;="&amp;MIN(Y$7+4,$K67))*$H67/$G67)))</x:f>
        <x:v>0</x:v>
      </x:c>
      <x:c r="Z67" s="44" t="n">
        <x:f>IF(OR($J67="",$K67=""),"",IF(SUMIFS(Calendar!$C$16:$C$134,Calendar!$A$16:$A$134,"&gt;="&amp;MAX(Z$7,$J67),Calendar!$A$16:$A$134,"&lt;="&amp;MIN(Z$7+4,$K67))=0,0,IF($H67="","EXT",SUMIFS(Calendar!$C$16:$C$134,Calendar!$A$16:$A$134,"&gt;="&amp;MAX(Z$7,$J67),Calendar!$A$16:$A$134,"&lt;="&amp;MIN(Z$7+4,$K67))*$H67/$G67)))</x:f>
        <x:v>0</x:v>
      </x:c>
      <x:c r="AA67" s="44" t="n">
        <x:f>IF(OR($J67="",$K67=""),"",IF(SUMIFS(Calendar!$C$16:$C$134,Calendar!$A$16:$A$134,"&gt;="&amp;MAX(AA$7,$J67),Calendar!$A$16:$A$134,"&lt;="&amp;MIN(AA$7+4,$K67))=0,0,IF($H67="","EXT",SUMIFS(Calendar!$C$16:$C$134,Calendar!$A$16:$A$134,"&gt;="&amp;MAX(AA$7,$J67),Calendar!$A$16:$A$134,"&lt;="&amp;MIN(AA$7+4,$K67))*$H67/$G67)))</x:f>
        <x:v>0</x:v>
      </x:c>
      <x:c r="AB67" s="44" t="n">
        <x:f>IF(OR($J67="",$K67=""),"",IF(SUMIFS(Calendar!$C$16:$C$134,Calendar!$A$16:$A$134,"&gt;="&amp;MAX(AB$7,$J67),Calendar!$A$16:$A$134,"&lt;="&amp;MIN(AB$7+4,$K67))=0,0,IF($H67="","EXT",SUMIFS(Calendar!$C$16:$C$134,Calendar!$A$16:$A$134,"&gt;="&amp;MAX(AB$7,$J67),Calendar!$A$16:$A$134,"&lt;="&amp;MIN(AB$7+4,$K67))*$H67/$G67)))</x:f>
        <x:v>0</x:v>
      </x:c>
      <x:c r="AC67" s="44" t="n">
        <x:f>IF(OR($J67="",$K67=""),"",IF(SUMIFS(Calendar!$C$16:$C$134,Calendar!$A$16:$A$134,"&gt;="&amp;MAX(AC$7,$J67),Calendar!$A$16:$A$134,"&lt;="&amp;MIN(AC$7+4,$K67))=0,0,IF($H67="","EXT",SUMIFS(Calendar!$C$16:$C$134,Calendar!$A$16:$A$134,"&gt;="&amp;MAX(AC$7,$J67),Calendar!$A$16:$A$134,"&lt;="&amp;MIN(AC$7+4,$K67))*$H67/$G67)))</x:f>
        <x:v>0</x:v>
      </x:c>
      <x:c r="AD67" s="44" t="n">
        <x:f>IF(OR($J67="",$K67=""),"",IF(SUMIFS(Calendar!$C$16:$C$134,Calendar!$A$16:$A$134,"&gt;="&amp;MAX(AD$7,$J67),Calendar!$A$16:$A$134,"&lt;="&amp;MIN(AD$7+4,$K67))=0,0,IF($H67="","EXT",SUMIFS(Calendar!$C$16:$C$134,Calendar!$A$16:$A$134,"&gt;="&amp;MAX(AD$7,$J67),Calendar!$A$16:$A$134,"&lt;="&amp;MIN(AD$7+4,$K67))*$H67/$G67)))</x:f>
        <x:v>3</x:v>
      </x:c>
      <x:c r="AE67" s="42" t="n">
        <x:f>IF(OR(M67&lt;&gt;"Scheduled",INDEX('Team and Gates'!$C$7:$C$11,MATCH($D67,'Team and Gates'!$A$7:$A$11,0))=""),"CHECK",SUM(N67:AD67)*INDEX('Team and Gates'!$C$7:$C$11,MATCH($D67,'Team and Gates'!$A$7:$A$11,0)))</x:f>
        <x:v>1080</x:v>
      </x:c>
      <x:c r="AF67" s="43" t="str">
        <x:v>Controlled production login, sync, Case, approval/send and alert tests pass.</x:v>
      </x:c>
      <x:c r="AG67" s="43" t="str"/>
    </x:row>
    <x:row r="68" ht="36" customHeight="1">
      <x:c r="A68" s="2" t="str">
        <x:v>U01</x:v>
      </x:c>
      <x:c r="B68" s="2" t="str">
        <x:v>Business QA</x:v>
      </x:c>
      <x:c r="C68" s="2" t="str">
        <x:v>User stories, business examples and UAT recruitment</x:v>
      </x:c>
      <x:c r="D68" s="30" t="str">
        <x:v>Tester 2</x:v>
      </x:c>
      <x:c r="E68" s="2" t="str">
        <x:v>E02:SS</x:v>
      </x:c>
      <x:c r="F68" s="47" t="n">
        <x:v>1</x:v>
      </x:c>
      <x:c r="G68" s="47" t="n">
        <x:v>5</x:v>
      </x:c>
      <x:c r="H68" s="48" t="n">
        <x:v>4</x:v>
      </x:c>
      <x:c r="I68" s="2" t="n">
        <x:f>IF(OR(F68="",G68=""),"",F68+G68-1)</x:f>
        <x:v>5</x:v>
      </x:c>
      <x:c r="J68" s="5" t="n">
        <x:f>IF(OR(F68="",F68&lt;1,F68&gt;Calendar!$B$9),"",INDEX(Calendar!$A$16:$A$134,MATCH(F68,Calendar!$D$16:$D$134,0)))</x:f>
        <x:v>46328</x:v>
      </x:c>
      <x:c r="K68" s="5" t="n">
        <x:f>IF(OR(I68="",I68&lt;1,I68&gt;Calendar!$B$9),"",INDEX(Calendar!$A$16:$A$134,MATCH(I68,Calendar!$D$16:$D$134,0)))</x:f>
        <x:v>46332</x:v>
      </x:c>
      <x:c r="L68" s="50" t="n">
        <x:v>0</x:v>
      </x:c>
      <x:c r="M68" s="2" t="str">
        <x:f>IF(OR(F68="",G68="",H68=""),"Missing input",IF(OR(F68&lt;1,G68&lt;1,I68&gt;Calendar!$B$9),"Outside calendar",IF(F68&lt;MAX(INDEX($F$8:$F$85,MATCH("E02",$A$8:$A$85,0))),"Dependency conflict","Scheduled")))</x:f>
        <x:v>Scheduled</x:v>
      </x:c>
      <x:c r="N68" s="44" t="n">
        <x:f>IF(OR($J68="",$K68=""),"",IF(SUMIFS(Calendar!$C$16:$C$134,Calendar!$A$16:$A$134,"&gt;="&amp;MAX(N$7,$J68),Calendar!$A$16:$A$134,"&lt;="&amp;MIN(N$7+4,$K68))=0,0,IF($H68="","EXT",SUMIFS(Calendar!$C$16:$C$134,Calendar!$A$16:$A$134,"&gt;="&amp;MAX(N$7,$J68),Calendar!$A$16:$A$134,"&lt;="&amp;MIN(N$7+4,$K68))*$H68/$G68)))</x:f>
        <x:v>4</x:v>
      </x:c>
      <x:c r="O68" s="44" t="n">
        <x:f>IF(OR($J68="",$K68=""),"",IF(SUMIFS(Calendar!$C$16:$C$134,Calendar!$A$16:$A$134,"&gt;="&amp;MAX(O$7,$J68),Calendar!$A$16:$A$134,"&lt;="&amp;MIN(O$7+4,$K68))=0,0,IF($H68="","EXT",SUMIFS(Calendar!$C$16:$C$134,Calendar!$A$16:$A$134,"&gt;="&amp;MAX(O$7,$J68),Calendar!$A$16:$A$134,"&lt;="&amp;MIN(O$7+4,$K68))*$H68/$G68)))</x:f>
        <x:v>0</x:v>
      </x:c>
      <x:c r="P68" s="44" t="n">
        <x:f>IF(OR($J68="",$K68=""),"",IF(SUMIFS(Calendar!$C$16:$C$134,Calendar!$A$16:$A$134,"&gt;="&amp;MAX(P$7,$J68),Calendar!$A$16:$A$134,"&lt;="&amp;MIN(P$7+4,$K68))=0,0,IF($H68="","EXT",SUMIFS(Calendar!$C$16:$C$134,Calendar!$A$16:$A$134,"&gt;="&amp;MAX(P$7,$J68),Calendar!$A$16:$A$134,"&lt;="&amp;MIN(P$7+4,$K68))*$H68/$G68)))</x:f>
        <x:v>0</x:v>
      </x:c>
      <x:c r="Q68" s="44" t="n">
        <x:f>IF(OR($J68="",$K68=""),"",IF(SUMIFS(Calendar!$C$16:$C$134,Calendar!$A$16:$A$134,"&gt;="&amp;MAX(Q$7,$J68),Calendar!$A$16:$A$134,"&lt;="&amp;MIN(Q$7+4,$K68))=0,0,IF($H68="","EXT",SUMIFS(Calendar!$C$16:$C$134,Calendar!$A$16:$A$134,"&gt;="&amp;MAX(Q$7,$J68),Calendar!$A$16:$A$134,"&lt;="&amp;MIN(Q$7+4,$K68))*$H68/$G68)))</x:f>
        <x:v>0</x:v>
      </x:c>
      <x:c r="R68" s="44" t="n">
        <x:f>IF(OR($J68="",$K68=""),"",IF(SUMIFS(Calendar!$C$16:$C$134,Calendar!$A$16:$A$134,"&gt;="&amp;MAX(R$7,$J68),Calendar!$A$16:$A$134,"&lt;="&amp;MIN(R$7+4,$K68))=0,0,IF($H68="","EXT",SUMIFS(Calendar!$C$16:$C$134,Calendar!$A$16:$A$134,"&gt;="&amp;MAX(R$7,$J68),Calendar!$A$16:$A$134,"&lt;="&amp;MIN(R$7+4,$K68))*$H68/$G68)))</x:f>
        <x:v>0</x:v>
      </x:c>
      <x:c r="S68" s="44" t="n">
        <x:f>IF(OR($J68="",$K68=""),"",IF(SUMIFS(Calendar!$C$16:$C$134,Calendar!$A$16:$A$134,"&gt;="&amp;MAX(S$7,$J68),Calendar!$A$16:$A$134,"&lt;="&amp;MIN(S$7+4,$K68))=0,0,IF($H68="","EXT",SUMIFS(Calendar!$C$16:$C$134,Calendar!$A$16:$A$134,"&gt;="&amp;MAX(S$7,$J68),Calendar!$A$16:$A$134,"&lt;="&amp;MIN(S$7+4,$K68))*$H68/$G68)))</x:f>
        <x:v>0</x:v>
      </x:c>
      <x:c r="T68" s="44" t="n">
        <x:f>IF(OR($J68="",$K68=""),"",IF(SUMIFS(Calendar!$C$16:$C$134,Calendar!$A$16:$A$134,"&gt;="&amp;MAX(T$7,$J68),Calendar!$A$16:$A$134,"&lt;="&amp;MIN(T$7+4,$K68))=0,0,IF($H68="","EXT",SUMIFS(Calendar!$C$16:$C$134,Calendar!$A$16:$A$134,"&gt;="&amp;MAX(T$7,$J68),Calendar!$A$16:$A$134,"&lt;="&amp;MIN(T$7+4,$K68))*$H68/$G68)))</x:f>
        <x:v>0</x:v>
      </x:c>
      <x:c r="U68" s="44" t="n">
        <x:f>IF(OR($J68="",$K68=""),"",IF(SUMIFS(Calendar!$C$16:$C$134,Calendar!$A$16:$A$134,"&gt;="&amp;MAX(U$7,$J68),Calendar!$A$16:$A$134,"&lt;="&amp;MIN(U$7+4,$K68))=0,0,IF($H68="","EXT",SUMIFS(Calendar!$C$16:$C$134,Calendar!$A$16:$A$134,"&gt;="&amp;MAX(U$7,$J68),Calendar!$A$16:$A$134,"&lt;="&amp;MIN(U$7+4,$K68))*$H68/$G68)))</x:f>
        <x:v>0</x:v>
      </x:c>
      <x:c r="V68" s="44" t="n">
        <x:f>IF(OR($J68="",$K68=""),"",IF(SUMIFS(Calendar!$C$16:$C$134,Calendar!$A$16:$A$134,"&gt;="&amp;MAX(V$7,$J68),Calendar!$A$16:$A$134,"&lt;="&amp;MIN(V$7+4,$K68))=0,0,IF($H68="","EXT",SUMIFS(Calendar!$C$16:$C$134,Calendar!$A$16:$A$134,"&gt;="&amp;MAX(V$7,$J68),Calendar!$A$16:$A$134,"&lt;="&amp;MIN(V$7+4,$K68))*$H68/$G68)))</x:f>
        <x:v>0</x:v>
      </x:c>
      <x:c r="W68" s="44" t="n">
        <x:f>IF(OR($J68="",$K68=""),"",IF(SUMIFS(Calendar!$C$16:$C$134,Calendar!$A$16:$A$134,"&gt;="&amp;MAX(W$7,$J68),Calendar!$A$16:$A$134,"&lt;="&amp;MIN(W$7+4,$K68))=0,0,IF($H68="","EXT",SUMIFS(Calendar!$C$16:$C$134,Calendar!$A$16:$A$134,"&gt;="&amp;MAX(W$7,$J68),Calendar!$A$16:$A$134,"&lt;="&amp;MIN(W$7+4,$K68))*$H68/$G68)))</x:f>
        <x:v>0</x:v>
      </x:c>
      <x:c r="X68" s="44" t="n">
        <x:f>IF(OR($J68="",$K68=""),"",IF(SUMIFS(Calendar!$C$16:$C$134,Calendar!$A$16:$A$134,"&gt;="&amp;MAX(X$7,$J68),Calendar!$A$16:$A$134,"&lt;="&amp;MIN(X$7+4,$K68))=0,0,IF($H68="","EXT",SUMIFS(Calendar!$C$16:$C$134,Calendar!$A$16:$A$134,"&gt;="&amp;MAX(X$7,$J68),Calendar!$A$16:$A$134,"&lt;="&amp;MIN(X$7+4,$K68))*$H68/$G68)))</x:f>
        <x:v>0</x:v>
      </x:c>
      <x:c r="Y68" s="44" t="n">
        <x:f>IF(OR($J68="",$K68=""),"",IF(SUMIFS(Calendar!$C$16:$C$134,Calendar!$A$16:$A$134,"&gt;="&amp;MAX(Y$7,$J68),Calendar!$A$16:$A$134,"&lt;="&amp;MIN(Y$7+4,$K68))=0,0,IF($H68="","EXT",SUMIFS(Calendar!$C$16:$C$134,Calendar!$A$16:$A$134,"&gt;="&amp;MAX(Y$7,$J68),Calendar!$A$16:$A$134,"&lt;="&amp;MIN(Y$7+4,$K68))*$H68/$G68)))</x:f>
        <x:v>0</x:v>
      </x:c>
      <x:c r="Z68" s="44" t="n">
        <x:f>IF(OR($J68="",$K68=""),"",IF(SUMIFS(Calendar!$C$16:$C$134,Calendar!$A$16:$A$134,"&gt;="&amp;MAX(Z$7,$J68),Calendar!$A$16:$A$134,"&lt;="&amp;MIN(Z$7+4,$K68))=0,0,IF($H68="","EXT",SUMIFS(Calendar!$C$16:$C$134,Calendar!$A$16:$A$134,"&gt;="&amp;MAX(Z$7,$J68),Calendar!$A$16:$A$134,"&lt;="&amp;MIN(Z$7+4,$K68))*$H68/$G68)))</x:f>
        <x:v>0</x:v>
      </x:c>
      <x:c r="AA68" s="44" t="n">
        <x:f>IF(OR($J68="",$K68=""),"",IF(SUMIFS(Calendar!$C$16:$C$134,Calendar!$A$16:$A$134,"&gt;="&amp;MAX(AA$7,$J68),Calendar!$A$16:$A$134,"&lt;="&amp;MIN(AA$7+4,$K68))=0,0,IF($H68="","EXT",SUMIFS(Calendar!$C$16:$C$134,Calendar!$A$16:$A$134,"&gt;="&amp;MAX(AA$7,$J68),Calendar!$A$16:$A$134,"&lt;="&amp;MIN(AA$7+4,$K68))*$H68/$G68)))</x:f>
        <x:v>0</x:v>
      </x:c>
      <x:c r="AB68" s="44" t="n">
        <x:f>IF(OR($J68="",$K68=""),"",IF(SUMIFS(Calendar!$C$16:$C$134,Calendar!$A$16:$A$134,"&gt;="&amp;MAX(AB$7,$J68),Calendar!$A$16:$A$134,"&lt;="&amp;MIN(AB$7+4,$K68))=0,0,IF($H68="","EXT",SUMIFS(Calendar!$C$16:$C$134,Calendar!$A$16:$A$134,"&gt;="&amp;MAX(AB$7,$J68),Calendar!$A$16:$A$134,"&lt;="&amp;MIN(AB$7+4,$K68))*$H68/$G68)))</x:f>
        <x:v>0</x:v>
      </x:c>
      <x:c r="AC68" s="44" t="n">
        <x:f>IF(OR($J68="",$K68=""),"",IF(SUMIFS(Calendar!$C$16:$C$134,Calendar!$A$16:$A$134,"&gt;="&amp;MAX(AC$7,$J68),Calendar!$A$16:$A$134,"&lt;="&amp;MIN(AC$7+4,$K68))=0,0,IF($H68="","EXT",SUMIFS(Calendar!$C$16:$C$134,Calendar!$A$16:$A$134,"&gt;="&amp;MAX(AC$7,$J68),Calendar!$A$16:$A$134,"&lt;="&amp;MIN(AC$7+4,$K68))*$H68/$G68)))</x:f>
        <x:v>0</x:v>
      </x:c>
      <x:c r="AD68" s="44" t="n">
        <x:f>IF(OR($J68="",$K68=""),"",IF(SUMIFS(Calendar!$C$16:$C$134,Calendar!$A$16:$A$134,"&gt;="&amp;MAX(AD$7,$J68),Calendar!$A$16:$A$134,"&lt;="&amp;MIN(AD$7+4,$K68))=0,0,IF($H68="","EXT",SUMIFS(Calendar!$C$16:$C$134,Calendar!$A$16:$A$134,"&gt;="&amp;MAX(AD$7,$J68),Calendar!$A$16:$A$134,"&lt;="&amp;MIN(AD$7+4,$K68))*$H68/$G68)))</x:f>
        <x:v>0</x:v>
      </x:c>
      <x:c r="AE68" s="42" t="n">
        <x:f>IF(OR(M68&lt;&gt;"Scheduled",INDEX('Team and Gates'!$C$7:$C$11,MATCH($D68,'Team and Gates'!$A$7:$A$11,0))=""),"CHECK",SUM(N68:AD68)*INDEX('Team and Gates'!$C$7:$C$11,MATCH($D68,'Team and Gates'!$A$7:$A$11,0)))</x:f>
        <x:v>1440</x:v>
      </x:c>
      <x:c r="AF68" s="43" t="str">
        <x:v>Frequent scenarios have approved examples, expected outcomes and AM reviewers.</x:v>
      </x:c>
      <x:c r="AG68" s="43" t="str"/>
    </x:row>
    <x:row r="69" ht="36" customHeight="1">
      <x:c r="A69" s="35" t="str">
        <x:v>U02</x:v>
      </x:c>
      <x:c r="B69" s="35" t="str">
        <x:v>Business QA</x:v>
      </x:c>
      <x:c r="C69" s="35" t="str">
        <x:v>Annotation and independent holdout custody</x:v>
      </x:c>
      <x:c r="D69" s="30" t="str">
        <x:v>Tester 2</x:v>
      </x:c>
      <x:c r="E69" s="35" t="str">
        <x:v>U01, S01</x:v>
      </x:c>
      <x:c r="F69" s="47" t="n">
        <x:v>6</x:v>
      </x:c>
      <x:c r="G69" s="47" t="n">
        <x:v>5</x:v>
      </x:c>
      <x:c r="H69" s="48" t="n">
        <x:v>4</x:v>
      </x:c>
      <x:c r="I69" s="35" t="n">
        <x:f>IF(OR(F69="",G69=""),"",F69+G69-1)</x:f>
        <x:v>10</x:v>
      </x:c>
      <x:c r="J69" s="37" t="n">
        <x:f>IF(OR(F69="",F69&lt;1,F69&gt;Calendar!$B$9),"",INDEX(Calendar!$A$16:$A$134,MATCH(F69,Calendar!$D$16:$D$134,0)))</x:f>
        <x:v>46335</x:v>
      </x:c>
      <x:c r="K69" s="37" t="n">
        <x:f>IF(OR(I69="",I69&lt;1,I69&gt;Calendar!$B$9),"",INDEX(Calendar!$A$16:$A$134,MATCH(I69,Calendar!$D$16:$D$134,0)))</x:f>
        <x:v>46339</x:v>
      </x:c>
      <x:c r="L69" s="50" t="n">
        <x:v>0</x:v>
      </x:c>
      <x:c r="M69" s="35" t="str">
        <x:f>IF(OR(F69="",G69="",H69=""),"Missing input",IF(OR(F69&lt;1,G69&lt;1,I69&gt;Calendar!$B$9),"Outside calendar",IF(F69&lt;MAX(INDEX($I$8:$I$85,MATCH("U01",$A$8:$A$85,0))+1,INDEX($I$8:$I$85,MATCH("S01",$A$8:$A$85,0))+1),"Dependency conflict","Scheduled")))</x:f>
        <x:v>Scheduled</x:v>
      </x:c>
      <x:c r="N69" s="44" t="n">
        <x:f>IF(OR($J69="",$K69=""),"",IF(SUMIFS(Calendar!$C$16:$C$134,Calendar!$A$16:$A$134,"&gt;="&amp;MAX(N$7,$J69),Calendar!$A$16:$A$134,"&lt;="&amp;MIN(N$7+4,$K69))=0,0,IF($H69="","EXT",SUMIFS(Calendar!$C$16:$C$134,Calendar!$A$16:$A$134,"&gt;="&amp;MAX(N$7,$J69),Calendar!$A$16:$A$134,"&lt;="&amp;MIN(N$7+4,$K69))*$H69/$G69)))</x:f>
        <x:v>0</x:v>
      </x:c>
      <x:c r="O69" s="44" t="n">
        <x:f>IF(OR($J69="",$K69=""),"",IF(SUMIFS(Calendar!$C$16:$C$134,Calendar!$A$16:$A$134,"&gt;="&amp;MAX(O$7,$J69),Calendar!$A$16:$A$134,"&lt;="&amp;MIN(O$7+4,$K69))=0,0,IF($H69="","EXT",SUMIFS(Calendar!$C$16:$C$134,Calendar!$A$16:$A$134,"&gt;="&amp;MAX(O$7,$J69),Calendar!$A$16:$A$134,"&lt;="&amp;MIN(O$7+4,$K69))*$H69/$G69)))</x:f>
        <x:v>4</x:v>
      </x:c>
      <x:c r="P69" s="44" t="n">
        <x:f>IF(OR($J69="",$K69=""),"",IF(SUMIFS(Calendar!$C$16:$C$134,Calendar!$A$16:$A$134,"&gt;="&amp;MAX(P$7,$J69),Calendar!$A$16:$A$134,"&lt;="&amp;MIN(P$7+4,$K69))=0,0,IF($H69="","EXT",SUMIFS(Calendar!$C$16:$C$134,Calendar!$A$16:$A$134,"&gt;="&amp;MAX(P$7,$J69),Calendar!$A$16:$A$134,"&lt;="&amp;MIN(P$7+4,$K69))*$H69/$G69)))</x:f>
        <x:v>0</x:v>
      </x:c>
      <x:c r="Q69" s="44" t="n">
        <x:f>IF(OR($J69="",$K69=""),"",IF(SUMIFS(Calendar!$C$16:$C$134,Calendar!$A$16:$A$134,"&gt;="&amp;MAX(Q$7,$J69),Calendar!$A$16:$A$134,"&lt;="&amp;MIN(Q$7+4,$K69))=0,0,IF($H69="","EXT",SUMIFS(Calendar!$C$16:$C$134,Calendar!$A$16:$A$134,"&gt;="&amp;MAX(Q$7,$J69),Calendar!$A$16:$A$134,"&lt;="&amp;MIN(Q$7+4,$K69))*$H69/$G69)))</x:f>
        <x:v>0</x:v>
      </x:c>
      <x:c r="R69" s="44" t="n">
        <x:f>IF(OR($J69="",$K69=""),"",IF(SUMIFS(Calendar!$C$16:$C$134,Calendar!$A$16:$A$134,"&gt;="&amp;MAX(R$7,$J69),Calendar!$A$16:$A$134,"&lt;="&amp;MIN(R$7+4,$K69))=0,0,IF($H69="","EXT",SUMIFS(Calendar!$C$16:$C$134,Calendar!$A$16:$A$134,"&gt;="&amp;MAX(R$7,$J69),Calendar!$A$16:$A$134,"&lt;="&amp;MIN(R$7+4,$K69))*$H69/$G69)))</x:f>
        <x:v>0</x:v>
      </x:c>
      <x:c r="S69" s="44" t="n">
        <x:f>IF(OR($J69="",$K69=""),"",IF(SUMIFS(Calendar!$C$16:$C$134,Calendar!$A$16:$A$134,"&gt;="&amp;MAX(S$7,$J69),Calendar!$A$16:$A$134,"&lt;="&amp;MIN(S$7+4,$K69))=0,0,IF($H69="","EXT",SUMIFS(Calendar!$C$16:$C$134,Calendar!$A$16:$A$134,"&gt;="&amp;MAX(S$7,$J69),Calendar!$A$16:$A$134,"&lt;="&amp;MIN(S$7+4,$K69))*$H69/$G69)))</x:f>
        <x:v>0</x:v>
      </x:c>
      <x:c r="T69" s="44" t="n">
        <x:f>IF(OR($J69="",$K69=""),"",IF(SUMIFS(Calendar!$C$16:$C$134,Calendar!$A$16:$A$134,"&gt;="&amp;MAX(T$7,$J69),Calendar!$A$16:$A$134,"&lt;="&amp;MIN(T$7+4,$K69))=0,0,IF($H69="","EXT",SUMIFS(Calendar!$C$16:$C$134,Calendar!$A$16:$A$134,"&gt;="&amp;MAX(T$7,$J69),Calendar!$A$16:$A$134,"&lt;="&amp;MIN(T$7+4,$K69))*$H69/$G69)))</x:f>
        <x:v>0</x:v>
      </x:c>
      <x:c r="U69" s="44" t="n">
        <x:f>IF(OR($J69="",$K69=""),"",IF(SUMIFS(Calendar!$C$16:$C$134,Calendar!$A$16:$A$134,"&gt;="&amp;MAX(U$7,$J69),Calendar!$A$16:$A$134,"&lt;="&amp;MIN(U$7+4,$K69))=0,0,IF($H69="","EXT",SUMIFS(Calendar!$C$16:$C$134,Calendar!$A$16:$A$134,"&gt;="&amp;MAX(U$7,$J69),Calendar!$A$16:$A$134,"&lt;="&amp;MIN(U$7+4,$K69))*$H69/$G69)))</x:f>
        <x:v>0</x:v>
      </x:c>
      <x:c r="V69" s="44" t="n">
        <x:f>IF(OR($J69="",$K69=""),"",IF(SUMIFS(Calendar!$C$16:$C$134,Calendar!$A$16:$A$134,"&gt;="&amp;MAX(V$7,$J69),Calendar!$A$16:$A$134,"&lt;="&amp;MIN(V$7+4,$K69))=0,0,IF($H69="","EXT",SUMIFS(Calendar!$C$16:$C$134,Calendar!$A$16:$A$134,"&gt;="&amp;MAX(V$7,$J69),Calendar!$A$16:$A$134,"&lt;="&amp;MIN(V$7+4,$K69))*$H69/$G69)))</x:f>
        <x:v>0</x:v>
      </x:c>
      <x:c r="W69" s="44" t="n">
        <x:f>IF(OR($J69="",$K69=""),"",IF(SUMIFS(Calendar!$C$16:$C$134,Calendar!$A$16:$A$134,"&gt;="&amp;MAX(W$7,$J69),Calendar!$A$16:$A$134,"&lt;="&amp;MIN(W$7+4,$K69))=0,0,IF($H69="","EXT",SUMIFS(Calendar!$C$16:$C$134,Calendar!$A$16:$A$134,"&gt;="&amp;MAX(W$7,$J69),Calendar!$A$16:$A$134,"&lt;="&amp;MIN(W$7+4,$K69))*$H69/$G69)))</x:f>
        <x:v>0</x:v>
      </x:c>
      <x:c r="X69" s="44" t="n">
        <x:f>IF(OR($J69="",$K69=""),"",IF(SUMIFS(Calendar!$C$16:$C$134,Calendar!$A$16:$A$134,"&gt;="&amp;MAX(X$7,$J69),Calendar!$A$16:$A$134,"&lt;="&amp;MIN(X$7+4,$K69))=0,0,IF($H69="","EXT",SUMIFS(Calendar!$C$16:$C$134,Calendar!$A$16:$A$134,"&gt;="&amp;MAX(X$7,$J69),Calendar!$A$16:$A$134,"&lt;="&amp;MIN(X$7+4,$K69))*$H69/$G69)))</x:f>
        <x:v>0</x:v>
      </x:c>
      <x:c r="Y69" s="44" t="n">
        <x:f>IF(OR($J69="",$K69=""),"",IF(SUMIFS(Calendar!$C$16:$C$134,Calendar!$A$16:$A$134,"&gt;="&amp;MAX(Y$7,$J69),Calendar!$A$16:$A$134,"&lt;="&amp;MIN(Y$7+4,$K69))=0,0,IF($H69="","EXT",SUMIFS(Calendar!$C$16:$C$134,Calendar!$A$16:$A$134,"&gt;="&amp;MAX(Y$7,$J69),Calendar!$A$16:$A$134,"&lt;="&amp;MIN(Y$7+4,$K69))*$H69/$G69)))</x:f>
        <x:v>0</x:v>
      </x:c>
      <x:c r="Z69" s="44" t="n">
        <x:f>IF(OR($J69="",$K69=""),"",IF(SUMIFS(Calendar!$C$16:$C$134,Calendar!$A$16:$A$134,"&gt;="&amp;MAX(Z$7,$J69),Calendar!$A$16:$A$134,"&lt;="&amp;MIN(Z$7+4,$K69))=0,0,IF($H69="","EXT",SUMIFS(Calendar!$C$16:$C$134,Calendar!$A$16:$A$134,"&gt;="&amp;MAX(Z$7,$J69),Calendar!$A$16:$A$134,"&lt;="&amp;MIN(Z$7+4,$K69))*$H69/$G69)))</x:f>
        <x:v>0</x:v>
      </x:c>
      <x:c r="AA69" s="44" t="n">
        <x:f>IF(OR($J69="",$K69=""),"",IF(SUMIFS(Calendar!$C$16:$C$134,Calendar!$A$16:$A$134,"&gt;="&amp;MAX(AA$7,$J69),Calendar!$A$16:$A$134,"&lt;="&amp;MIN(AA$7+4,$K69))=0,0,IF($H69="","EXT",SUMIFS(Calendar!$C$16:$C$134,Calendar!$A$16:$A$134,"&gt;="&amp;MAX(AA$7,$J69),Calendar!$A$16:$A$134,"&lt;="&amp;MIN(AA$7+4,$K69))*$H69/$G69)))</x:f>
        <x:v>0</x:v>
      </x:c>
      <x:c r="AB69" s="44" t="n">
        <x:f>IF(OR($J69="",$K69=""),"",IF(SUMIFS(Calendar!$C$16:$C$134,Calendar!$A$16:$A$134,"&gt;="&amp;MAX(AB$7,$J69),Calendar!$A$16:$A$134,"&lt;="&amp;MIN(AB$7+4,$K69))=0,0,IF($H69="","EXT",SUMIFS(Calendar!$C$16:$C$134,Calendar!$A$16:$A$134,"&gt;="&amp;MAX(AB$7,$J69),Calendar!$A$16:$A$134,"&lt;="&amp;MIN(AB$7+4,$K69))*$H69/$G69)))</x:f>
        <x:v>0</x:v>
      </x:c>
      <x:c r="AC69" s="44" t="n">
        <x:f>IF(OR($J69="",$K69=""),"",IF(SUMIFS(Calendar!$C$16:$C$134,Calendar!$A$16:$A$134,"&gt;="&amp;MAX(AC$7,$J69),Calendar!$A$16:$A$134,"&lt;="&amp;MIN(AC$7+4,$K69))=0,0,IF($H69="","EXT",SUMIFS(Calendar!$C$16:$C$134,Calendar!$A$16:$A$134,"&gt;="&amp;MAX(AC$7,$J69),Calendar!$A$16:$A$134,"&lt;="&amp;MIN(AC$7+4,$K69))*$H69/$G69)))</x:f>
        <x:v>0</x:v>
      </x:c>
      <x:c r="AD69" s="44" t="n">
        <x:f>IF(OR($J69="",$K69=""),"",IF(SUMIFS(Calendar!$C$16:$C$134,Calendar!$A$16:$A$134,"&gt;="&amp;MAX(AD$7,$J69),Calendar!$A$16:$A$134,"&lt;="&amp;MIN(AD$7+4,$K69))=0,0,IF($H69="","EXT",SUMIFS(Calendar!$C$16:$C$134,Calendar!$A$16:$A$134,"&gt;="&amp;MAX(AD$7,$J69),Calendar!$A$16:$A$134,"&lt;="&amp;MIN(AD$7+4,$K69))*$H69/$G69)))</x:f>
        <x:v>0</x:v>
      </x:c>
      <x:c r="AE69" s="42" t="n">
        <x:f>IF(OR(M69&lt;&gt;"Scheduled",INDEX('Team and Gates'!$C$7:$C$11,MATCH($D69,'Team and Gates'!$A$7:$A$11,0))=""),"CHECK",SUM(N69:AD69)*INDEX('Team and Gates'!$C$7:$C$11,MATCH($D69,'Team and Gates'!$A$7:$A$11,0)))</x:f>
        <x:v>1440</x:v>
      </x:c>
      <x:c r="AF69" s="43" t="str">
        <x:v>Annotation consistency is sampled; final holdout remains isolated from tuning.</x:v>
      </x:c>
      <x:c r="AG69" s="43" t="str"/>
    </x:row>
    <x:row r="70" ht="36" customHeight="1">
      <x:c r="A70" s="2" t="str">
        <x:v>U03</x:v>
      </x:c>
      <x:c r="B70" s="2" t="str">
        <x:v>Business QA</x:v>
      </x:c>
      <x:c r="C70" s="2" t="str">
        <x:v>Case, open items and offline progress acceptance</x:v>
      </x:c>
      <x:c r="D70" s="30" t="str">
        <x:v>Tester 2</x:v>
      </x:c>
      <x:c r="E70" s="2" t="str">
        <x:v>U02, B03:SS</x:v>
      </x:c>
      <x:c r="F70" s="47" t="n">
        <x:v>11</x:v>
      </x:c>
      <x:c r="G70" s="47" t="n">
        <x:v>5</x:v>
      </x:c>
      <x:c r="H70" s="48" t="n">
        <x:v>4</x:v>
      </x:c>
      <x:c r="I70" s="2" t="n">
        <x:f>IF(OR(F70="",G70=""),"",F70+G70-1)</x:f>
        <x:v>15</x:v>
      </x:c>
      <x:c r="J70" s="5" t="n">
        <x:f>IF(OR(F70="",F70&lt;1,F70&gt;Calendar!$B$9),"",INDEX(Calendar!$A$16:$A$134,MATCH(F70,Calendar!$D$16:$D$134,0)))</x:f>
        <x:v>46342</x:v>
      </x:c>
      <x:c r="K70" s="5" t="n">
        <x:f>IF(OR(I70="",I70&lt;1,I70&gt;Calendar!$B$9),"",INDEX(Calendar!$A$16:$A$134,MATCH(I70,Calendar!$D$16:$D$134,0)))</x:f>
        <x:v>46346</x:v>
      </x:c>
      <x:c r="L70" s="50" t="n">
        <x:v>0</x:v>
      </x:c>
      <x:c r="M70" s="2" t="str">
        <x:f>IF(OR(F70="",G70="",H70=""),"Missing input",IF(OR(F70&lt;1,G70&lt;1,I70&gt;Calendar!$B$9),"Outside calendar",IF(F70&lt;MAX(INDEX($I$8:$I$85,MATCH("U02",$A$8:$A$85,0))+1,INDEX($F$8:$F$85,MATCH("B03",$A$8:$A$85,0))),"Dependency conflict","Scheduled")))</x:f>
        <x:v>Scheduled</x:v>
      </x:c>
      <x:c r="N70" s="44" t="n">
        <x:f>IF(OR($J70="",$K70=""),"",IF(SUMIFS(Calendar!$C$16:$C$134,Calendar!$A$16:$A$134,"&gt;="&amp;MAX(N$7,$J70),Calendar!$A$16:$A$134,"&lt;="&amp;MIN(N$7+4,$K70))=0,0,IF($H70="","EXT",SUMIFS(Calendar!$C$16:$C$134,Calendar!$A$16:$A$134,"&gt;="&amp;MAX(N$7,$J70),Calendar!$A$16:$A$134,"&lt;="&amp;MIN(N$7+4,$K70))*$H70/$G70)))</x:f>
        <x:v>0</x:v>
      </x:c>
      <x:c r="O70" s="44" t="n">
        <x:f>IF(OR($J70="",$K70=""),"",IF(SUMIFS(Calendar!$C$16:$C$134,Calendar!$A$16:$A$134,"&gt;="&amp;MAX(O$7,$J70),Calendar!$A$16:$A$134,"&lt;="&amp;MIN(O$7+4,$K70))=0,0,IF($H70="","EXT",SUMIFS(Calendar!$C$16:$C$134,Calendar!$A$16:$A$134,"&gt;="&amp;MAX(O$7,$J70),Calendar!$A$16:$A$134,"&lt;="&amp;MIN(O$7+4,$K70))*$H70/$G70)))</x:f>
        <x:v>0</x:v>
      </x:c>
      <x:c r="P70" s="44" t="n">
        <x:f>IF(OR($J70="",$K70=""),"",IF(SUMIFS(Calendar!$C$16:$C$134,Calendar!$A$16:$A$134,"&gt;="&amp;MAX(P$7,$J70),Calendar!$A$16:$A$134,"&lt;="&amp;MIN(P$7+4,$K70))=0,0,IF($H70="","EXT",SUMIFS(Calendar!$C$16:$C$134,Calendar!$A$16:$A$134,"&gt;="&amp;MAX(P$7,$J70),Calendar!$A$16:$A$134,"&lt;="&amp;MIN(P$7+4,$K70))*$H70/$G70)))</x:f>
        <x:v>4</x:v>
      </x:c>
      <x:c r="Q70" s="44" t="n">
        <x:f>IF(OR($J70="",$K70=""),"",IF(SUMIFS(Calendar!$C$16:$C$134,Calendar!$A$16:$A$134,"&gt;="&amp;MAX(Q$7,$J70),Calendar!$A$16:$A$134,"&lt;="&amp;MIN(Q$7+4,$K70))=0,0,IF($H70="","EXT",SUMIFS(Calendar!$C$16:$C$134,Calendar!$A$16:$A$134,"&gt;="&amp;MAX(Q$7,$J70),Calendar!$A$16:$A$134,"&lt;="&amp;MIN(Q$7+4,$K70))*$H70/$G70)))</x:f>
        <x:v>0</x:v>
      </x:c>
      <x:c r="R70" s="44" t="n">
        <x:f>IF(OR($J70="",$K70=""),"",IF(SUMIFS(Calendar!$C$16:$C$134,Calendar!$A$16:$A$134,"&gt;="&amp;MAX(R$7,$J70),Calendar!$A$16:$A$134,"&lt;="&amp;MIN(R$7+4,$K70))=0,0,IF($H70="","EXT",SUMIFS(Calendar!$C$16:$C$134,Calendar!$A$16:$A$134,"&gt;="&amp;MAX(R$7,$J70),Calendar!$A$16:$A$134,"&lt;="&amp;MIN(R$7+4,$K70))*$H70/$G70)))</x:f>
        <x:v>0</x:v>
      </x:c>
      <x:c r="S70" s="44" t="n">
        <x:f>IF(OR($J70="",$K70=""),"",IF(SUMIFS(Calendar!$C$16:$C$134,Calendar!$A$16:$A$134,"&gt;="&amp;MAX(S$7,$J70),Calendar!$A$16:$A$134,"&lt;="&amp;MIN(S$7+4,$K70))=0,0,IF($H70="","EXT",SUMIFS(Calendar!$C$16:$C$134,Calendar!$A$16:$A$134,"&gt;="&amp;MAX(S$7,$J70),Calendar!$A$16:$A$134,"&lt;="&amp;MIN(S$7+4,$K70))*$H70/$G70)))</x:f>
        <x:v>0</x:v>
      </x:c>
      <x:c r="T70" s="44" t="n">
        <x:f>IF(OR($J70="",$K70=""),"",IF(SUMIFS(Calendar!$C$16:$C$134,Calendar!$A$16:$A$134,"&gt;="&amp;MAX(T$7,$J70),Calendar!$A$16:$A$134,"&lt;="&amp;MIN(T$7+4,$K70))=0,0,IF($H70="","EXT",SUMIFS(Calendar!$C$16:$C$134,Calendar!$A$16:$A$134,"&gt;="&amp;MAX(T$7,$J70),Calendar!$A$16:$A$134,"&lt;="&amp;MIN(T$7+4,$K70))*$H70/$G70)))</x:f>
        <x:v>0</x:v>
      </x:c>
      <x:c r="U70" s="44" t="n">
        <x:f>IF(OR($J70="",$K70=""),"",IF(SUMIFS(Calendar!$C$16:$C$134,Calendar!$A$16:$A$134,"&gt;="&amp;MAX(U$7,$J70),Calendar!$A$16:$A$134,"&lt;="&amp;MIN(U$7+4,$K70))=0,0,IF($H70="","EXT",SUMIFS(Calendar!$C$16:$C$134,Calendar!$A$16:$A$134,"&gt;="&amp;MAX(U$7,$J70),Calendar!$A$16:$A$134,"&lt;="&amp;MIN(U$7+4,$K70))*$H70/$G70)))</x:f>
        <x:v>0</x:v>
      </x:c>
      <x:c r="V70" s="44" t="n">
        <x:f>IF(OR($J70="",$K70=""),"",IF(SUMIFS(Calendar!$C$16:$C$134,Calendar!$A$16:$A$134,"&gt;="&amp;MAX(V$7,$J70),Calendar!$A$16:$A$134,"&lt;="&amp;MIN(V$7+4,$K70))=0,0,IF($H70="","EXT",SUMIFS(Calendar!$C$16:$C$134,Calendar!$A$16:$A$134,"&gt;="&amp;MAX(V$7,$J70),Calendar!$A$16:$A$134,"&lt;="&amp;MIN(V$7+4,$K70))*$H70/$G70)))</x:f>
        <x:v>0</x:v>
      </x:c>
      <x:c r="W70" s="44" t="n">
        <x:f>IF(OR($J70="",$K70=""),"",IF(SUMIFS(Calendar!$C$16:$C$134,Calendar!$A$16:$A$134,"&gt;="&amp;MAX(W$7,$J70),Calendar!$A$16:$A$134,"&lt;="&amp;MIN(W$7+4,$K70))=0,0,IF($H70="","EXT",SUMIFS(Calendar!$C$16:$C$134,Calendar!$A$16:$A$134,"&gt;="&amp;MAX(W$7,$J70),Calendar!$A$16:$A$134,"&lt;="&amp;MIN(W$7+4,$K70))*$H70/$G70)))</x:f>
        <x:v>0</x:v>
      </x:c>
      <x:c r="X70" s="44" t="n">
        <x:f>IF(OR($J70="",$K70=""),"",IF(SUMIFS(Calendar!$C$16:$C$134,Calendar!$A$16:$A$134,"&gt;="&amp;MAX(X$7,$J70),Calendar!$A$16:$A$134,"&lt;="&amp;MIN(X$7+4,$K70))=0,0,IF($H70="","EXT",SUMIFS(Calendar!$C$16:$C$134,Calendar!$A$16:$A$134,"&gt;="&amp;MAX(X$7,$J70),Calendar!$A$16:$A$134,"&lt;="&amp;MIN(X$7+4,$K70))*$H70/$G70)))</x:f>
        <x:v>0</x:v>
      </x:c>
      <x:c r="Y70" s="44" t="n">
        <x:f>IF(OR($J70="",$K70=""),"",IF(SUMIFS(Calendar!$C$16:$C$134,Calendar!$A$16:$A$134,"&gt;="&amp;MAX(Y$7,$J70),Calendar!$A$16:$A$134,"&lt;="&amp;MIN(Y$7+4,$K70))=0,0,IF($H70="","EXT",SUMIFS(Calendar!$C$16:$C$134,Calendar!$A$16:$A$134,"&gt;="&amp;MAX(Y$7,$J70),Calendar!$A$16:$A$134,"&lt;="&amp;MIN(Y$7+4,$K70))*$H70/$G70)))</x:f>
        <x:v>0</x:v>
      </x:c>
      <x:c r="Z70" s="44" t="n">
        <x:f>IF(OR($J70="",$K70=""),"",IF(SUMIFS(Calendar!$C$16:$C$134,Calendar!$A$16:$A$134,"&gt;="&amp;MAX(Z$7,$J70),Calendar!$A$16:$A$134,"&lt;="&amp;MIN(Z$7+4,$K70))=0,0,IF($H70="","EXT",SUMIFS(Calendar!$C$16:$C$134,Calendar!$A$16:$A$134,"&gt;="&amp;MAX(Z$7,$J70),Calendar!$A$16:$A$134,"&lt;="&amp;MIN(Z$7+4,$K70))*$H70/$G70)))</x:f>
        <x:v>0</x:v>
      </x:c>
      <x:c r="AA70" s="44" t="n">
        <x:f>IF(OR($J70="",$K70=""),"",IF(SUMIFS(Calendar!$C$16:$C$134,Calendar!$A$16:$A$134,"&gt;="&amp;MAX(AA$7,$J70),Calendar!$A$16:$A$134,"&lt;="&amp;MIN(AA$7+4,$K70))=0,0,IF($H70="","EXT",SUMIFS(Calendar!$C$16:$C$134,Calendar!$A$16:$A$134,"&gt;="&amp;MAX(AA$7,$J70),Calendar!$A$16:$A$134,"&lt;="&amp;MIN(AA$7+4,$K70))*$H70/$G70)))</x:f>
        <x:v>0</x:v>
      </x:c>
      <x:c r="AB70" s="44" t="n">
        <x:f>IF(OR($J70="",$K70=""),"",IF(SUMIFS(Calendar!$C$16:$C$134,Calendar!$A$16:$A$134,"&gt;="&amp;MAX(AB$7,$J70),Calendar!$A$16:$A$134,"&lt;="&amp;MIN(AB$7+4,$K70))=0,0,IF($H70="","EXT",SUMIFS(Calendar!$C$16:$C$134,Calendar!$A$16:$A$134,"&gt;="&amp;MAX(AB$7,$J70),Calendar!$A$16:$A$134,"&lt;="&amp;MIN(AB$7+4,$K70))*$H70/$G70)))</x:f>
        <x:v>0</x:v>
      </x:c>
      <x:c r="AC70" s="44" t="n">
        <x:f>IF(OR($J70="",$K70=""),"",IF(SUMIFS(Calendar!$C$16:$C$134,Calendar!$A$16:$A$134,"&gt;="&amp;MAX(AC$7,$J70),Calendar!$A$16:$A$134,"&lt;="&amp;MIN(AC$7+4,$K70))=0,0,IF($H70="","EXT",SUMIFS(Calendar!$C$16:$C$134,Calendar!$A$16:$A$134,"&gt;="&amp;MAX(AC$7,$J70),Calendar!$A$16:$A$134,"&lt;="&amp;MIN(AC$7+4,$K70))*$H70/$G70)))</x:f>
        <x:v>0</x:v>
      </x:c>
      <x:c r="AD70" s="44" t="n">
        <x:f>IF(OR($J70="",$K70=""),"",IF(SUMIFS(Calendar!$C$16:$C$134,Calendar!$A$16:$A$134,"&gt;="&amp;MAX(AD$7,$J70),Calendar!$A$16:$A$134,"&lt;="&amp;MIN(AD$7+4,$K70))=0,0,IF($H70="","EXT",SUMIFS(Calendar!$C$16:$C$134,Calendar!$A$16:$A$134,"&gt;="&amp;MAX(AD$7,$J70),Calendar!$A$16:$A$134,"&lt;="&amp;MIN(AD$7+4,$K70))*$H70/$G70)))</x:f>
        <x:v>0</x:v>
      </x:c>
      <x:c r="AE70" s="42" t="n">
        <x:f>IF(OR(M70&lt;&gt;"Scheduled",INDEX('Team and Gates'!$C$7:$C$11,MATCH($D70,'Team and Gates'!$A$7:$A$11,0))=""),"CHECK",SUM(N70:AD70)*INDEX('Team and Gates'!$C$7:$C$11,MATCH($D70,'Team and Gates'!$A$7:$A$11,0)))</x:f>
        <x:v>1440</x:v>
      </x:c>
      <x:c r="AF70" s="43" t="str">
        <x:v>Assignment, offline updates, completion/reopen and source viewing work.</x:v>
      </x:c>
      <x:c r="AG70" s="43" t="str"/>
    </x:row>
    <x:row r="71" ht="36" customHeight="1">
      <x:c r="A71" s="35" t="str">
        <x:v>U04</x:v>
      </x:c>
      <x:c r="B71" s="35" t="str">
        <x:v>Business QA</x:v>
      </x:c>
      <x:c r="C71" s="35" t="str">
        <x:v>Triage, multiple Cases and manual correction tests</x:v>
      </x:c>
      <x:c r="D71" s="30" t="str">
        <x:v>Tester 2</x:v>
      </x:c>
      <x:c r="E71" s="35" t="str">
        <x:v>U03, B04:SS</x:v>
      </x:c>
      <x:c r="F71" s="47" t="n">
        <x:v>16</x:v>
      </x:c>
      <x:c r="G71" s="47" t="n">
        <x:v>5</x:v>
      </x:c>
      <x:c r="H71" s="48" t="n">
        <x:v>4</x:v>
      </x:c>
      <x:c r="I71" s="35" t="n">
        <x:f>IF(OR(F71="",G71=""),"",F71+G71-1)</x:f>
        <x:v>20</x:v>
      </x:c>
      <x:c r="J71" s="37" t="n">
        <x:f>IF(OR(F71="",F71&lt;1,F71&gt;Calendar!$B$9),"",INDEX(Calendar!$A$16:$A$134,MATCH(F71,Calendar!$D$16:$D$134,0)))</x:f>
        <x:v>46349</x:v>
      </x:c>
      <x:c r="K71" s="37" t="n">
        <x:f>IF(OR(I71="",I71&lt;1,I71&gt;Calendar!$B$9),"",INDEX(Calendar!$A$16:$A$134,MATCH(I71,Calendar!$D$16:$D$134,0)))</x:f>
        <x:v>46353</x:v>
      </x:c>
      <x:c r="L71" s="50" t="n">
        <x:v>0</x:v>
      </x:c>
      <x:c r="M71" s="35" t="str">
        <x:f>IF(OR(F71="",G71="",H71=""),"Missing input",IF(OR(F71&lt;1,G71&lt;1,I71&gt;Calendar!$B$9),"Outside calendar",IF(F71&lt;MAX(INDEX($I$8:$I$85,MATCH("U03",$A$8:$A$85,0))+1,INDEX($F$8:$F$85,MATCH("B04",$A$8:$A$85,0))),"Dependency conflict","Scheduled")))</x:f>
        <x:v>Scheduled</x:v>
      </x:c>
      <x:c r="N71" s="44" t="n">
        <x:f>IF(OR($J71="",$K71=""),"",IF(SUMIFS(Calendar!$C$16:$C$134,Calendar!$A$16:$A$134,"&gt;="&amp;MAX(N$7,$J71),Calendar!$A$16:$A$134,"&lt;="&amp;MIN(N$7+4,$K71))=0,0,IF($H71="","EXT",SUMIFS(Calendar!$C$16:$C$134,Calendar!$A$16:$A$134,"&gt;="&amp;MAX(N$7,$J71),Calendar!$A$16:$A$134,"&lt;="&amp;MIN(N$7+4,$K71))*$H71/$G71)))</x:f>
        <x:v>0</x:v>
      </x:c>
      <x:c r="O71" s="44" t="n">
        <x:f>IF(OR($J71="",$K71=""),"",IF(SUMIFS(Calendar!$C$16:$C$134,Calendar!$A$16:$A$134,"&gt;="&amp;MAX(O$7,$J71),Calendar!$A$16:$A$134,"&lt;="&amp;MIN(O$7+4,$K71))=0,0,IF($H71="","EXT",SUMIFS(Calendar!$C$16:$C$134,Calendar!$A$16:$A$134,"&gt;="&amp;MAX(O$7,$J71),Calendar!$A$16:$A$134,"&lt;="&amp;MIN(O$7+4,$K71))*$H71/$G71)))</x:f>
        <x:v>0</x:v>
      </x:c>
      <x:c r="P71" s="44" t="n">
        <x:f>IF(OR($J71="",$K71=""),"",IF(SUMIFS(Calendar!$C$16:$C$134,Calendar!$A$16:$A$134,"&gt;="&amp;MAX(P$7,$J71),Calendar!$A$16:$A$134,"&lt;="&amp;MIN(P$7+4,$K71))=0,0,IF($H71="","EXT",SUMIFS(Calendar!$C$16:$C$134,Calendar!$A$16:$A$134,"&gt;="&amp;MAX(P$7,$J71),Calendar!$A$16:$A$134,"&lt;="&amp;MIN(P$7+4,$K71))*$H71/$G71)))</x:f>
        <x:v>0</x:v>
      </x:c>
      <x:c r="Q71" s="44" t="n">
        <x:f>IF(OR($J71="",$K71=""),"",IF(SUMIFS(Calendar!$C$16:$C$134,Calendar!$A$16:$A$134,"&gt;="&amp;MAX(Q$7,$J71),Calendar!$A$16:$A$134,"&lt;="&amp;MIN(Q$7+4,$K71))=0,0,IF($H71="","EXT",SUMIFS(Calendar!$C$16:$C$134,Calendar!$A$16:$A$134,"&gt;="&amp;MAX(Q$7,$J71),Calendar!$A$16:$A$134,"&lt;="&amp;MIN(Q$7+4,$K71))*$H71/$G71)))</x:f>
        <x:v>4</x:v>
      </x:c>
      <x:c r="R71" s="44" t="n">
        <x:f>IF(OR($J71="",$K71=""),"",IF(SUMIFS(Calendar!$C$16:$C$134,Calendar!$A$16:$A$134,"&gt;="&amp;MAX(R$7,$J71),Calendar!$A$16:$A$134,"&lt;="&amp;MIN(R$7+4,$K71))=0,0,IF($H71="","EXT",SUMIFS(Calendar!$C$16:$C$134,Calendar!$A$16:$A$134,"&gt;="&amp;MAX(R$7,$J71),Calendar!$A$16:$A$134,"&lt;="&amp;MIN(R$7+4,$K71))*$H71/$G71)))</x:f>
        <x:v>0</x:v>
      </x:c>
      <x:c r="S71" s="44" t="n">
        <x:f>IF(OR($J71="",$K71=""),"",IF(SUMIFS(Calendar!$C$16:$C$134,Calendar!$A$16:$A$134,"&gt;="&amp;MAX(S$7,$J71),Calendar!$A$16:$A$134,"&lt;="&amp;MIN(S$7+4,$K71))=0,0,IF($H71="","EXT",SUMIFS(Calendar!$C$16:$C$134,Calendar!$A$16:$A$134,"&gt;="&amp;MAX(S$7,$J71),Calendar!$A$16:$A$134,"&lt;="&amp;MIN(S$7+4,$K71))*$H71/$G71)))</x:f>
        <x:v>0</x:v>
      </x:c>
      <x:c r="T71" s="44" t="n">
        <x:f>IF(OR($J71="",$K71=""),"",IF(SUMIFS(Calendar!$C$16:$C$134,Calendar!$A$16:$A$134,"&gt;="&amp;MAX(T$7,$J71),Calendar!$A$16:$A$134,"&lt;="&amp;MIN(T$7+4,$K71))=0,0,IF($H71="","EXT",SUMIFS(Calendar!$C$16:$C$134,Calendar!$A$16:$A$134,"&gt;="&amp;MAX(T$7,$J71),Calendar!$A$16:$A$134,"&lt;="&amp;MIN(T$7+4,$K71))*$H71/$G71)))</x:f>
        <x:v>0</x:v>
      </x:c>
      <x:c r="U71" s="44" t="n">
        <x:f>IF(OR($J71="",$K71=""),"",IF(SUMIFS(Calendar!$C$16:$C$134,Calendar!$A$16:$A$134,"&gt;="&amp;MAX(U$7,$J71),Calendar!$A$16:$A$134,"&lt;="&amp;MIN(U$7+4,$K71))=0,0,IF($H71="","EXT",SUMIFS(Calendar!$C$16:$C$134,Calendar!$A$16:$A$134,"&gt;="&amp;MAX(U$7,$J71),Calendar!$A$16:$A$134,"&lt;="&amp;MIN(U$7+4,$K71))*$H71/$G71)))</x:f>
        <x:v>0</x:v>
      </x:c>
      <x:c r="V71" s="44" t="n">
        <x:f>IF(OR($J71="",$K71=""),"",IF(SUMIFS(Calendar!$C$16:$C$134,Calendar!$A$16:$A$134,"&gt;="&amp;MAX(V$7,$J71),Calendar!$A$16:$A$134,"&lt;="&amp;MIN(V$7+4,$K71))=0,0,IF($H71="","EXT",SUMIFS(Calendar!$C$16:$C$134,Calendar!$A$16:$A$134,"&gt;="&amp;MAX(V$7,$J71),Calendar!$A$16:$A$134,"&lt;="&amp;MIN(V$7+4,$K71))*$H71/$G71)))</x:f>
        <x:v>0</x:v>
      </x:c>
      <x:c r="W71" s="44" t="n">
        <x:f>IF(OR($J71="",$K71=""),"",IF(SUMIFS(Calendar!$C$16:$C$134,Calendar!$A$16:$A$134,"&gt;="&amp;MAX(W$7,$J71),Calendar!$A$16:$A$134,"&lt;="&amp;MIN(W$7+4,$K71))=0,0,IF($H71="","EXT",SUMIFS(Calendar!$C$16:$C$134,Calendar!$A$16:$A$134,"&gt;="&amp;MAX(W$7,$J71),Calendar!$A$16:$A$134,"&lt;="&amp;MIN(W$7+4,$K71))*$H71/$G71)))</x:f>
        <x:v>0</x:v>
      </x:c>
      <x:c r="X71" s="44" t="n">
        <x:f>IF(OR($J71="",$K71=""),"",IF(SUMIFS(Calendar!$C$16:$C$134,Calendar!$A$16:$A$134,"&gt;="&amp;MAX(X$7,$J71),Calendar!$A$16:$A$134,"&lt;="&amp;MIN(X$7+4,$K71))=0,0,IF($H71="","EXT",SUMIFS(Calendar!$C$16:$C$134,Calendar!$A$16:$A$134,"&gt;="&amp;MAX(X$7,$J71),Calendar!$A$16:$A$134,"&lt;="&amp;MIN(X$7+4,$K71))*$H71/$G71)))</x:f>
        <x:v>0</x:v>
      </x:c>
      <x:c r="Y71" s="44" t="n">
        <x:f>IF(OR($J71="",$K71=""),"",IF(SUMIFS(Calendar!$C$16:$C$134,Calendar!$A$16:$A$134,"&gt;="&amp;MAX(Y$7,$J71),Calendar!$A$16:$A$134,"&lt;="&amp;MIN(Y$7+4,$K71))=0,0,IF($H71="","EXT",SUMIFS(Calendar!$C$16:$C$134,Calendar!$A$16:$A$134,"&gt;="&amp;MAX(Y$7,$J71),Calendar!$A$16:$A$134,"&lt;="&amp;MIN(Y$7+4,$K71))*$H71/$G71)))</x:f>
        <x:v>0</x:v>
      </x:c>
      <x:c r="Z71" s="44" t="n">
        <x:f>IF(OR($J71="",$K71=""),"",IF(SUMIFS(Calendar!$C$16:$C$134,Calendar!$A$16:$A$134,"&gt;="&amp;MAX(Z$7,$J71),Calendar!$A$16:$A$134,"&lt;="&amp;MIN(Z$7+4,$K71))=0,0,IF($H71="","EXT",SUMIFS(Calendar!$C$16:$C$134,Calendar!$A$16:$A$134,"&gt;="&amp;MAX(Z$7,$J71),Calendar!$A$16:$A$134,"&lt;="&amp;MIN(Z$7+4,$K71))*$H71/$G71)))</x:f>
        <x:v>0</x:v>
      </x:c>
      <x:c r="AA71" s="44" t="n">
        <x:f>IF(OR($J71="",$K71=""),"",IF(SUMIFS(Calendar!$C$16:$C$134,Calendar!$A$16:$A$134,"&gt;="&amp;MAX(AA$7,$J71),Calendar!$A$16:$A$134,"&lt;="&amp;MIN(AA$7+4,$K71))=0,0,IF($H71="","EXT",SUMIFS(Calendar!$C$16:$C$134,Calendar!$A$16:$A$134,"&gt;="&amp;MAX(AA$7,$J71),Calendar!$A$16:$A$134,"&lt;="&amp;MIN(AA$7+4,$K71))*$H71/$G71)))</x:f>
        <x:v>0</x:v>
      </x:c>
      <x:c r="AB71" s="44" t="n">
        <x:f>IF(OR($J71="",$K71=""),"",IF(SUMIFS(Calendar!$C$16:$C$134,Calendar!$A$16:$A$134,"&gt;="&amp;MAX(AB$7,$J71),Calendar!$A$16:$A$134,"&lt;="&amp;MIN(AB$7+4,$K71))=0,0,IF($H71="","EXT",SUMIFS(Calendar!$C$16:$C$134,Calendar!$A$16:$A$134,"&gt;="&amp;MAX(AB$7,$J71),Calendar!$A$16:$A$134,"&lt;="&amp;MIN(AB$7+4,$K71))*$H71/$G71)))</x:f>
        <x:v>0</x:v>
      </x:c>
      <x:c r="AC71" s="44" t="n">
        <x:f>IF(OR($J71="",$K71=""),"",IF(SUMIFS(Calendar!$C$16:$C$134,Calendar!$A$16:$A$134,"&gt;="&amp;MAX(AC$7,$J71),Calendar!$A$16:$A$134,"&lt;="&amp;MIN(AC$7+4,$K71))=0,0,IF($H71="","EXT",SUMIFS(Calendar!$C$16:$C$134,Calendar!$A$16:$A$134,"&gt;="&amp;MAX(AC$7,$J71),Calendar!$A$16:$A$134,"&lt;="&amp;MIN(AC$7+4,$K71))*$H71/$G71)))</x:f>
        <x:v>0</x:v>
      </x:c>
      <x:c r="AD71" s="44" t="n">
        <x:f>IF(OR($J71="",$K71=""),"",IF(SUMIFS(Calendar!$C$16:$C$134,Calendar!$A$16:$A$134,"&gt;="&amp;MAX(AD$7,$J71),Calendar!$A$16:$A$134,"&lt;="&amp;MIN(AD$7+4,$K71))=0,0,IF($H71="","EXT",SUMIFS(Calendar!$C$16:$C$134,Calendar!$A$16:$A$134,"&gt;="&amp;MAX(AD$7,$J71),Calendar!$A$16:$A$134,"&lt;="&amp;MIN(AD$7+4,$K71))*$H71/$G71)))</x:f>
        <x:v>0</x:v>
      </x:c>
      <x:c r="AE71" s="42" t="n">
        <x:f>IF(OR(M71&lt;&gt;"Scheduled",INDEX('Team and Gates'!$C$7:$C$11,MATCH($D71,'Team and Gates'!$A$7:$A$11,0))=""),"CHECK",SUM(N71:AD71)*INDEX('Team and Gates'!$C$7:$C$11,MATCH($D71,'Team and Gates'!$A$7:$A$11,0)))</x:f>
        <x:v>1440</x:v>
      </x:c>
      <x:c r="AF71" s="43" t="str">
        <x:v>Different periods, unresolved identities and multiple intents have counterexamples.</x:v>
      </x:c>
      <x:c r="AG71" s="43" t="str"/>
    </x:row>
    <x:row r="72" ht="36" customHeight="1">
      <x:c r="A72" s="2" t="str">
        <x:v>U05</x:v>
      </x:c>
      <x:c r="B72" s="2" t="str">
        <x:v>Business QA</x:v>
      </x:c>
      <x:c r="C72" s="2" t="str">
        <x:v>Summary, draft edits and factual correctness checks</x:v>
      </x:c>
      <x:c r="D72" s="30" t="str">
        <x:v>Tester 2</x:v>
      </x:c>
      <x:c r="E72" s="2" t="str">
        <x:v>U04, B05:SS, S05:SS</x:v>
      </x:c>
      <x:c r="F72" s="47" t="n">
        <x:v>21</x:v>
      </x:c>
      <x:c r="G72" s="47" t="n">
        <x:v>5</x:v>
      </x:c>
      <x:c r="H72" s="48" t="n">
        <x:v>4</x:v>
      </x:c>
      <x:c r="I72" s="2" t="n">
        <x:f>IF(OR(F72="",G72=""),"",F72+G72-1)</x:f>
        <x:v>25</x:v>
      </x:c>
      <x:c r="J72" s="5" t="n">
        <x:f>IF(OR(F72="",F72&lt;1,F72&gt;Calendar!$B$9),"",INDEX(Calendar!$A$16:$A$134,MATCH(F72,Calendar!$D$16:$D$134,0)))</x:f>
        <x:v>46356</x:v>
      </x:c>
      <x:c r="K72" s="5" t="n">
        <x:f>IF(OR(I72="",I72&lt;1,I72&gt;Calendar!$B$9),"",INDEX(Calendar!$A$16:$A$134,MATCH(I72,Calendar!$D$16:$D$134,0)))</x:f>
        <x:v>46360</x:v>
      </x:c>
      <x:c r="L72" s="50" t="n">
        <x:v>0</x:v>
      </x:c>
      <x:c r="M72" s="2" t="str">
        <x:f>IF(OR(F72="",G72="",H72=""),"Missing input",IF(OR(F72&lt;1,G72&lt;1,I72&gt;Calendar!$B$9),"Outside calendar",IF(F72&lt;MAX(INDEX($I$8:$I$85,MATCH("U04",$A$8:$A$85,0))+1,INDEX($F$8:$F$85,MATCH("B05",$A$8:$A$85,0)),INDEX($F$8:$F$85,MATCH("S05",$A$8:$A$85,0))),"Dependency conflict","Scheduled")))</x:f>
        <x:v>Scheduled</x:v>
      </x:c>
      <x:c r="N72" s="44" t="n">
        <x:f>IF(OR($J72="",$K72=""),"",IF(SUMIFS(Calendar!$C$16:$C$134,Calendar!$A$16:$A$134,"&gt;="&amp;MAX(N$7,$J72),Calendar!$A$16:$A$134,"&lt;="&amp;MIN(N$7+4,$K72))=0,0,IF($H72="","EXT",SUMIFS(Calendar!$C$16:$C$134,Calendar!$A$16:$A$134,"&gt;="&amp;MAX(N$7,$J72),Calendar!$A$16:$A$134,"&lt;="&amp;MIN(N$7+4,$K72))*$H72/$G72)))</x:f>
        <x:v>0</x:v>
      </x:c>
      <x:c r="O72" s="44" t="n">
        <x:f>IF(OR($J72="",$K72=""),"",IF(SUMIFS(Calendar!$C$16:$C$134,Calendar!$A$16:$A$134,"&gt;="&amp;MAX(O$7,$J72),Calendar!$A$16:$A$134,"&lt;="&amp;MIN(O$7+4,$K72))=0,0,IF($H72="","EXT",SUMIFS(Calendar!$C$16:$C$134,Calendar!$A$16:$A$134,"&gt;="&amp;MAX(O$7,$J72),Calendar!$A$16:$A$134,"&lt;="&amp;MIN(O$7+4,$K72))*$H72/$G72)))</x:f>
        <x:v>0</x:v>
      </x:c>
      <x:c r="P72" s="44" t="n">
        <x:f>IF(OR($J72="",$K72=""),"",IF(SUMIFS(Calendar!$C$16:$C$134,Calendar!$A$16:$A$134,"&gt;="&amp;MAX(P$7,$J72),Calendar!$A$16:$A$134,"&lt;="&amp;MIN(P$7+4,$K72))=0,0,IF($H72="","EXT",SUMIFS(Calendar!$C$16:$C$134,Calendar!$A$16:$A$134,"&gt;="&amp;MAX(P$7,$J72),Calendar!$A$16:$A$134,"&lt;="&amp;MIN(P$7+4,$K72))*$H72/$G72)))</x:f>
        <x:v>0</x:v>
      </x:c>
      <x:c r="Q72" s="44" t="n">
        <x:f>IF(OR($J72="",$K72=""),"",IF(SUMIFS(Calendar!$C$16:$C$134,Calendar!$A$16:$A$134,"&gt;="&amp;MAX(Q$7,$J72),Calendar!$A$16:$A$134,"&lt;="&amp;MIN(Q$7+4,$K72))=0,0,IF($H72="","EXT",SUMIFS(Calendar!$C$16:$C$134,Calendar!$A$16:$A$134,"&gt;="&amp;MAX(Q$7,$J72),Calendar!$A$16:$A$134,"&lt;="&amp;MIN(Q$7+4,$K72))*$H72/$G72)))</x:f>
        <x:v>0</x:v>
      </x:c>
      <x:c r="R72" s="44" t="n">
        <x:f>IF(OR($J72="",$K72=""),"",IF(SUMIFS(Calendar!$C$16:$C$134,Calendar!$A$16:$A$134,"&gt;="&amp;MAX(R$7,$J72),Calendar!$A$16:$A$134,"&lt;="&amp;MIN(R$7+4,$K72))=0,0,IF($H72="","EXT",SUMIFS(Calendar!$C$16:$C$134,Calendar!$A$16:$A$134,"&gt;="&amp;MAX(R$7,$J72),Calendar!$A$16:$A$134,"&lt;="&amp;MIN(R$7+4,$K72))*$H72/$G72)))</x:f>
        <x:v>4</x:v>
      </x:c>
      <x:c r="S72" s="44" t="n">
        <x:f>IF(OR($J72="",$K72=""),"",IF(SUMIFS(Calendar!$C$16:$C$134,Calendar!$A$16:$A$134,"&gt;="&amp;MAX(S$7,$J72),Calendar!$A$16:$A$134,"&lt;="&amp;MIN(S$7+4,$K72))=0,0,IF($H72="","EXT",SUMIFS(Calendar!$C$16:$C$134,Calendar!$A$16:$A$134,"&gt;="&amp;MAX(S$7,$J72),Calendar!$A$16:$A$134,"&lt;="&amp;MIN(S$7+4,$K72))*$H72/$G72)))</x:f>
        <x:v>0</x:v>
      </x:c>
      <x:c r="T72" s="44" t="n">
        <x:f>IF(OR($J72="",$K72=""),"",IF(SUMIFS(Calendar!$C$16:$C$134,Calendar!$A$16:$A$134,"&gt;="&amp;MAX(T$7,$J72),Calendar!$A$16:$A$134,"&lt;="&amp;MIN(T$7+4,$K72))=0,0,IF($H72="","EXT",SUMIFS(Calendar!$C$16:$C$134,Calendar!$A$16:$A$134,"&gt;="&amp;MAX(T$7,$J72),Calendar!$A$16:$A$134,"&lt;="&amp;MIN(T$7+4,$K72))*$H72/$G72)))</x:f>
        <x:v>0</x:v>
      </x:c>
      <x:c r="U72" s="44" t="n">
        <x:f>IF(OR($J72="",$K72=""),"",IF(SUMIFS(Calendar!$C$16:$C$134,Calendar!$A$16:$A$134,"&gt;="&amp;MAX(U$7,$J72),Calendar!$A$16:$A$134,"&lt;="&amp;MIN(U$7+4,$K72))=0,0,IF($H72="","EXT",SUMIFS(Calendar!$C$16:$C$134,Calendar!$A$16:$A$134,"&gt;="&amp;MAX(U$7,$J72),Calendar!$A$16:$A$134,"&lt;="&amp;MIN(U$7+4,$K72))*$H72/$G72)))</x:f>
        <x:v>0</x:v>
      </x:c>
      <x:c r="V72" s="44" t="n">
        <x:f>IF(OR($J72="",$K72=""),"",IF(SUMIFS(Calendar!$C$16:$C$134,Calendar!$A$16:$A$134,"&gt;="&amp;MAX(V$7,$J72),Calendar!$A$16:$A$134,"&lt;="&amp;MIN(V$7+4,$K72))=0,0,IF($H72="","EXT",SUMIFS(Calendar!$C$16:$C$134,Calendar!$A$16:$A$134,"&gt;="&amp;MAX(V$7,$J72),Calendar!$A$16:$A$134,"&lt;="&amp;MIN(V$7+4,$K72))*$H72/$G72)))</x:f>
        <x:v>0</x:v>
      </x:c>
      <x:c r="W72" s="44" t="n">
        <x:f>IF(OR($J72="",$K72=""),"",IF(SUMIFS(Calendar!$C$16:$C$134,Calendar!$A$16:$A$134,"&gt;="&amp;MAX(W$7,$J72),Calendar!$A$16:$A$134,"&lt;="&amp;MIN(W$7+4,$K72))=0,0,IF($H72="","EXT",SUMIFS(Calendar!$C$16:$C$134,Calendar!$A$16:$A$134,"&gt;="&amp;MAX(W$7,$J72),Calendar!$A$16:$A$134,"&lt;="&amp;MIN(W$7+4,$K72))*$H72/$G72)))</x:f>
        <x:v>0</x:v>
      </x:c>
      <x:c r="X72" s="44" t="n">
        <x:f>IF(OR($J72="",$K72=""),"",IF(SUMIFS(Calendar!$C$16:$C$134,Calendar!$A$16:$A$134,"&gt;="&amp;MAX(X$7,$J72),Calendar!$A$16:$A$134,"&lt;="&amp;MIN(X$7+4,$K72))=0,0,IF($H72="","EXT",SUMIFS(Calendar!$C$16:$C$134,Calendar!$A$16:$A$134,"&gt;="&amp;MAX(X$7,$J72),Calendar!$A$16:$A$134,"&lt;="&amp;MIN(X$7+4,$K72))*$H72/$G72)))</x:f>
        <x:v>0</x:v>
      </x:c>
      <x:c r="Y72" s="44" t="n">
        <x:f>IF(OR($J72="",$K72=""),"",IF(SUMIFS(Calendar!$C$16:$C$134,Calendar!$A$16:$A$134,"&gt;="&amp;MAX(Y$7,$J72),Calendar!$A$16:$A$134,"&lt;="&amp;MIN(Y$7+4,$K72))=0,0,IF($H72="","EXT",SUMIFS(Calendar!$C$16:$C$134,Calendar!$A$16:$A$134,"&gt;="&amp;MAX(Y$7,$J72),Calendar!$A$16:$A$134,"&lt;="&amp;MIN(Y$7+4,$K72))*$H72/$G72)))</x:f>
        <x:v>0</x:v>
      </x:c>
      <x:c r="Z72" s="44" t="n">
        <x:f>IF(OR($J72="",$K72=""),"",IF(SUMIFS(Calendar!$C$16:$C$134,Calendar!$A$16:$A$134,"&gt;="&amp;MAX(Z$7,$J72),Calendar!$A$16:$A$134,"&lt;="&amp;MIN(Z$7+4,$K72))=0,0,IF($H72="","EXT",SUMIFS(Calendar!$C$16:$C$134,Calendar!$A$16:$A$134,"&gt;="&amp;MAX(Z$7,$J72),Calendar!$A$16:$A$134,"&lt;="&amp;MIN(Z$7+4,$K72))*$H72/$G72)))</x:f>
        <x:v>0</x:v>
      </x:c>
      <x:c r="AA72" s="44" t="n">
        <x:f>IF(OR($J72="",$K72=""),"",IF(SUMIFS(Calendar!$C$16:$C$134,Calendar!$A$16:$A$134,"&gt;="&amp;MAX(AA$7,$J72),Calendar!$A$16:$A$134,"&lt;="&amp;MIN(AA$7+4,$K72))=0,0,IF($H72="","EXT",SUMIFS(Calendar!$C$16:$C$134,Calendar!$A$16:$A$134,"&gt;="&amp;MAX(AA$7,$J72),Calendar!$A$16:$A$134,"&lt;="&amp;MIN(AA$7+4,$K72))*$H72/$G72)))</x:f>
        <x:v>0</x:v>
      </x:c>
      <x:c r="AB72" s="44" t="n">
        <x:f>IF(OR($J72="",$K72=""),"",IF(SUMIFS(Calendar!$C$16:$C$134,Calendar!$A$16:$A$134,"&gt;="&amp;MAX(AB$7,$J72),Calendar!$A$16:$A$134,"&lt;="&amp;MIN(AB$7+4,$K72))=0,0,IF($H72="","EXT",SUMIFS(Calendar!$C$16:$C$134,Calendar!$A$16:$A$134,"&gt;="&amp;MAX(AB$7,$J72),Calendar!$A$16:$A$134,"&lt;="&amp;MIN(AB$7+4,$K72))*$H72/$G72)))</x:f>
        <x:v>0</x:v>
      </x:c>
      <x:c r="AC72" s="44" t="n">
        <x:f>IF(OR($J72="",$K72=""),"",IF(SUMIFS(Calendar!$C$16:$C$134,Calendar!$A$16:$A$134,"&gt;="&amp;MAX(AC$7,$J72),Calendar!$A$16:$A$134,"&lt;="&amp;MIN(AC$7+4,$K72))=0,0,IF($H72="","EXT",SUMIFS(Calendar!$C$16:$C$134,Calendar!$A$16:$A$134,"&gt;="&amp;MAX(AC$7,$J72),Calendar!$A$16:$A$134,"&lt;="&amp;MIN(AC$7+4,$K72))*$H72/$G72)))</x:f>
        <x:v>0</x:v>
      </x:c>
      <x:c r="AD72" s="44" t="n">
        <x:f>IF(OR($J72="",$K72=""),"",IF(SUMIFS(Calendar!$C$16:$C$134,Calendar!$A$16:$A$134,"&gt;="&amp;MAX(AD$7,$J72),Calendar!$A$16:$A$134,"&lt;="&amp;MIN(AD$7+4,$K72))=0,0,IF($H72="","EXT",SUMIFS(Calendar!$C$16:$C$134,Calendar!$A$16:$A$134,"&gt;="&amp;MAX(AD$7,$J72),Calendar!$A$16:$A$134,"&lt;="&amp;MIN(AD$7+4,$K72))*$H72/$G72)))</x:f>
        <x:v>0</x:v>
      </x:c>
      <x:c r="AE72" s="42" t="n">
        <x:f>IF(OR(M72&lt;&gt;"Scheduled",INDEX('Team and Gates'!$C$7:$C$11,MATCH($D72,'Team and Gates'!$A$7:$A$11,0))=""),"CHECK",SUM(N72:AD72)*INDEX('Team and Gates'!$C$7:$C$11,MATCH($D72,'Team and Gates'!$A$7:$A$11,0)))</x:f>
        <x:v>1440</x:v>
      </x:c>
      <x:c r="AF72" s="43" t="str">
        <x:v>No invented dates, amounts, attachments or completion claims in tested cases.</x:v>
      </x:c>
      <x:c r="AG72" s="43" t="str"/>
    </x:row>
    <x:row r="73" ht="36" customHeight="1">
      <x:c r="A73" s="35" t="str">
        <x:v>U06</x:v>
      </x:c>
      <x:c r="B73" s="35" t="str">
        <x:v>Business QA</x:v>
      </x:c>
      <x:c r="C73" s="35" t="str">
        <x:v>Approve-and-send business acceptance</x:v>
      </x:c>
      <x:c r="D73" s="30" t="str">
        <x:v>Tester 2</x:v>
      </x:c>
      <x:c r="E73" s="35" t="str">
        <x:v>U05, B06:SS</x:v>
      </x:c>
      <x:c r="F73" s="47" t="n">
        <x:v>26</x:v>
      </x:c>
      <x:c r="G73" s="47" t="n">
        <x:v>5</x:v>
      </x:c>
      <x:c r="H73" s="48" t="n">
        <x:v>4</x:v>
      </x:c>
      <x:c r="I73" s="35" t="n">
        <x:f>IF(OR(F73="",G73=""),"",F73+G73-1)</x:f>
        <x:v>30</x:v>
      </x:c>
      <x:c r="J73" s="37" t="n">
        <x:f>IF(OR(F73="",F73&lt;1,F73&gt;Calendar!$B$9),"",INDEX(Calendar!$A$16:$A$134,MATCH(F73,Calendar!$D$16:$D$134,0)))</x:f>
        <x:v>46363</x:v>
      </x:c>
      <x:c r="K73" s="37" t="n">
        <x:f>IF(OR(I73="",I73&lt;1,I73&gt;Calendar!$B$9),"",INDEX(Calendar!$A$16:$A$134,MATCH(I73,Calendar!$D$16:$D$134,0)))</x:f>
        <x:v>46367</x:v>
      </x:c>
      <x:c r="L73" s="50" t="n">
        <x:v>0</x:v>
      </x:c>
      <x:c r="M73" s="35" t="str">
        <x:f>IF(OR(F73="",G73="",H73=""),"Missing input",IF(OR(F73&lt;1,G73&lt;1,I73&gt;Calendar!$B$9),"Outside calendar",IF(F73&lt;MAX(INDEX($I$8:$I$85,MATCH("U05",$A$8:$A$85,0))+1,INDEX($F$8:$F$85,MATCH("B06",$A$8:$A$85,0))),"Dependency conflict","Scheduled")))</x:f>
        <x:v>Scheduled</x:v>
      </x:c>
      <x:c r="N73" s="44" t="n">
        <x:f>IF(OR($J73="",$K73=""),"",IF(SUMIFS(Calendar!$C$16:$C$134,Calendar!$A$16:$A$134,"&gt;="&amp;MAX(N$7,$J73),Calendar!$A$16:$A$134,"&lt;="&amp;MIN(N$7+4,$K73))=0,0,IF($H73="","EXT",SUMIFS(Calendar!$C$16:$C$134,Calendar!$A$16:$A$134,"&gt;="&amp;MAX(N$7,$J73),Calendar!$A$16:$A$134,"&lt;="&amp;MIN(N$7+4,$K73))*$H73/$G73)))</x:f>
        <x:v>0</x:v>
      </x:c>
      <x:c r="O73" s="44" t="n">
        <x:f>IF(OR($J73="",$K73=""),"",IF(SUMIFS(Calendar!$C$16:$C$134,Calendar!$A$16:$A$134,"&gt;="&amp;MAX(O$7,$J73),Calendar!$A$16:$A$134,"&lt;="&amp;MIN(O$7+4,$K73))=0,0,IF($H73="","EXT",SUMIFS(Calendar!$C$16:$C$134,Calendar!$A$16:$A$134,"&gt;="&amp;MAX(O$7,$J73),Calendar!$A$16:$A$134,"&lt;="&amp;MIN(O$7+4,$K73))*$H73/$G73)))</x:f>
        <x:v>0</x:v>
      </x:c>
      <x:c r="P73" s="44" t="n">
        <x:f>IF(OR($J73="",$K73=""),"",IF(SUMIFS(Calendar!$C$16:$C$134,Calendar!$A$16:$A$134,"&gt;="&amp;MAX(P$7,$J73),Calendar!$A$16:$A$134,"&lt;="&amp;MIN(P$7+4,$K73))=0,0,IF($H73="","EXT",SUMIFS(Calendar!$C$16:$C$134,Calendar!$A$16:$A$134,"&gt;="&amp;MAX(P$7,$J73),Calendar!$A$16:$A$134,"&lt;="&amp;MIN(P$7+4,$K73))*$H73/$G73)))</x:f>
        <x:v>0</x:v>
      </x:c>
      <x:c r="Q73" s="44" t="n">
        <x:f>IF(OR($J73="",$K73=""),"",IF(SUMIFS(Calendar!$C$16:$C$134,Calendar!$A$16:$A$134,"&gt;="&amp;MAX(Q$7,$J73),Calendar!$A$16:$A$134,"&lt;="&amp;MIN(Q$7+4,$K73))=0,0,IF($H73="","EXT",SUMIFS(Calendar!$C$16:$C$134,Calendar!$A$16:$A$134,"&gt;="&amp;MAX(Q$7,$J73),Calendar!$A$16:$A$134,"&lt;="&amp;MIN(Q$7+4,$K73))*$H73/$G73)))</x:f>
        <x:v>0</x:v>
      </x:c>
      <x:c r="R73" s="44" t="n">
        <x:f>IF(OR($J73="",$K73=""),"",IF(SUMIFS(Calendar!$C$16:$C$134,Calendar!$A$16:$A$134,"&gt;="&amp;MAX(R$7,$J73),Calendar!$A$16:$A$134,"&lt;="&amp;MIN(R$7+4,$K73))=0,0,IF($H73="","EXT",SUMIFS(Calendar!$C$16:$C$134,Calendar!$A$16:$A$134,"&gt;="&amp;MAX(R$7,$J73),Calendar!$A$16:$A$134,"&lt;="&amp;MIN(R$7+4,$K73))*$H73/$G73)))</x:f>
        <x:v>0</x:v>
      </x:c>
      <x:c r="S73" s="44" t="n">
        <x:f>IF(OR($J73="",$K73=""),"",IF(SUMIFS(Calendar!$C$16:$C$134,Calendar!$A$16:$A$134,"&gt;="&amp;MAX(S$7,$J73),Calendar!$A$16:$A$134,"&lt;="&amp;MIN(S$7+4,$K73))=0,0,IF($H73="","EXT",SUMIFS(Calendar!$C$16:$C$134,Calendar!$A$16:$A$134,"&gt;="&amp;MAX(S$7,$J73),Calendar!$A$16:$A$134,"&lt;="&amp;MIN(S$7+4,$K73))*$H73/$G73)))</x:f>
        <x:v>4</x:v>
      </x:c>
      <x:c r="T73" s="44" t="n">
        <x:f>IF(OR($J73="",$K73=""),"",IF(SUMIFS(Calendar!$C$16:$C$134,Calendar!$A$16:$A$134,"&gt;="&amp;MAX(T$7,$J73),Calendar!$A$16:$A$134,"&lt;="&amp;MIN(T$7+4,$K73))=0,0,IF($H73="","EXT",SUMIFS(Calendar!$C$16:$C$134,Calendar!$A$16:$A$134,"&gt;="&amp;MAX(T$7,$J73),Calendar!$A$16:$A$134,"&lt;="&amp;MIN(T$7+4,$K73))*$H73/$G73)))</x:f>
        <x:v>0</x:v>
      </x:c>
      <x:c r="U73" s="44" t="n">
        <x:f>IF(OR($J73="",$K73=""),"",IF(SUMIFS(Calendar!$C$16:$C$134,Calendar!$A$16:$A$134,"&gt;="&amp;MAX(U$7,$J73),Calendar!$A$16:$A$134,"&lt;="&amp;MIN(U$7+4,$K73))=0,0,IF($H73="","EXT",SUMIFS(Calendar!$C$16:$C$134,Calendar!$A$16:$A$134,"&gt;="&amp;MAX(U$7,$J73),Calendar!$A$16:$A$134,"&lt;="&amp;MIN(U$7+4,$K73))*$H73/$G73)))</x:f>
        <x:v>0</x:v>
      </x:c>
      <x:c r="V73" s="44" t="n">
        <x:f>IF(OR($J73="",$K73=""),"",IF(SUMIFS(Calendar!$C$16:$C$134,Calendar!$A$16:$A$134,"&gt;="&amp;MAX(V$7,$J73),Calendar!$A$16:$A$134,"&lt;="&amp;MIN(V$7+4,$K73))=0,0,IF($H73="","EXT",SUMIFS(Calendar!$C$16:$C$134,Calendar!$A$16:$A$134,"&gt;="&amp;MAX(V$7,$J73),Calendar!$A$16:$A$134,"&lt;="&amp;MIN(V$7+4,$K73))*$H73/$G73)))</x:f>
        <x:v>0</x:v>
      </x:c>
      <x:c r="W73" s="44" t="n">
        <x:f>IF(OR($J73="",$K73=""),"",IF(SUMIFS(Calendar!$C$16:$C$134,Calendar!$A$16:$A$134,"&gt;="&amp;MAX(W$7,$J73),Calendar!$A$16:$A$134,"&lt;="&amp;MIN(W$7+4,$K73))=0,0,IF($H73="","EXT",SUMIFS(Calendar!$C$16:$C$134,Calendar!$A$16:$A$134,"&gt;="&amp;MAX(W$7,$J73),Calendar!$A$16:$A$134,"&lt;="&amp;MIN(W$7+4,$K73))*$H73/$G73)))</x:f>
        <x:v>0</x:v>
      </x:c>
      <x:c r="X73" s="44" t="n">
        <x:f>IF(OR($J73="",$K73=""),"",IF(SUMIFS(Calendar!$C$16:$C$134,Calendar!$A$16:$A$134,"&gt;="&amp;MAX(X$7,$J73),Calendar!$A$16:$A$134,"&lt;="&amp;MIN(X$7+4,$K73))=0,0,IF($H73="","EXT",SUMIFS(Calendar!$C$16:$C$134,Calendar!$A$16:$A$134,"&gt;="&amp;MAX(X$7,$J73),Calendar!$A$16:$A$134,"&lt;="&amp;MIN(X$7+4,$K73))*$H73/$G73)))</x:f>
        <x:v>0</x:v>
      </x:c>
      <x:c r="Y73" s="44" t="n">
        <x:f>IF(OR($J73="",$K73=""),"",IF(SUMIFS(Calendar!$C$16:$C$134,Calendar!$A$16:$A$134,"&gt;="&amp;MAX(Y$7,$J73),Calendar!$A$16:$A$134,"&lt;="&amp;MIN(Y$7+4,$K73))=0,0,IF($H73="","EXT",SUMIFS(Calendar!$C$16:$C$134,Calendar!$A$16:$A$134,"&gt;="&amp;MAX(Y$7,$J73),Calendar!$A$16:$A$134,"&lt;="&amp;MIN(Y$7+4,$K73))*$H73/$G73)))</x:f>
        <x:v>0</x:v>
      </x:c>
      <x:c r="Z73" s="44" t="n">
        <x:f>IF(OR($J73="",$K73=""),"",IF(SUMIFS(Calendar!$C$16:$C$134,Calendar!$A$16:$A$134,"&gt;="&amp;MAX(Z$7,$J73),Calendar!$A$16:$A$134,"&lt;="&amp;MIN(Z$7+4,$K73))=0,0,IF($H73="","EXT",SUMIFS(Calendar!$C$16:$C$134,Calendar!$A$16:$A$134,"&gt;="&amp;MAX(Z$7,$J73),Calendar!$A$16:$A$134,"&lt;="&amp;MIN(Z$7+4,$K73))*$H73/$G73)))</x:f>
        <x:v>0</x:v>
      </x:c>
      <x:c r="AA73" s="44" t="n">
        <x:f>IF(OR($J73="",$K73=""),"",IF(SUMIFS(Calendar!$C$16:$C$134,Calendar!$A$16:$A$134,"&gt;="&amp;MAX(AA$7,$J73),Calendar!$A$16:$A$134,"&lt;="&amp;MIN(AA$7+4,$K73))=0,0,IF($H73="","EXT",SUMIFS(Calendar!$C$16:$C$134,Calendar!$A$16:$A$134,"&gt;="&amp;MAX(AA$7,$J73),Calendar!$A$16:$A$134,"&lt;="&amp;MIN(AA$7+4,$K73))*$H73/$G73)))</x:f>
        <x:v>0</x:v>
      </x:c>
      <x:c r="AB73" s="44" t="n">
        <x:f>IF(OR($J73="",$K73=""),"",IF(SUMIFS(Calendar!$C$16:$C$134,Calendar!$A$16:$A$134,"&gt;="&amp;MAX(AB$7,$J73),Calendar!$A$16:$A$134,"&lt;="&amp;MIN(AB$7+4,$K73))=0,0,IF($H73="","EXT",SUMIFS(Calendar!$C$16:$C$134,Calendar!$A$16:$A$134,"&gt;="&amp;MAX(AB$7,$J73),Calendar!$A$16:$A$134,"&lt;="&amp;MIN(AB$7+4,$K73))*$H73/$G73)))</x:f>
        <x:v>0</x:v>
      </x:c>
      <x:c r="AC73" s="44" t="n">
        <x:f>IF(OR($J73="",$K73=""),"",IF(SUMIFS(Calendar!$C$16:$C$134,Calendar!$A$16:$A$134,"&gt;="&amp;MAX(AC$7,$J73),Calendar!$A$16:$A$134,"&lt;="&amp;MIN(AC$7+4,$K73))=0,0,IF($H73="","EXT",SUMIFS(Calendar!$C$16:$C$134,Calendar!$A$16:$A$134,"&gt;="&amp;MAX(AC$7,$J73),Calendar!$A$16:$A$134,"&lt;="&amp;MIN(AC$7+4,$K73))*$H73/$G73)))</x:f>
        <x:v>0</x:v>
      </x:c>
      <x:c r="AD73" s="44" t="n">
        <x:f>IF(OR($J73="",$K73=""),"",IF(SUMIFS(Calendar!$C$16:$C$134,Calendar!$A$16:$A$134,"&gt;="&amp;MAX(AD$7,$J73),Calendar!$A$16:$A$134,"&lt;="&amp;MIN(AD$7+4,$K73))=0,0,IF($H73="","EXT",SUMIFS(Calendar!$C$16:$C$134,Calendar!$A$16:$A$134,"&gt;="&amp;MAX(AD$7,$J73),Calendar!$A$16:$A$134,"&lt;="&amp;MIN(AD$7+4,$K73))*$H73/$G73)))</x:f>
        <x:v>0</x:v>
      </x:c>
      <x:c r="AE73" s="42" t="n">
        <x:f>IF(OR(M73&lt;&gt;"Scheduled",INDEX('Team and Gates'!$C$7:$C$11,MATCH($D73,'Team and Gates'!$A$7:$A$11,0))=""),"CHECK",SUM(N73:AD73)*INDEX('Team and Gates'!$C$7:$C$11,MATCH($D73,'Team and Gates'!$A$7:$A$11,0)))</x:f>
        <x:v>1440</x:v>
      </x:c>
      <x:c r="AF73" s="43" t="str">
        <x:v>Recipients, content and attachments match AM approval; send status is honest.</x:v>
      </x:c>
      <x:c r="AG73" s="43" t="str"/>
    </x:row>
    <x:row r="74" ht="36" customHeight="1">
      <x:c r="A74" s="2" t="str">
        <x:v>U07</x:v>
      </x:c>
      <x:c r="B74" s="2" t="str">
        <x:v>Business QA</x:v>
      </x:c>
      <x:c r="C74" s="2" t="str">
        <x:v>Regional/Local, overview and due-date acceptance</x:v>
      </x:c>
      <x:c r="D74" s="30" t="str">
        <x:v>Tester 2</x:v>
      </x:c>
      <x:c r="E74" s="2" t="str">
        <x:v>U06, B07:SS</x:v>
      </x:c>
      <x:c r="F74" s="47" t="n">
        <x:v>31</x:v>
      </x:c>
      <x:c r="G74" s="47" t="n">
        <x:v>5</x:v>
      </x:c>
      <x:c r="H74" s="48" t="n">
        <x:v>4</x:v>
      </x:c>
      <x:c r="I74" s="2" t="n">
        <x:f>IF(OR(F74="",G74=""),"",F74+G74-1)</x:f>
        <x:v>35</x:v>
      </x:c>
      <x:c r="J74" s="5" t="n">
        <x:f>IF(OR(F74="",F74&lt;1,F74&gt;Calendar!$B$9),"",INDEX(Calendar!$A$16:$A$134,MATCH(F74,Calendar!$D$16:$D$134,0)))</x:f>
        <x:v>46370</x:v>
      </x:c>
      <x:c r="K74" s="5" t="n">
        <x:f>IF(OR(I74="",I74&lt;1,I74&gt;Calendar!$B$9),"",INDEX(Calendar!$A$16:$A$134,MATCH(I74,Calendar!$D$16:$D$134,0)))</x:f>
        <x:v>46374</x:v>
      </x:c>
      <x:c r="L74" s="50" t="n">
        <x:v>0</x:v>
      </x:c>
      <x:c r="M74" s="2" t="str">
        <x:f>IF(OR(F74="",G74="",H74=""),"Missing input",IF(OR(F74&lt;1,G74&lt;1,I74&gt;Calendar!$B$9),"Outside calendar",IF(F74&lt;MAX(INDEX($I$8:$I$85,MATCH("U06",$A$8:$A$85,0))+1,INDEX($F$8:$F$85,MATCH("B07",$A$8:$A$85,0))),"Dependency conflict","Scheduled")))</x:f>
        <x:v>Scheduled</x:v>
      </x:c>
      <x:c r="N74" s="44" t="n">
        <x:f>IF(OR($J74="",$K74=""),"",IF(SUMIFS(Calendar!$C$16:$C$134,Calendar!$A$16:$A$134,"&gt;="&amp;MAX(N$7,$J74),Calendar!$A$16:$A$134,"&lt;="&amp;MIN(N$7+4,$K74))=0,0,IF($H74="","EXT",SUMIFS(Calendar!$C$16:$C$134,Calendar!$A$16:$A$134,"&gt;="&amp;MAX(N$7,$J74),Calendar!$A$16:$A$134,"&lt;="&amp;MIN(N$7+4,$K74))*$H74/$G74)))</x:f>
        <x:v>0</x:v>
      </x:c>
      <x:c r="O74" s="44" t="n">
        <x:f>IF(OR($J74="",$K74=""),"",IF(SUMIFS(Calendar!$C$16:$C$134,Calendar!$A$16:$A$134,"&gt;="&amp;MAX(O$7,$J74),Calendar!$A$16:$A$134,"&lt;="&amp;MIN(O$7+4,$K74))=0,0,IF($H74="","EXT",SUMIFS(Calendar!$C$16:$C$134,Calendar!$A$16:$A$134,"&gt;="&amp;MAX(O$7,$J74),Calendar!$A$16:$A$134,"&lt;="&amp;MIN(O$7+4,$K74))*$H74/$G74)))</x:f>
        <x:v>0</x:v>
      </x:c>
      <x:c r="P74" s="44" t="n">
        <x:f>IF(OR($J74="",$K74=""),"",IF(SUMIFS(Calendar!$C$16:$C$134,Calendar!$A$16:$A$134,"&gt;="&amp;MAX(P$7,$J74),Calendar!$A$16:$A$134,"&lt;="&amp;MIN(P$7+4,$K74))=0,0,IF($H74="","EXT",SUMIFS(Calendar!$C$16:$C$134,Calendar!$A$16:$A$134,"&gt;="&amp;MAX(P$7,$J74),Calendar!$A$16:$A$134,"&lt;="&amp;MIN(P$7+4,$K74))*$H74/$G74)))</x:f>
        <x:v>0</x:v>
      </x:c>
      <x:c r="Q74" s="44" t="n">
        <x:f>IF(OR($J74="",$K74=""),"",IF(SUMIFS(Calendar!$C$16:$C$134,Calendar!$A$16:$A$134,"&gt;="&amp;MAX(Q$7,$J74),Calendar!$A$16:$A$134,"&lt;="&amp;MIN(Q$7+4,$K74))=0,0,IF($H74="","EXT",SUMIFS(Calendar!$C$16:$C$134,Calendar!$A$16:$A$134,"&gt;="&amp;MAX(Q$7,$J74),Calendar!$A$16:$A$134,"&lt;="&amp;MIN(Q$7+4,$K74))*$H74/$G74)))</x:f>
        <x:v>0</x:v>
      </x:c>
      <x:c r="R74" s="44" t="n">
        <x:f>IF(OR($J74="",$K74=""),"",IF(SUMIFS(Calendar!$C$16:$C$134,Calendar!$A$16:$A$134,"&gt;="&amp;MAX(R$7,$J74),Calendar!$A$16:$A$134,"&lt;="&amp;MIN(R$7+4,$K74))=0,0,IF($H74="","EXT",SUMIFS(Calendar!$C$16:$C$134,Calendar!$A$16:$A$134,"&gt;="&amp;MAX(R$7,$J74),Calendar!$A$16:$A$134,"&lt;="&amp;MIN(R$7+4,$K74))*$H74/$G74)))</x:f>
        <x:v>0</x:v>
      </x:c>
      <x:c r="S74" s="44" t="n">
        <x:f>IF(OR($J74="",$K74=""),"",IF(SUMIFS(Calendar!$C$16:$C$134,Calendar!$A$16:$A$134,"&gt;="&amp;MAX(S$7,$J74),Calendar!$A$16:$A$134,"&lt;="&amp;MIN(S$7+4,$K74))=0,0,IF($H74="","EXT",SUMIFS(Calendar!$C$16:$C$134,Calendar!$A$16:$A$134,"&gt;="&amp;MAX(S$7,$J74),Calendar!$A$16:$A$134,"&lt;="&amp;MIN(S$7+4,$K74))*$H74/$G74)))</x:f>
        <x:v>0</x:v>
      </x:c>
      <x:c r="T74" s="44" t="n">
        <x:f>IF(OR($J74="",$K74=""),"",IF(SUMIFS(Calendar!$C$16:$C$134,Calendar!$A$16:$A$134,"&gt;="&amp;MAX(T$7,$J74),Calendar!$A$16:$A$134,"&lt;="&amp;MIN(T$7+4,$K74))=0,0,IF($H74="","EXT",SUMIFS(Calendar!$C$16:$C$134,Calendar!$A$16:$A$134,"&gt;="&amp;MAX(T$7,$J74),Calendar!$A$16:$A$134,"&lt;="&amp;MIN(T$7+4,$K74))*$H74/$G74)))</x:f>
        <x:v>4</x:v>
      </x:c>
      <x:c r="U74" s="44" t="n">
        <x:f>IF(OR($J74="",$K74=""),"",IF(SUMIFS(Calendar!$C$16:$C$134,Calendar!$A$16:$A$134,"&gt;="&amp;MAX(U$7,$J74),Calendar!$A$16:$A$134,"&lt;="&amp;MIN(U$7+4,$K74))=0,0,IF($H74="","EXT",SUMIFS(Calendar!$C$16:$C$134,Calendar!$A$16:$A$134,"&gt;="&amp;MAX(U$7,$J74),Calendar!$A$16:$A$134,"&lt;="&amp;MIN(U$7+4,$K74))*$H74/$G74)))</x:f>
        <x:v>0</x:v>
      </x:c>
      <x:c r="V74" s="44" t="n">
        <x:f>IF(OR($J74="",$K74=""),"",IF(SUMIFS(Calendar!$C$16:$C$134,Calendar!$A$16:$A$134,"&gt;="&amp;MAX(V$7,$J74),Calendar!$A$16:$A$134,"&lt;="&amp;MIN(V$7+4,$K74))=0,0,IF($H74="","EXT",SUMIFS(Calendar!$C$16:$C$134,Calendar!$A$16:$A$134,"&gt;="&amp;MAX(V$7,$J74),Calendar!$A$16:$A$134,"&lt;="&amp;MIN(V$7+4,$K74))*$H74/$G74)))</x:f>
        <x:v>0</x:v>
      </x:c>
      <x:c r="W74" s="44" t="n">
        <x:f>IF(OR($J74="",$K74=""),"",IF(SUMIFS(Calendar!$C$16:$C$134,Calendar!$A$16:$A$134,"&gt;="&amp;MAX(W$7,$J74),Calendar!$A$16:$A$134,"&lt;="&amp;MIN(W$7+4,$K74))=0,0,IF($H74="","EXT",SUMIFS(Calendar!$C$16:$C$134,Calendar!$A$16:$A$134,"&gt;="&amp;MAX(W$7,$J74),Calendar!$A$16:$A$134,"&lt;="&amp;MIN(W$7+4,$K74))*$H74/$G74)))</x:f>
        <x:v>0</x:v>
      </x:c>
      <x:c r="X74" s="44" t="n">
        <x:f>IF(OR($J74="",$K74=""),"",IF(SUMIFS(Calendar!$C$16:$C$134,Calendar!$A$16:$A$134,"&gt;="&amp;MAX(X$7,$J74),Calendar!$A$16:$A$134,"&lt;="&amp;MIN(X$7+4,$K74))=0,0,IF($H74="","EXT",SUMIFS(Calendar!$C$16:$C$134,Calendar!$A$16:$A$134,"&gt;="&amp;MAX(X$7,$J74),Calendar!$A$16:$A$134,"&lt;="&amp;MIN(X$7+4,$K74))*$H74/$G74)))</x:f>
        <x:v>0</x:v>
      </x:c>
      <x:c r="Y74" s="44" t="n">
        <x:f>IF(OR($J74="",$K74=""),"",IF(SUMIFS(Calendar!$C$16:$C$134,Calendar!$A$16:$A$134,"&gt;="&amp;MAX(Y$7,$J74),Calendar!$A$16:$A$134,"&lt;="&amp;MIN(Y$7+4,$K74))=0,0,IF($H74="","EXT",SUMIFS(Calendar!$C$16:$C$134,Calendar!$A$16:$A$134,"&gt;="&amp;MAX(Y$7,$J74),Calendar!$A$16:$A$134,"&lt;="&amp;MIN(Y$7+4,$K74))*$H74/$G74)))</x:f>
        <x:v>0</x:v>
      </x:c>
      <x:c r="Z74" s="44" t="n">
        <x:f>IF(OR($J74="",$K74=""),"",IF(SUMIFS(Calendar!$C$16:$C$134,Calendar!$A$16:$A$134,"&gt;="&amp;MAX(Z$7,$J74),Calendar!$A$16:$A$134,"&lt;="&amp;MIN(Z$7+4,$K74))=0,0,IF($H74="","EXT",SUMIFS(Calendar!$C$16:$C$134,Calendar!$A$16:$A$134,"&gt;="&amp;MAX(Z$7,$J74),Calendar!$A$16:$A$134,"&lt;="&amp;MIN(Z$7+4,$K74))*$H74/$G74)))</x:f>
        <x:v>0</x:v>
      </x:c>
      <x:c r="AA74" s="44" t="n">
        <x:f>IF(OR($J74="",$K74=""),"",IF(SUMIFS(Calendar!$C$16:$C$134,Calendar!$A$16:$A$134,"&gt;="&amp;MAX(AA$7,$J74),Calendar!$A$16:$A$134,"&lt;="&amp;MIN(AA$7+4,$K74))=0,0,IF($H74="","EXT",SUMIFS(Calendar!$C$16:$C$134,Calendar!$A$16:$A$134,"&gt;="&amp;MAX(AA$7,$J74),Calendar!$A$16:$A$134,"&lt;="&amp;MIN(AA$7+4,$K74))*$H74/$G74)))</x:f>
        <x:v>0</x:v>
      </x:c>
      <x:c r="AB74" s="44" t="n">
        <x:f>IF(OR($J74="",$K74=""),"",IF(SUMIFS(Calendar!$C$16:$C$134,Calendar!$A$16:$A$134,"&gt;="&amp;MAX(AB$7,$J74),Calendar!$A$16:$A$134,"&lt;="&amp;MIN(AB$7+4,$K74))=0,0,IF($H74="","EXT",SUMIFS(Calendar!$C$16:$C$134,Calendar!$A$16:$A$134,"&gt;="&amp;MAX(AB$7,$J74),Calendar!$A$16:$A$134,"&lt;="&amp;MIN(AB$7+4,$K74))*$H74/$G74)))</x:f>
        <x:v>0</x:v>
      </x:c>
      <x:c r="AC74" s="44" t="n">
        <x:f>IF(OR($J74="",$K74=""),"",IF(SUMIFS(Calendar!$C$16:$C$134,Calendar!$A$16:$A$134,"&gt;="&amp;MAX(AC$7,$J74),Calendar!$A$16:$A$134,"&lt;="&amp;MIN(AC$7+4,$K74))=0,0,IF($H74="","EXT",SUMIFS(Calendar!$C$16:$C$134,Calendar!$A$16:$A$134,"&gt;="&amp;MAX(AC$7,$J74),Calendar!$A$16:$A$134,"&lt;="&amp;MIN(AC$7+4,$K74))*$H74/$G74)))</x:f>
        <x:v>0</x:v>
      </x:c>
      <x:c r="AD74" s="44" t="n">
        <x:f>IF(OR($J74="",$K74=""),"",IF(SUMIFS(Calendar!$C$16:$C$134,Calendar!$A$16:$A$134,"&gt;="&amp;MAX(AD$7,$J74),Calendar!$A$16:$A$134,"&lt;="&amp;MIN(AD$7+4,$K74))=0,0,IF($H74="","EXT",SUMIFS(Calendar!$C$16:$C$134,Calendar!$A$16:$A$134,"&gt;="&amp;MAX(AD$7,$J74),Calendar!$A$16:$A$134,"&lt;="&amp;MIN(AD$7+4,$K74))*$H74/$G74)))</x:f>
        <x:v>0</x:v>
      </x:c>
      <x:c r="AE74" s="42" t="n">
        <x:f>IF(OR(M74&lt;&gt;"Scheduled",INDEX('Team and Gates'!$C$7:$C$11,MATCH($D74,'Team and Gates'!$A$7:$A$11,0))=""),"CHECK",SUM(N74:AD74)*INDEX('Team and Gates'!$C$7:$C$11,MATCH($D74,'Team and Gates'!$A$7:$A$11,0)))</x:f>
        <x:v>1440</x:v>
      </x:c>
      <x:c r="AF74" s="43" t="str">
        <x:v>Mail ACLs remain separate; Local completion cannot close the overall Case.</x:v>
      </x:c>
      <x:c r="AG74" s="43" t="str"/>
    </x:row>
    <x:row r="75" ht="36" customHeight="1">
      <x:c r="A75" s="35" t="str">
        <x:v>U08</x:v>
      </x:c>
      <x:c r="B75" s="35" t="str">
        <x:v>Business QA</x:v>
      </x:c>
      <x:c r="C75" s="35" t="str">
        <x:v>Playbook Studio, import and business-negative testing</x:v>
      </x:c>
      <x:c r="D75" s="30" t="str">
        <x:v>Tester 2</x:v>
      </x:c>
      <x:c r="E75" s="35" t="str">
        <x:v>U07, B08:SS, S08:SS</x:v>
      </x:c>
      <x:c r="F75" s="47" t="n">
        <x:v>36</x:v>
      </x:c>
      <x:c r="G75" s="47" t="n">
        <x:v>10</x:v>
      </x:c>
      <x:c r="H75" s="48" t="n">
        <x:v>8</x:v>
      </x:c>
      <x:c r="I75" s="35" t="n">
        <x:f>IF(OR(F75="",G75=""),"",F75+G75-1)</x:f>
        <x:v>45</x:v>
      </x:c>
      <x:c r="J75" s="37" t="n">
        <x:f>IF(OR(F75="",F75&lt;1,F75&gt;Calendar!$B$9),"",INDEX(Calendar!$A$16:$A$134,MATCH(F75,Calendar!$D$16:$D$134,0)))</x:f>
        <x:v>46377</x:v>
      </x:c>
      <x:c r="K75" s="37" t="n">
        <x:f>IF(OR(I75="",I75&lt;1,I75&gt;Calendar!$B$9),"",INDEX(Calendar!$A$16:$A$134,MATCH(I75,Calendar!$D$16:$D$134,0)))</x:f>
        <x:v>46388</x:v>
      </x:c>
      <x:c r="L75" s="50" t="n">
        <x:v>0</x:v>
      </x:c>
      <x:c r="M75" s="35" t="str">
        <x:f>IF(OR(F75="",G75="",H75=""),"Missing input",IF(OR(F75&lt;1,G75&lt;1,I75&gt;Calendar!$B$9),"Outside calendar",IF(F75&lt;MAX(INDEX($I$8:$I$85,MATCH("U07",$A$8:$A$85,0))+1,INDEX($F$8:$F$85,MATCH("B08",$A$8:$A$85,0)),INDEX($F$8:$F$85,MATCH("S08",$A$8:$A$85,0))),"Dependency conflict","Scheduled")))</x:f>
        <x:v>Scheduled</x:v>
      </x:c>
      <x:c r="N75" s="44" t="n">
        <x:f>IF(OR($J75="",$K75=""),"",IF(SUMIFS(Calendar!$C$16:$C$134,Calendar!$A$16:$A$134,"&gt;="&amp;MAX(N$7,$J75),Calendar!$A$16:$A$134,"&lt;="&amp;MIN(N$7+4,$K75))=0,0,IF($H75="","EXT",SUMIFS(Calendar!$C$16:$C$134,Calendar!$A$16:$A$134,"&gt;="&amp;MAX(N$7,$J75),Calendar!$A$16:$A$134,"&lt;="&amp;MIN(N$7+4,$K75))*$H75/$G75)))</x:f>
        <x:v>0</x:v>
      </x:c>
      <x:c r="O75" s="44" t="n">
        <x:f>IF(OR($J75="",$K75=""),"",IF(SUMIFS(Calendar!$C$16:$C$134,Calendar!$A$16:$A$134,"&gt;="&amp;MAX(O$7,$J75),Calendar!$A$16:$A$134,"&lt;="&amp;MIN(O$7+4,$K75))=0,0,IF($H75="","EXT",SUMIFS(Calendar!$C$16:$C$134,Calendar!$A$16:$A$134,"&gt;="&amp;MAX(O$7,$J75),Calendar!$A$16:$A$134,"&lt;="&amp;MIN(O$7+4,$K75))*$H75/$G75)))</x:f>
        <x:v>0</x:v>
      </x:c>
      <x:c r="P75" s="44" t="n">
        <x:f>IF(OR($J75="",$K75=""),"",IF(SUMIFS(Calendar!$C$16:$C$134,Calendar!$A$16:$A$134,"&gt;="&amp;MAX(P$7,$J75),Calendar!$A$16:$A$134,"&lt;="&amp;MIN(P$7+4,$K75))=0,0,IF($H75="","EXT",SUMIFS(Calendar!$C$16:$C$134,Calendar!$A$16:$A$134,"&gt;="&amp;MAX(P$7,$J75),Calendar!$A$16:$A$134,"&lt;="&amp;MIN(P$7+4,$K75))*$H75/$G75)))</x:f>
        <x:v>0</x:v>
      </x:c>
      <x:c r="Q75" s="44" t="n">
        <x:f>IF(OR($J75="",$K75=""),"",IF(SUMIFS(Calendar!$C$16:$C$134,Calendar!$A$16:$A$134,"&gt;="&amp;MAX(Q$7,$J75),Calendar!$A$16:$A$134,"&lt;="&amp;MIN(Q$7+4,$K75))=0,0,IF($H75="","EXT",SUMIFS(Calendar!$C$16:$C$134,Calendar!$A$16:$A$134,"&gt;="&amp;MAX(Q$7,$J75),Calendar!$A$16:$A$134,"&lt;="&amp;MIN(Q$7+4,$K75))*$H75/$G75)))</x:f>
        <x:v>0</x:v>
      </x:c>
      <x:c r="R75" s="44" t="n">
        <x:f>IF(OR($J75="",$K75=""),"",IF(SUMIFS(Calendar!$C$16:$C$134,Calendar!$A$16:$A$134,"&gt;="&amp;MAX(R$7,$J75),Calendar!$A$16:$A$134,"&lt;="&amp;MIN(R$7+4,$K75))=0,0,IF($H75="","EXT",SUMIFS(Calendar!$C$16:$C$134,Calendar!$A$16:$A$134,"&gt;="&amp;MAX(R$7,$J75),Calendar!$A$16:$A$134,"&lt;="&amp;MIN(R$7+4,$K75))*$H75/$G75)))</x:f>
        <x:v>0</x:v>
      </x:c>
      <x:c r="S75" s="44" t="n">
        <x:f>IF(OR($J75="",$K75=""),"",IF(SUMIFS(Calendar!$C$16:$C$134,Calendar!$A$16:$A$134,"&gt;="&amp;MAX(S$7,$J75),Calendar!$A$16:$A$134,"&lt;="&amp;MIN(S$7+4,$K75))=0,0,IF($H75="","EXT",SUMIFS(Calendar!$C$16:$C$134,Calendar!$A$16:$A$134,"&gt;="&amp;MAX(S$7,$J75),Calendar!$A$16:$A$134,"&lt;="&amp;MIN(S$7+4,$K75))*$H75/$G75)))</x:f>
        <x:v>0</x:v>
      </x:c>
      <x:c r="T75" s="44" t="n">
        <x:f>IF(OR($J75="",$K75=""),"",IF(SUMIFS(Calendar!$C$16:$C$134,Calendar!$A$16:$A$134,"&gt;="&amp;MAX(T$7,$J75),Calendar!$A$16:$A$134,"&lt;="&amp;MIN(T$7+4,$K75))=0,0,IF($H75="","EXT",SUMIFS(Calendar!$C$16:$C$134,Calendar!$A$16:$A$134,"&gt;="&amp;MAX(T$7,$J75),Calendar!$A$16:$A$134,"&lt;="&amp;MIN(T$7+4,$K75))*$H75/$G75)))</x:f>
        <x:v>0</x:v>
      </x:c>
      <x:c r="U75" s="44" t="n">
        <x:f>IF(OR($J75="",$K75=""),"",IF(SUMIFS(Calendar!$C$16:$C$134,Calendar!$A$16:$A$134,"&gt;="&amp;MAX(U$7,$J75),Calendar!$A$16:$A$134,"&lt;="&amp;MIN(U$7+4,$K75))=0,0,IF($H75="","EXT",SUMIFS(Calendar!$C$16:$C$134,Calendar!$A$16:$A$134,"&gt;="&amp;MAX(U$7,$J75),Calendar!$A$16:$A$134,"&lt;="&amp;MIN(U$7+4,$K75))*$H75/$G75)))</x:f>
        <x:v>4</x:v>
      </x:c>
      <x:c r="V75" s="44" t="n">
        <x:f>IF(OR($J75="",$K75=""),"",IF(SUMIFS(Calendar!$C$16:$C$134,Calendar!$A$16:$A$134,"&gt;="&amp;MAX(V$7,$J75),Calendar!$A$16:$A$134,"&lt;="&amp;MIN(V$7+4,$K75))=0,0,IF($H75="","EXT",SUMIFS(Calendar!$C$16:$C$134,Calendar!$A$16:$A$134,"&gt;="&amp;MAX(V$7,$J75),Calendar!$A$16:$A$134,"&lt;="&amp;MIN(V$7+4,$K75))*$H75/$G75)))</x:f>
        <x:v>4</x:v>
      </x:c>
      <x:c r="W75" s="44" t="n">
        <x:f>IF(OR($J75="",$K75=""),"",IF(SUMIFS(Calendar!$C$16:$C$134,Calendar!$A$16:$A$134,"&gt;="&amp;MAX(W$7,$J75),Calendar!$A$16:$A$134,"&lt;="&amp;MIN(W$7+4,$K75))=0,0,IF($H75="","EXT",SUMIFS(Calendar!$C$16:$C$134,Calendar!$A$16:$A$134,"&gt;="&amp;MAX(W$7,$J75),Calendar!$A$16:$A$134,"&lt;="&amp;MIN(W$7+4,$K75))*$H75/$G75)))</x:f>
        <x:v>0</x:v>
      </x:c>
      <x:c r="X75" s="44" t="n">
        <x:f>IF(OR($J75="",$K75=""),"",IF(SUMIFS(Calendar!$C$16:$C$134,Calendar!$A$16:$A$134,"&gt;="&amp;MAX(X$7,$J75),Calendar!$A$16:$A$134,"&lt;="&amp;MIN(X$7+4,$K75))=0,0,IF($H75="","EXT",SUMIFS(Calendar!$C$16:$C$134,Calendar!$A$16:$A$134,"&gt;="&amp;MAX(X$7,$J75),Calendar!$A$16:$A$134,"&lt;="&amp;MIN(X$7+4,$K75))*$H75/$G75)))</x:f>
        <x:v>0</x:v>
      </x:c>
      <x:c r="Y75" s="44" t="n">
        <x:f>IF(OR($J75="",$K75=""),"",IF(SUMIFS(Calendar!$C$16:$C$134,Calendar!$A$16:$A$134,"&gt;="&amp;MAX(Y$7,$J75),Calendar!$A$16:$A$134,"&lt;="&amp;MIN(Y$7+4,$K75))=0,0,IF($H75="","EXT",SUMIFS(Calendar!$C$16:$C$134,Calendar!$A$16:$A$134,"&gt;="&amp;MAX(Y$7,$J75),Calendar!$A$16:$A$134,"&lt;="&amp;MIN(Y$7+4,$K75))*$H75/$G75)))</x:f>
        <x:v>0</x:v>
      </x:c>
      <x:c r="Z75" s="44" t="n">
        <x:f>IF(OR($J75="",$K75=""),"",IF(SUMIFS(Calendar!$C$16:$C$134,Calendar!$A$16:$A$134,"&gt;="&amp;MAX(Z$7,$J75),Calendar!$A$16:$A$134,"&lt;="&amp;MIN(Z$7+4,$K75))=0,0,IF($H75="","EXT",SUMIFS(Calendar!$C$16:$C$134,Calendar!$A$16:$A$134,"&gt;="&amp;MAX(Z$7,$J75),Calendar!$A$16:$A$134,"&lt;="&amp;MIN(Z$7+4,$K75))*$H75/$G75)))</x:f>
        <x:v>0</x:v>
      </x:c>
      <x:c r="AA75" s="44" t="n">
        <x:f>IF(OR($J75="",$K75=""),"",IF(SUMIFS(Calendar!$C$16:$C$134,Calendar!$A$16:$A$134,"&gt;="&amp;MAX(AA$7,$J75),Calendar!$A$16:$A$134,"&lt;="&amp;MIN(AA$7+4,$K75))=0,0,IF($H75="","EXT",SUMIFS(Calendar!$C$16:$C$134,Calendar!$A$16:$A$134,"&gt;="&amp;MAX(AA$7,$J75),Calendar!$A$16:$A$134,"&lt;="&amp;MIN(AA$7+4,$K75))*$H75/$G75)))</x:f>
        <x:v>0</x:v>
      </x:c>
      <x:c r="AB75" s="44" t="n">
        <x:f>IF(OR($J75="",$K75=""),"",IF(SUMIFS(Calendar!$C$16:$C$134,Calendar!$A$16:$A$134,"&gt;="&amp;MAX(AB$7,$J75),Calendar!$A$16:$A$134,"&lt;="&amp;MIN(AB$7+4,$K75))=0,0,IF($H75="","EXT",SUMIFS(Calendar!$C$16:$C$134,Calendar!$A$16:$A$134,"&gt;="&amp;MAX(AB$7,$J75),Calendar!$A$16:$A$134,"&lt;="&amp;MIN(AB$7+4,$K75))*$H75/$G75)))</x:f>
        <x:v>0</x:v>
      </x:c>
      <x:c r="AC75" s="44" t="n">
        <x:f>IF(OR($J75="",$K75=""),"",IF(SUMIFS(Calendar!$C$16:$C$134,Calendar!$A$16:$A$134,"&gt;="&amp;MAX(AC$7,$J75),Calendar!$A$16:$A$134,"&lt;="&amp;MIN(AC$7+4,$K75))=0,0,IF($H75="","EXT",SUMIFS(Calendar!$C$16:$C$134,Calendar!$A$16:$A$134,"&gt;="&amp;MAX(AC$7,$J75),Calendar!$A$16:$A$134,"&lt;="&amp;MIN(AC$7+4,$K75))*$H75/$G75)))</x:f>
        <x:v>0</x:v>
      </x:c>
      <x:c r="AD75" s="44" t="n">
        <x:f>IF(OR($J75="",$K75=""),"",IF(SUMIFS(Calendar!$C$16:$C$134,Calendar!$A$16:$A$134,"&gt;="&amp;MAX(AD$7,$J75),Calendar!$A$16:$A$134,"&lt;="&amp;MIN(AD$7+4,$K75))=0,0,IF($H75="","EXT",SUMIFS(Calendar!$C$16:$C$134,Calendar!$A$16:$A$134,"&gt;="&amp;MAX(AD$7,$J75),Calendar!$A$16:$A$134,"&lt;="&amp;MIN(AD$7+4,$K75))*$H75/$G75)))</x:f>
        <x:v>0</x:v>
      </x:c>
      <x:c r="AE75" s="42" t="n">
        <x:f>IF(OR(M75&lt;&gt;"Scheduled",INDEX('Team and Gates'!$C$7:$C$11,MATCH($D75,'Team and Gates'!$A$7:$A$11,0))=""),"CHECK",SUM(N75:AD75)*INDEX('Team and Gates'!$C$7:$C$11,MATCH($D75,'Team and Gates'!$A$7:$A$11,0)))</x:f>
        <x:v>2880</x:v>
      </x:c>
      <x:c r="AF75" s="43" t="str">
        <x:v>AM publishes bounded rules; example emails cannot become current facts.</x:v>
      </x:c>
      <x:c r="AG75" s="43" t="str"/>
    </x:row>
    <x:row r="76" ht="36" customHeight="1">
      <x:c r="A76" s="2" t="str">
        <x:v>U09</x:v>
      </x:c>
      <x:c r="B76" s="2" t="str">
        <x:v>Business QA</x:v>
      </x:c>
      <x:c r="C76" s="2" t="str">
        <x:v>Cross-scenario regression and holdout lock</x:v>
      </x:c>
      <x:c r="D76" s="30" t="str">
        <x:v>Tester 2</x:v>
      </x:c>
      <x:c r="E76" s="2" t="str">
        <x:v>U08, B09:SS</x:v>
      </x:c>
      <x:c r="F76" s="47" t="n">
        <x:v>46</x:v>
      </x:c>
      <x:c r="G76" s="47" t="n">
        <x:v>5</x:v>
      </x:c>
      <x:c r="H76" s="48" t="n">
        <x:v>4</x:v>
      </x:c>
      <x:c r="I76" s="2" t="n">
        <x:f>IF(OR(F76="",G76=""),"",F76+G76-1)</x:f>
        <x:v>50</x:v>
      </x:c>
      <x:c r="J76" s="5" t="n">
        <x:f>IF(OR(F76="",F76&lt;1,F76&gt;Calendar!$B$9),"",INDEX(Calendar!$A$16:$A$134,MATCH(F76,Calendar!$D$16:$D$134,0)))</x:f>
        <x:v>46391</x:v>
      </x:c>
      <x:c r="K76" s="5" t="n">
        <x:f>IF(OR(I76="",I76&lt;1,I76&gt;Calendar!$B$9),"",INDEX(Calendar!$A$16:$A$134,MATCH(I76,Calendar!$D$16:$D$134,0)))</x:f>
        <x:v>46395</x:v>
      </x:c>
      <x:c r="L76" s="50" t="n">
        <x:v>0</x:v>
      </x:c>
      <x:c r="M76" s="2" t="str">
        <x:f>IF(OR(F76="",G76="",H76=""),"Missing input",IF(OR(F76&lt;1,G76&lt;1,I76&gt;Calendar!$B$9),"Outside calendar",IF(F76&lt;MAX(INDEX($I$8:$I$85,MATCH("U08",$A$8:$A$85,0))+1,INDEX($F$8:$F$85,MATCH("B09",$A$8:$A$85,0))),"Dependency conflict","Scheduled")))</x:f>
        <x:v>Scheduled</x:v>
      </x:c>
      <x:c r="N76" s="44" t="n">
        <x:f>IF(OR($J76="",$K76=""),"",IF(SUMIFS(Calendar!$C$16:$C$134,Calendar!$A$16:$A$134,"&gt;="&amp;MAX(N$7,$J76),Calendar!$A$16:$A$134,"&lt;="&amp;MIN(N$7+4,$K76))=0,0,IF($H76="","EXT",SUMIFS(Calendar!$C$16:$C$134,Calendar!$A$16:$A$134,"&gt;="&amp;MAX(N$7,$J76),Calendar!$A$16:$A$134,"&lt;="&amp;MIN(N$7+4,$K76))*$H76/$G76)))</x:f>
        <x:v>0</x:v>
      </x:c>
      <x:c r="O76" s="44" t="n">
        <x:f>IF(OR($J76="",$K76=""),"",IF(SUMIFS(Calendar!$C$16:$C$134,Calendar!$A$16:$A$134,"&gt;="&amp;MAX(O$7,$J76),Calendar!$A$16:$A$134,"&lt;="&amp;MIN(O$7+4,$K76))=0,0,IF($H76="","EXT",SUMIFS(Calendar!$C$16:$C$134,Calendar!$A$16:$A$134,"&gt;="&amp;MAX(O$7,$J76),Calendar!$A$16:$A$134,"&lt;="&amp;MIN(O$7+4,$K76))*$H76/$G76)))</x:f>
        <x:v>0</x:v>
      </x:c>
      <x:c r="P76" s="44" t="n">
        <x:f>IF(OR($J76="",$K76=""),"",IF(SUMIFS(Calendar!$C$16:$C$134,Calendar!$A$16:$A$134,"&gt;="&amp;MAX(P$7,$J76),Calendar!$A$16:$A$134,"&lt;="&amp;MIN(P$7+4,$K76))=0,0,IF($H76="","EXT",SUMIFS(Calendar!$C$16:$C$134,Calendar!$A$16:$A$134,"&gt;="&amp;MAX(P$7,$J76),Calendar!$A$16:$A$134,"&lt;="&amp;MIN(P$7+4,$K76))*$H76/$G76)))</x:f>
        <x:v>0</x:v>
      </x:c>
      <x:c r="Q76" s="44" t="n">
        <x:f>IF(OR($J76="",$K76=""),"",IF(SUMIFS(Calendar!$C$16:$C$134,Calendar!$A$16:$A$134,"&gt;="&amp;MAX(Q$7,$J76),Calendar!$A$16:$A$134,"&lt;="&amp;MIN(Q$7+4,$K76))=0,0,IF($H76="","EXT",SUMIFS(Calendar!$C$16:$C$134,Calendar!$A$16:$A$134,"&gt;="&amp;MAX(Q$7,$J76),Calendar!$A$16:$A$134,"&lt;="&amp;MIN(Q$7+4,$K76))*$H76/$G76)))</x:f>
        <x:v>0</x:v>
      </x:c>
      <x:c r="R76" s="44" t="n">
        <x:f>IF(OR($J76="",$K76=""),"",IF(SUMIFS(Calendar!$C$16:$C$134,Calendar!$A$16:$A$134,"&gt;="&amp;MAX(R$7,$J76),Calendar!$A$16:$A$134,"&lt;="&amp;MIN(R$7+4,$K76))=0,0,IF($H76="","EXT",SUMIFS(Calendar!$C$16:$C$134,Calendar!$A$16:$A$134,"&gt;="&amp;MAX(R$7,$J76),Calendar!$A$16:$A$134,"&lt;="&amp;MIN(R$7+4,$K76))*$H76/$G76)))</x:f>
        <x:v>0</x:v>
      </x:c>
      <x:c r="S76" s="44" t="n">
        <x:f>IF(OR($J76="",$K76=""),"",IF(SUMIFS(Calendar!$C$16:$C$134,Calendar!$A$16:$A$134,"&gt;="&amp;MAX(S$7,$J76),Calendar!$A$16:$A$134,"&lt;="&amp;MIN(S$7+4,$K76))=0,0,IF($H76="","EXT",SUMIFS(Calendar!$C$16:$C$134,Calendar!$A$16:$A$134,"&gt;="&amp;MAX(S$7,$J76),Calendar!$A$16:$A$134,"&lt;="&amp;MIN(S$7+4,$K76))*$H76/$G76)))</x:f>
        <x:v>0</x:v>
      </x:c>
      <x:c r="T76" s="44" t="n">
        <x:f>IF(OR($J76="",$K76=""),"",IF(SUMIFS(Calendar!$C$16:$C$134,Calendar!$A$16:$A$134,"&gt;="&amp;MAX(T$7,$J76),Calendar!$A$16:$A$134,"&lt;="&amp;MIN(T$7+4,$K76))=0,0,IF($H76="","EXT",SUMIFS(Calendar!$C$16:$C$134,Calendar!$A$16:$A$134,"&gt;="&amp;MAX(T$7,$J76),Calendar!$A$16:$A$134,"&lt;="&amp;MIN(T$7+4,$K76))*$H76/$G76)))</x:f>
        <x:v>0</x:v>
      </x:c>
      <x:c r="U76" s="44" t="n">
        <x:f>IF(OR($J76="",$K76=""),"",IF(SUMIFS(Calendar!$C$16:$C$134,Calendar!$A$16:$A$134,"&gt;="&amp;MAX(U$7,$J76),Calendar!$A$16:$A$134,"&lt;="&amp;MIN(U$7+4,$K76))=0,0,IF($H76="","EXT",SUMIFS(Calendar!$C$16:$C$134,Calendar!$A$16:$A$134,"&gt;="&amp;MAX(U$7,$J76),Calendar!$A$16:$A$134,"&lt;="&amp;MIN(U$7+4,$K76))*$H76/$G76)))</x:f>
        <x:v>0</x:v>
      </x:c>
      <x:c r="V76" s="44" t="n">
        <x:f>IF(OR($J76="",$K76=""),"",IF(SUMIFS(Calendar!$C$16:$C$134,Calendar!$A$16:$A$134,"&gt;="&amp;MAX(V$7,$J76),Calendar!$A$16:$A$134,"&lt;="&amp;MIN(V$7+4,$K76))=0,0,IF($H76="","EXT",SUMIFS(Calendar!$C$16:$C$134,Calendar!$A$16:$A$134,"&gt;="&amp;MAX(V$7,$J76),Calendar!$A$16:$A$134,"&lt;="&amp;MIN(V$7+4,$K76))*$H76/$G76)))</x:f>
        <x:v>0</x:v>
      </x:c>
      <x:c r="W76" s="44" t="n">
        <x:f>IF(OR($J76="",$K76=""),"",IF(SUMIFS(Calendar!$C$16:$C$134,Calendar!$A$16:$A$134,"&gt;="&amp;MAX(W$7,$J76),Calendar!$A$16:$A$134,"&lt;="&amp;MIN(W$7+4,$K76))=0,0,IF($H76="","EXT",SUMIFS(Calendar!$C$16:$C$134,Calendar!$A$16:$A$134,"&gt;="&amp;MAX(W$7,$J76),Calendar!$A$16:$A$134,"&lt;="&amp;MIN(W$7+4,$K76))*$H76/$G76)))</x:f>
        <x:v>4</x:v>
      </x:c>
      <x:c r="X76" s="44" t="n">
        <x:f>IF(OR($J76="",$K76=""),"",IF(SUMIFS(Calendar!$C$16:$C$134,Calendar!$A$16:$A$134,"&gt;="&amp;MAX(X$7,$J76),Calendar!$A$16:$A$134,"&lt;="&amp;MIN(X$7+4,$K76))=0,0,IF($H76="","EXT",SUMIFS(Calendar!$C$16:$C$134,Calendar!$A$16:$A$134,"&gt;="&amp;MAX(X$7,$J76),Calendar!$A$16:$A$134,"&lt;="&amp;MIN(X$7+4,$K76))*$H76/$G76)))</x:f>
        <x:v>0</x:v>
      </x:c>
      <x:c r="Y76" s="44" t="n">
        <x:f>IF(OR($J76="",$K76=""),"",IF(SUMIFS(Calendar!$C$16:$C$134,Calendar!$A$16:$A$134,"&gt;="&amp;MAX(Y$7,$J76),Calendar!$A$16:$A$134,"&lt;="&amp;MIN(Y$7+4,$K76))=0,0,IF($H76="","EXT",SUMIFS(Calendar!$C$16:$C$134,Calendar!$A$16:$A$134,"&gt;="&amp;MAX(Y$7,$J76),Calendar!$A$16:$A$134,"&lt;="&amp;MIN(Y$7+4,$K76))*$H76/$G76)))</x:f>
        <x:v>0</x:v>
      </x:c>
      <x:c r="Z76" s="44" t="n">
        <x:f>IF(OR($J76="",$K76=""),"",IF(SUMIFS(Calendar!$C$16:$C$134,Calendar!$A$16:$A$134,"&gt;="&amp;MAX(Z$7,$J76),Calendar!$A$16:$A$134,"&lt;="&amp;MIN(Z$7+4,$K76))=0,0,IF($H76="","EXT",SUMIFS(Calendar!$C$16:$C$134,Calendar!$A$16:$A$134,"&gt;="&amp;MAX(Z$7,$J76),Calendar!$A$16:$A$134,"&lt;="&amp;MIN(Z$7+4,$K76))*$H76/$G76)))</x:f>
        <x:v>0</x:v>
      </x:c>
      <x:c r="AA76" s="44" t="n">
        <x:f>IF(OR($J76="",$K76=""),"",IF(SUMIFS(Calendar!$C$16:$C$134,Calendar!$A$16:$A$134,"&gt;="&amp;MAX(AA$7,$J76),Calendar!$A$16:$A$134,"&lt;="&amp;MIN(AA$7+4,$K76))=0,0,IF($H76="","EXT",SUMIFS(Calendar!$C$16:$C$134,Calendar!$A$16:$A$134,"&gt;="&amp;MAX(AA$7,$J76),Calendar!$A$16:$A$134,"&lt;="&amp;MIN(AA$7+4,$K76))*$H76/$G76)))</x:f>
        <x:v>0</x:v>
      </x:c>
      <x:c r="AB76" s="44" t="n">
        <x:f>IF(OR($J76="",$K76=""),"",IF(SUMIFS(Calendar!$C$16:$C$134,Calendar!$A$16:$A$134,"&gt;="&amp;MAX(AB$7,$J76),Calendar!$A$16:$A$134,"&lt;="&amp;MIN(AB$7+4,$K76))=0,0,IF($H76="","EXT",SUMIFS(Calendar!$C$16:$C$134,Calendar!$A$16:$A$134,"&gt;="&amp;MAX(AB$7,$J76),Calendar!$A$16:$A$134,"&lt;="&amp;MIN(AB$7+4,$K76))*$H76/$G76)))</x:f>
        <x:v>0</x:v>
      </x:c>
      <x:c r="AC76" s="44" t="n">
        <x:f>IF(OR($J76="",$K76=""),"",IF(SUMIFS(Calendar!$C$16:$C$134,Calendar!$A$16:$A$134,"&gt;="&amp;MAX(AC$7,$J76),Calendar!$A$16:$A$134,"&lt;="&amp;MIN(AC$7+4,$K76))=0,0,IF($H76="","EXT",SUMIFS(Calendar!$C$16:$C$134,Calendar!$A$16:$A$134,"&gt;="&amp;MAX(AC$7,$J76),Calendar!$A$16:$A$134,"&lt;="&amp;MIN(AC$7+4,$K76))*$H76/$G76)))</x:f>
        <x:v>0</x:v>
      </x:c>
      <x:c r="AD76" s="44" t="n">
        <x:f>IF(OR($J76="",$K76=""),"",IF(SUMIFS(Calendar!$C$16:$C$134,Calendar!$A$16:$A$134,"&gt;="&amp;MAX(AD$7,$J76),Calendar!$A$16:$A$134,"&lt;="&amp;MIN(AD$7+4,$K76))=0,0,IF($H76="","EXT",SUMIFS(Calendar!$C$16:$C$134,Calendar!$A$16:$A$134,"&gt;="&amp;MAX(AD$7,$J76),Calendar!$A$16:$A$134,"&lt;="&amp;MIN(AD$7+4,$K76))*$H76/$G76)))</x:f>
        <x:v>0</x:v>
      </x:c>
      <x:c r="AE76" s="42" t="n">
        <x:f>IF(OR(M76&lt;&gt;"Scheduled",INDEX('Team and Gates'!$C$7:$C$11,MATCH($D76,'Team and Gates'!$A$7:$A$11,0))=""),"CHECK",SUM(N76:AD76)*INDEX('Team and Gates'!$C$7:$C$11,MATCH($D76,'Team and Gates'!$A$7:$A$11,0)))</x:f>
        <x:v>1440</x:v>
      </x:c>
      <x:c r="AF76" s="43" t="str">
        <x:v>Launch scenarios and unknown/failure cases are covered; holdout inputs are locked.</x:v>
      </x:c>
      <x:c r="AG76" s="43" t="str"/>
    </x:row>
    <x:row r="77" ht="36" customHeight="1">
      <x:c r="A77" s="35" t="str">
        <x:v>U10</x:v>
      </x:c>
      <x:c r="B77" s="35" t="str">
        <x:v>Business QA</x:v>
      </x:c>
      <x:c r="C77" s="35" t="str">
        <x:v>Independent holdout evaluation of frozen candidate</x:v>
      </x:c>
      <x:c r="D77" s="30" t="str">
        <x:v>Tester 2</x:v>
      </x:c>
      <x:c r="E77" s="35" t="str">
        <x:v>U09, S09</x:v>
      </x:c>
      <x:c r="F77" s="47" t="n">
        <x:v>51</x:v>
      </x:c>
      <x:c r="G77" s="47" t="n">
        <x:v>5</x:v>
      </x:c>
      <x:c r="H77" s="48" t="n">
        <x:v>4</x:v>
      </x:c>
      <x:c r="I77" s="35" t="n">
        <x:f>IF(OR(F77="",G77=""),"",F77+G77-1)</x:f>
        <x:v>55</x:v>
      </x:c>
      <x:c r="J77" s="37" t="n">
        <x:f>IF(OR(F77="",F77&lt;1,F77&gt;Calendar!$B$9),"",INDEX(Calendar!$A$16:$A$134,MATCH(F77,Calendar!$D$16:$D$134,0)))</x:f>
        <x:v>46398</x:v>
      </x:c>
      <x:c r="K77" s="37" t="n">
        <x:f>IF(OR(I77="",I77&lt;1,I77&gt;Calendar!$B$9),"",INDEX(Calendar!$A$16:$A$134,MATCH(I77,Calendar!$D$16:$D$134,0)))</x:f>
        <x:v>46402</x:v>
      </x:c>
      <x:c r="L77" s="50" t="n">
        <x:v>0</x:v>
      </x:c>
      <x:c r="M77" s="35" t="str">
        <x:f>IF(OR(F77="",G77="",H77=""),"Missing input",IF(OR(F77&lt;1,G77&lt;1,I77&gt;Calendar!$B$9),"Outside calendar",IF(F77&lt;MAX(INDEX($I$8:$I$85,MATCH("U09",$A$8:$A$85,0))+1,INDEX($I$8:$I$85,MATCH("S09",$A$8:$A$85,0))+1),"Dependency conflict","Scheduled")))</x:f>
        <x:v>Scheduled</x:v>
      </x:c>
      <x:c r="N77" s="44" t="n">
        <x:f>IF(OR($J77="",$K77=""),"",IF(SUMIFS(Calendar!$C$16:$C$134,Calendar!$A$16:$A$134,"&gt;="&amp;MAX(N$7,$J77),Calendar!$A$16:$A$134,"&lt;="&amp;MIN(N$7+4,$K77))=0,0,IF($H77="","EXT",SUMIFS(Calendar!$C$16:$C$134,Calendar!$A$16:$A$134,"&gt;="&amp;MAX(N$7,$J77),Calendar!$A$16:$A$134,"&lt;="&amp;MIN(N$7+4,$K77))*$H77/$G77)))</x:f>
        <x:v>0</x:v>
      </x:c>
      <x:c r="O77" s="44" t="n">
        <x:f>IF(OR($J77="",$K77=""),"",IF(SUMIFS(Calendar!$C$16:$C$134,Calendar!$A$16:$A$134,"&gt;="&amp;MAX(O$7,$J77),Calendar!$A$16:$A$134,"&lt;="&amp;MIN(O$7+4,$K77))=0,0,IF($H77="","EXT",SUMIFS(Calendar!$C$16:$C$134,Calendar!$A$16:$A$134,"&gt;="&amp;MAX(O$7,$J77),Calendar!$A$16:$A$134,"&lt;="&amp;MIN(O$7+4,$K77))*$H77/$G77)))</x:f>
        <x:v>0</x:v>
      </x:c>
      <x:c r="P77" s="44" t="n">
        <x:f>IF(OR($J77="",$K77=""),"",IF(SUMIFS(Calendar!$C$16:$C$134,Calendar!$A$16:$A$134,"&gt;="&amp;MAX(P$7,$J77),Calendar!$A$16:$A$134,"&lt;="&amp;MIN(P$7+4,$K77))=0,0,IF($H77="","EXT",SUMIFS(Calendar!$C$16:$C$134,Calendar!$A$16:$A$134,"&gt;="&amp;MAX(P$7,$J77),Calendar!$A$16:$A$134,"&lt;="&amp;MIN(P$7+4,$K77))*$H77/$G77)))</x:f>
        <x:v>0</x:v>
      </x:c>
      <x:c r="Q77" s="44" t="n">
        <x:f>IF(OR($J77="",$K77=""),"",IF(SUMIFS(Calendar!$C$16:$C$134,Calendar!$A$16:$A$134,"&gt;="&amp;MAX(Q$7,$J77),Calendar!$A$16:$A$134,"&lt;="&amp;MIN(Q$7+4,$K77))=0,0,IF($H77="","EXT",SUMIFS(Calendar!$C$16:$C$134,Calendar!$A$16:$A$134,"&gt;="&amp;MAX(Q$7,$J77),Calendar!$A$16:$A$134,"&lt;="&amp;MIN(Q$7+4,$K77))*$H77/$G77)))</x:f>
        <x:v>0</x:v>
      </x:c>
      <x:c r="R77" s="44" t="n">
        <x:f>IF(OR($J77="",$K77=""),"",IF(SUMIFS(Calendar!$C$16:$C$134,Calendar!$A$16:$A$134,"&gt;="&amp;MAX(R$7,$J77),Calendar!$A$16:$A$134,"&lt;="&amp;MIN(R$7+4,$K77))=0,0,IF($H77="","EXT",SUMIFS(Calendar!$C$16:$C$134,Calendar!$A$16:$A$134,"&gt;="&amp;MAX(R$7,$J77),Calendar!$A$16:$A$134,"&lt;="&amp;MIN(R$7+4,$K77))*$H77/$G77)))</x:f>
        <x:v>0</x:v>
      </x:c>
      <x:c r="S77" s="44" t="n">
        <x:f>IF(OR($J77="",$K77=""),"",IF(SUMIFS(Calendar!$C$16:$C$134,Calendar!$A$16:$A$134,"&gt;="&amp;MAX(S$7,$J77),Calendar!$A$16:$A$134,"&lt;="&amp;MIN(S$7+4,$K77))=0,0,IF($H77="","EXT",SUMIFS(Calendar!$C$16:$C$134,Calendar!$A$16:$A$134,"&gt;="&amp;MAX(S$7,$J77),Calendar!$A$16:$A$134,"&lt;="&amp;MIN(S$7+4,$K77))*$H77/$G77)))</x:f>
        <x:v>0</x:v>
      </x:c>
      <x:c r="T77" s="44" t="n">
        <x:f>IF(OR($J77="",$K77=""),"",IF(SUMIFS(Calendar!$C$16:$C$134,Calendar!$A$16:$A$134,"&gt;="&amp;MAX(T$7,$J77),Calendar!$A$16:$A$134,"&lt;="&amp;MIN(T$7+4,$K77))=0,0,IF($H77="","EXT",SUMIFS(Calendar!$C$16:$C$134,Calendar!$A$16:$A$134,"&gt;="&amp;MAX(T$7,$J77),Calendar!$A$16:$A$134,"&lt;="&amp;MIN(T$7+4,$K77))*$H77/$G77)))</x:f>
        <x:v>0</x:v>
      </x:c>
      <x:c r="U77" s="44" t="n">
        <x:f>IF(OR($J77="",$K77=""),"",IF(SUMIFS(Calendar!$C$16:$C$134,Calendar!$A$16:$A$134,"&gt;="&amp;MAX(U$7,$J77),Calendar!$A$16:$A$134,"&lt;="&amp;MIN(U$7+4,$K77))=0,0,IF($H77="","EXT",SUMIFS(Calendar!$C$16:$C$134,Calendar!$A$16:$A$134,"&gt;="&amp;MAX(U$7,$J77),Calendar!$A$16:$A$134,"&lt;="&amp;MIN(U$7+4,$K77))*$H77/$G77)))</x:f>
        <x:v>0</x:v>
      </x:c>
      <x:c r="V77" s="44" t="n">
        <x:f>IF(OR($J77="",$K77=""),"",IF(SUMIFS(Calendar!$C$16:$C$134,Calendar!$A$16:$A$134,"&gt;="&amp;MAX(V$7,$J77),Calendar!$A$16:$A$134,"&lt;="&amp;MIN(V$7+4,$K77))=0,0,IF($H77="","EXT",SUMIFS(Calendar!$C$16:$C$134,Calendar!$A$16:$A$134,"&gt;="&amp;MAX(V$7,$J77),Calendar!$A$16:$A$134,"&lt;="&amp;MIN(V$7+4,$K77))*$H77/$G77)))</x:f>
        <x:v>0</x:v>
      </x:c>
      <x:c r="W77" s="44" t="n">
        <x:f>IF(OR($J77="",$K77=""),"",IF(SUMIFS(Calendar!$C$16:$C$134,Calendar!$A$16:$A$134,"&gt;="&amp;MAX(W$7,$J77),Calendar!$A$16:$A$134,"&lt;="&amp;MIN(W$7+4,$K77))=0,0,IF($H77="","EXT",SUMIFS(Calendar!$C$16:$C$134,Calendar!$A$16:$A$134,"&gt;="&amp;MAX(W$7,$J77),Calendar!$A$16:$A$134,"&lt;="&amp;MIN(W$7+4,$K77))*$H77/$G77)))</x:f>
        <x:v>0</x:v>
      </x:c>
      <x:c r="X77" s="44" t="n">
        <x:f>IF(OR($J77="",$K77=""),"",IF(SUMIFS(Calendar!$C$16:$C$134,Calendar!$A$16:$A$134,"&gt;="&amp;MAX(X$7,$J77),Calendar!$A$16:$A$134,"&lt;="&amp;MIN(X$7+4,$K77))=0,0,IF($H77="","EXT",SUMIFS(Calendar!$C$16:$C$134,Calendar!$A$16:$A$134,"&gt;="&amp;MAX(X$7,$J77),Calendar!$A$16:$A$134,"&lt;="&amp;MIN(X$7+4,$K77))*$H77/$G77)))</x:f>
        <x:v>4</x:v>
      </x:c>
      <x:c r="Y77" s="44" t="n">
        <x:f>IF(OR($J77="",$K77=""),"",IF(SUMIFS(Calendar!$C$16:$C$134,Calendar!$A$16:$A$134,"&gt;="&amp;MAX(Y$7,$J77),Calendar!$A$16:$A$134,"&lt;="&amp;MIN(Y$7+4,$K77))=0,0,IF($H77="","EXT",SUMIFS(Calendar!$C$16:$C$134,Calendar!$A$16:$A$134,"&gt;="&amp;MAX(Y$7,$J77),Calendar!$A$16:$A$134,"&lt;="&amp;MIN(Y$7+4,$K77))*$H77/$G77)))</x:f>
        <x:v>0</x:v>
      </x:c>
      <x:c r="Z77" s="44" t="n">
        <x:f>IF(OR($J77="",$K77=""),"",IF(SUMIFS(Calendar!$C$16:$C$134,Calendar!$A$16:$A$134,"&gt;="&amp;MAX(Z$7,$J77),Calendar!$A$16:$A$134,"&lt;="&amp;MIN(Z$7+4,$K77))=0,0,IF($H77="","EXT",SUMIFS(Calendar!$C$16:$C$134,Calendar!$A$16:$A$134,"&gt;="&amp;MAX(Z$7,$J77),Calendar!$A$16:$A$134,"&lt;="&amp;MIN(Z$7+4,$K77))*$H77/$G77)))</x:f>
        <x:v>0</x:v>
      </x:c>
      <x:c r="AA77" s="44" t="n">
        <x:f>IF(OR($J77="",$K77=""),"",IF(SUMIFS(Calendar!$C$16:$C$134,Calendar!$A$16:$A$134,"&gt;="&amp;MAX(AA$7,$J77),Calendar!$A$16:$A$134,"&lt;="&amp;MIN(AA$7+4,$K77))=0,0,IF($H77="","EXT",SUMIFS(Calendar!$C$16:$C$134,Calendar!$A$16:$A$134,"&gt;="&amp;MAX(AA$7,$J77),Calendar!$A$16:$A$134,"&lt;="&amp;MIN(AA$7+4,$K77))*$H77/$G77)))</x:f>
        <x:v>0</x:v>
      </x:c>
      <x:c r="AB77" s="44" t="n">
        <x:f>IF(OR($J77="",$K77=""),"",IF(SUMIFS(Calendar!$C$16:$C$134,Calendar!$A$16:$A$134,"&gt;="&amp;MAX(AB$7,$J77),Calendar!$A$16:$A$134,"&lt;="&amp;MIN(AB$7+4,$K77))=0,0,IF($H77="","EXT",SUMIFS(Calendar!$C$16:$C$134,Calendar!$A$16:$A$134,"&gt;="&amp;MAX(AB$7,$J77),Calendar!$A$16:$A$134,"&lt;="&amp;MIN(AB$7+4,$K77))*$H77/$G77)))</x:f>
        <x:v>0</x:v>
      </x:c>
      <x:c r="AC77" s="44" t="n">
        <x:f>IF(OR($J77="",$K77=""),"",IF(SUMIFS(Calendar!$C$16:$C$134,Calendar!$A$16:$A$134,"&gt;="&amp;MAX(AC$7,$J77),Calendar!$A$16:$A$134,"&lt;="&amp;MIN(AC$7+4,$K77))=0,0,IF($H77="","EXT",SUMIFS(Calendar!$C$16:$C$134,Calendar!$A$16:$A$134,"&gt;="&amp;MAX(AC$7,$J77),Calendar!$A$16:$A$134,"&lt;="&amp;MIN(AC$7+4,$K77))*$H77/$G77)))</x:f>
        <x:v>0</x:v>
      </x:c>
      <x:c r="AD77" s="44" t="n">
        <x:f>IF(OR($J77="",$K77=""),"",IF(SUMIFS(Calendar!$C$16:$C$134,Calendar!$A$16:$A$134,"&gt;="&amp;MAX(AD$7,$J77),Calendar!$A$16:$A$134,"&lt;="&amp;MIN(AD$7+4,$K77))=0,0,IF($H77="","EXT",SUMIFS(Calendar!$C$16:$C$134,Calendar!$A$16:$A$134,"&gt;="&amp;MAX(AD$7,$J77),Calendar!$A$16:$A$134,"&lt;="&amp;MIN(AD$7+4,$K77))*$H77/$G77)))</x:f>
        <x:v>0</x:v>
      </x:c>
      <x:c r="AE77" s="42" t="n">
        <x:f>IF(OR(M77&lt;&gt;"Scheduled",INDEX('Team and Gates'!$C$7:$C$11,MATCH($D77,'Team and Gates'!$A$7:$A$11,0))=""),"CHECK",SUM(N77:AD77)*INDEX('Team and Gates'!$C$7:$C$11,MATCH($D77,'Team and Gates'!$A$7:$A$11,0)))</x:f>
        <x:v>1440</x:v>
      </x:c>
      <x:c r="AF77" s="43" t="str">
        <x:v>Use predefined rubric and report sample sizes, quality metrics and failure classes.</x:v>
      </x:c>
      <x:c r="AG77" s="43" t="str"/>
    </x:row>
    <x:row r="78" ht="36" customHeight="1">
      <x:c r="A78" s="2" t="str">
        <x:v>U11</x:v>
      </x:c>
      <x:c r="B78" s="2" t="str">
        <x:v>Business QA</x:v>
      </x:c>
      <x:c r="C78" s="2" t="str">
        <x:v>Pilot AM UAT and training</x:v>
      </x:c>
      <x:c r="D78" s="30" t="str">
        <x:v>Tester 2</x:v>
      </x:c>
      <x:c r="E78" s="2" t="str">
        <x:v>U10, B10</x:v>
      </x:c>
      <x:c r="F78" s="47" t="n">
        <x:v>56</x:v>
      </x:c>
      <x:c r="G78" s="47" t="n">
        <x:v>5</x:v>
      </x:c>
      <x:c r="H78" s="48" t="n">
        <x:v>4</x:v>
      </x:c>
      <x:c r="I78" s="2" t="n">
        <x:f>IF(OR(F78="",G78=""),"",F78+G78-1)</x:f>
        <x:v>60</x:v>
      </x:c>
      <x:c r="J78" s="5" t="n">
        <x:f>IF(OR(F78="",F78&lt;1,F78&gt;Calendar!$B$9),"",INDEX(Calendar!$A$16:$A$134,MATCH(F78,Calendar!$D$16:$D$134,0)))</x:f>
        <x:v>46405</x:v>
      </x:c>
      <x:c r="K78" s="5" t="n">
        <x:f>IF(OR(I78="",I78&lt;1,I78&gt;Calendar!$B$9),"",INDEX(Calendar!$A$16:$A$134,MATCH(I78,Calendar!$D$16:$D$134,0)))</x:f>
        <x:v>46409</x:v>
      </x:c>
      <x:c r="L78" s="50" t="n">
        <x:v>0</x:v>
      </x:c>
      <x:c r="M78" s="2" t="str">
        <x:f>IF(OR(F78="",G78="",H78=""),"Missing input",IF(OR(F78&lt;1,G78&lt;1,I78&gt;Calendar!$B$9),"Outside calendar",IF(F78&lt;MAX(INDEX($I$8:$I$85,MATCH("U10",$A$8:$A$85,0))+1,INDEX($I$8:$I$85,MATCH("B10",$A$8:$A$85,0))+1),"Dependency conflict","Scheduled")))</x:f>
        <x:v>Scheduled</x:v>
      </x:c>
      <x:c r="N78" s="44" t="n">
        <x:f>IF(OR($J78="",$K78=""),"",IF(SUMIFS(Calendar!$C$16:$C$134,Calendar!$A$16:$A$134,"&gt;="&amp;MAX(N$7,$J78),Calendar!$A$16:$A$134,"&lt;="&amp;MIN(N$7+4,$K78))=0,0,IF($H78="","EXT",SUMIFS(Calendar!$C$16:$C$134,Calendar!$A$16:$A$134,"&gt;="&amp;MAX(N$7,$J78),Calendar!$A$16:$A$134,"&lt;="&amp;MIN(N$7+4,$K78))*$H78/$G78)))</x:f>
        <x:v>0</x:v>
      </x:c>
      <x:c r="O78" s="44" t="n">
        <x:f>IF(OR($J78="",$K78=""),"",IF(SUMIFS(Calendar!$C$16:$C$134,Calendar!$A$16:$A$134,"&gt;="&amp;MAX(O$7,$J78),Calendar!$A$16:$A$134,"&lt;="&amp;MIN(O$7+4,$K78))=0,0,IF($H78="","EXT",SUMIFS(Calendar!$C$16:$C$134,Calendar!$A$16:$A$134,"&gt;="&amp;MAX(O$7,$J78),Calendar!$A$16:$A$134,"&lt;="&amp;MIN(O$7+4,$K78))*$H78/$G78)))</x:f>
        <x:v>0</x:v>
      </x:c>
      <x:c r="P78" s="44" t="n">
        <x:f>IF(OR($J78="",$K78=""),"",IF(SUMIFS(Calendar!$C$16:$C$134,Calendar!$A$16:$A$134,"&gt;="&amp;MAX(P$7,$J78),Calendar!$A$16:$A$134,"&lt;="&amp;MIN(P$7+4,$K78))=0,0,IF($H78="","EXT",SUMIFS(Calendar!$C$16:$C$134,Calendar!$A$16:$A$134,"&gt;="&amp;MAX(P$7,$J78),Calendar!$A$16:$A$134,"&lt;="&amp;MIN(P$7+4,$K78))*$H78/$G78)))</x:f>
        <x:v>0</x:v>
      </x:c>
      <x:c r="Q78" s="44" t="n">
        <x:f>IF(OR($J78="",$K78=""),"",IF(SUMIFS(Calendar!$C$16:$C$134,Calendar!$A$16:$A$134,"&gt;="&amp;MAX(Q$7,$J78),Calendar!$A$16:$A$134,"&lt;="&amp;MIN(Q$7+4,$K78))=0,0,IF($H78="","EXT",SUMIFS(Calendar!$C$16:$C$134,Calendar!$A$16:$A$134,"&gt;="&amp;MAX(Q$7,$J78),Calendar!$A$16:$A$134,"&lt;="&amp;MIN(Q$7+4,$K78))*$H78/$G78)))</x:f>
        <x:v>0</x:v>
      </x:c>
      <x:c r="R78" s="44" t="n">
        <x:f>IF(OR($J78="",$K78=""),"",IF(SUMIFS(Calendar!$C$16:$C$134,Calendar!$A$16:$A$134,"&gt;="&amp;MAX(R$7,$J78),Calendar!$A$16:$A$134,"&lt;="&amp;MIN(R$7+4,$K78))=0,0,IF($H78="","EXT",SUMIFS(Calendar!$C$16:$C$134,Calendar!$A$16:$A$134,"&gt;="&amp;MAX(R$7,$J78),Calendar!$A$16:$A$134,"&lt;="&amp;MIN(R$7+4,$K78))*$H78/$G78)))</x:f>
        <x:v>0</x:v>
      </x:c>
      <x:c r="S78" s="44" t="n">
        <x:f>IF(OR($J78="",$K78=""),"",IF(SUMIFS(Calendar!$C$16:$C$134,Calendar!$A$16:$A$134,"&gt;="&amp;MAX(S$7,$J78),Calendar!$A$16:$A$134,"&lt;="&amp;MIN(S$7+4,$K78))=0,0,IF($H78="","EXT",SUMIFS(Calendar!$C$16:$C$134,Calendar!$A$16:$A$134,"&gt;="&amp;MAX(S$7,$J78),Calendar!$A$16:$A$134,"&lt;="&amp;MIN(S$7+4,$K78))*$H78/$G78)))</x:f>
        <x:v>0</x:v>
      </x:c>
      <x:c r="T78" s="44" t="n">
        <x:f>IF(OR($J78="",$K78=""),"",IF(SUMIFS(Calendar!$C$16:$C$134,Calendar!$A$16:$A$134,"&gt;="&amp;MAX(T$7,$J78),Calendar!$A$16:$A$134,"&lt;="&amp;MIN(T$7+4,$K78))=0,0,IF($H78="","EXT",SUMIFS(Calendar!$C$16:$C$134,Calendar!$A$16:$A$134,"&gt;="&amp;MAX(T$7,$J78),Calendar!$A$16:$A$134,"&lt;="&amp;MIN(T$7+4,$K78))*$H78/$G78)))</x:f>
        <x:v>0</x:v>
      </x:c>
      <x:c r="U78" s="44" t="n">
        <x:f>IF(OR($J78="",$K78=""),"",IF(SUMIFS(Calendar!$C$16:$C$134,Calendar!$A$16:$A$134,"&gt;="&amp;MAX(U$7,$J78),Calendar!$A$16:$A$134,"&lt;="&amp;MIN(U$7+4,$K78))=0,0,IF($H78="","EXT",SUMIFS(Calendar!$C$16:$C$134,Calendar!$A$16:$A$134,"&gt;="&amp;MAX(U$7,$J78),Calendar!$A$16:$A$134,"&lt;="&amp;MIN(U$7+4,$K78))*$H78/$G78)))</x:f>
        <x:v>0</x:v>
      </x:c>
      <x:c r="V78" s="44" t="n">
        <x:f>IF(OR($J78="",$K78=""),"",IF(SUMIFS(Calendar!$C$16:$C$134,Calendar!$A$16:$A$134,"&gt;="&amp;MAX(V$7,$J78),Calendar!$A$16:$A$134,"&lt;="&amp;MIN(V$7+4,$K78))=0,0,IF($H78="","EXT",SUMIFS(Calendar!$C$16:$C$134,Calendar!$A$16:$A$134,"&gt;="&amp;MAX(V$7,$J78),Calendar!$A$16:$A$134,"&lt;="&amp;MIN(V$7+4,$K78))*$H78/$G78)))</x:f>
        <x:v>0</x:v>
      </x:c>
      <x:c r="W78" s="44" t="n">
        <x:f>IF(OR($J78="",$K78=""),"",IF(SUMIFS(Calendar!$C$16:$C$134,Calendar!$A$16:$A$134,"&gt;="&amp;MAX(W$7,$J78),Calendar!$A$16:$A$134,"&lt;="&amp;MIN(W$7+4,$K78))=0,0,IF($H78="","EXT",SUMIFS(Calendar!$C$16:$C$134,Calendar!$A$16:$A$134,"&gt;="&amp;MAX(W$7,$J78),Calendar!$A$16:$A$134,"&lt;="&amp;MIN(W$7+4,$K78))*$H78/$G78)))</x:f>
        <x:v>0</x:v>
      </x:c>
      <x:c r="X78" s="44" t="n">
        <x:f>IF(OR($J78="",$K78=""),"",IF(SUMIFS(Calendar!$C$16:$C$134,Calendar!$A$16:$A$134,"&gt;="&amp;MAX(X$7,$J78),Calendar!$A$16:$A$134,"&lt;="&amp;MIN(X$7+4,$K78))=0,0,IF($H78="","EXT",SUMIFS(Calendar!$C$16:$C$134,Calendar!$A$16:$A$134,"&gt;="&amp;MAX(X$7,$J78),Calendar!$A$16:$A$134,"&lt;="&amp;MIN(X$7+4,$K78))*$H78/$G78)))</x:f>
        <x:v>0</x:v>
      </x:c>
      <x:c r="Y78" s="44" t="n">
        <x:f>IF(OR($J78="",$K78=""),"",IF(SUMIFS(Calendar!$C$16:$C$134,Calendar!$A$16:$A$134,"&gt;="&amp;MAX(Y$7,$J78),Calendar!$A$16:$A$134,"&lt;="&amp;MIN(Y$7+4,$K78))=0,0,IF($H78="","EXT",SUMIFS(Calendar!$C$16:$C$134,Calendar!$A$16:$A$134,"&gt;="&amp;MAX(Y$7,$J78),Calendar!$A$16:$A$134,"&lt;="&amp;MIN(Y$7+4,$K78))*$H78/$G78)))</x:f>
        <x:v>4</x:v>
      </x:c>
      <x:c r="Z78" s="44" t="n">
        <x:f>IF(OR($J78="",$K78=""),"",IF(SUMIFS(Calendar!$C$16:$C$134,Calendar!$A$16:$A$134,"&gt;="&amp;MAX(Z$7,$J78),Calendar!$A$16:$A$134,"&lt;="&amp;MIN(Z$7+4,$K78))=0,0,IF($H78="","EXT",SUMIFS(Calendar!$C$16:$C$134,Calendar!$A$16:$A$134,"&gt;="&amp;MAX(Z$7,$J78),Calendar!$A$16:$A$134,"&lt;="&amp;MIN(Z$7+4,$K78))*$H78/$G78)))</x:f>
        <x:v>0</x:v>
      </x:c>
      <x:c r="AA78" s="44" t="n">
        <x:f>IF(OR($J78="",$K78=""),"",IF(SUMIFS(Calendar!$C$16:$C$134,Calendar!$A$16:$A$134,"&gt;="&amp;MAX(AA$7,$J78),Calendar!$A$16:$A$134,"&lt;="&amp;MIN(AA$7+4,$K78))=0,0,IF($H78="","EXT",SUMIFS(Calendar!$C$16:$C$134,Calendar!$A$16:$A$134,"&gt;="&amp;MAX(AA$7,$J78),Calendar!$A$16:$A$134,"&lt;="&amp;MIN(AA$7+4,$K78))*$H78/$G78)))</x:f>
        <x:v>0</x:v>
      </x:c>
      <x:c r="AB78" s="44" t="n">
        <x:f>IF(OR($J78="",$K78=""),"",IF(SUMIFS(Calendar!$C$16:$C$134,Calendar!$A$16:$A$134,"&gt;="&amp;MAX(AB$7,$J78),Calendar!$A$16:$A$134,"&lt;="&amp;MIN(AB$7+4,$K78))=0,0,IF($H78="","EXT",SUMIFS(Calendar!$C$16:$C$134,Calendar!$A$16:$A$134,"&gt;="&amp;MAX(AB$7,$J78),Calendar!$A$16:$A$134,"&lt;="&amp;MIN(AB$7+4,$K78))*$H78/$G78)))</x:f>
        <x:v>0</x:v>
      </x:c>
      <x:c r="AC78" s="44" t="n">
        <x:f>IF(OR($J78="",$K78=""),"",IF(SUMIFS(Calendar!$C$16:$C$134,Calendar!$A$16:$A$134,"&gt;="&amp;MAX(AC$7,$J78),Calendar!$A$16:$A$134,"&lt;="&amp;MIN(AC$7+4,$K78))=0,0,IF($H78="","EXT",SUMIFS(Calendar!$C$16:$C$134,Calendar!$A$16:$A$134,"&gt;="&amp;MAX(AC$7,$J78),Calendar!$A$16:$A$134,"&lt;="&amp;MIN(AC$7+4,$K78))*$H78/$G78)))</x:f>
        <x:v>0</x:v>
      </x:c>
      <x:c r="AD78" s="44" t="n">
        <x:f>IF(OR($J78="",$K78=""),"",IF(SUMIFS(Calendar!$C$16:$C$134,Calendar!$A$16:$A$134,"&gt;="&amp;MAX(AD$7,$J78),Calendar!$A$16:$A$134,"&lt;="&amp;MIN(AD$7+4,$K78))=0,0,IF($H78="","EXT",SUMIFS(Calendar!$C$16:$C$134,Calendar!$A$16:$A$134,"&gt;="&amp;MAX(AD$7,$J78),Calendar!$A$16:$A$134,"&lt;="&amp;MIN(AD$7+4,$K78))*$H78/$G78)))</x:f>
        <x:v>0</x:v>
      </x:c>
      <x:c r="AE78" s="42" t="n">
        <x:f>IF(OR(M78&lt;&gt;"Scheduled",INDEX('Team and Gates'!$C$7:$C$11,MATCH($D78,'Team and Gates'!$A$7:$A$11,0))=""),"CHECK",SUM(N78:AD78)*INDEX('Team and Gates'!$C$7:$C$11,MATCH($D78,'Team and Gates'!$A$7:$A$11,0)))</x:f>
        <x:v>1440</x:v>
      </x:c>
      <x:c r="AF78" s="43" t="str">
        <x:v>Real AMs execute core stories and record blockers and usability findings.</x:v>
      </x:c>
      <x:c r="AG78" s="43" t="str"/>
    </x:row>
    <x:row r="79" ht="36" customHeight="1">
      <x:c r="A79" s="35" t="str">
        <x:v>U12</x:v>
      </x:c>
      <x:c r="B79" s="35" t="str">
        <x:v>Business QA</x:v>
      </x:c>
      <x:c r="C79" s="35" t="str">
        <x:v>UAT retest and business acceptance</x:v>
      </x:c>
      <x:c r="D79" s="30" t="str">
        <x:v>Tester 2</x:v>
      </x:c>
      <x:c r="E79" s="35" t="str">
        <x:v>U11, B11, S11</x:v>
      </x:c>
      <x:c r="F79" s="47" t="n">
        <x:v>61</x:v>
      </x:c>
      <x:c r="G79" s="47" t="n">
        <x:v>5</x:v>
      </x:c>
      <x:c r="H79" s="48" t="n">
        <x:v>4</x:v>
      </x:c>
      <x:c r="I79" s="35" t="n">
        <x:f>IF(OR(F79="",G79=""),"",F79+G79-1)</x:f>
        <x:v>65</x:v>
      </x:c>
      <x:c r="J79" s="37" t="n">
        <x:f>IF(OR(F79="",F79&lt;1,F79&gt;Calendar!$B$9),"",INDEX(Calendar!$A$16:$A$134,MATCH(F79,Calendar!$D$16:$D$134,0)))</x:f>
        <x:v>46412</x:v>
      </x:c>
      <x:c r="K79" s="37" t="n">
        <x:f>IF(OR(I79="",I79&lt;1,I79&gt;Calendar!$B$9),"",INDEX(Calendar!$A$16:$A$134,MATCH(I79,Calendar!$D$16:$D$134,0)))</x:f>
        <x:v>46416</x:v>
      </x:c>
      <x:c r="L79" s="50" t="n">
        <x:v>0</x:v>
      </x:c>
      <x:c r="M79" s="35" t="str">
        <x:f>IF(OR(F79="",G79="",H79=""),"Missing input",IF(OR(F79&lt;1,G79&lt;1,I79&gt;Calendar!$B$9),"Outside calendar",IF(F79&lt;MAX(INDEX($I$8:$I$85,MATCH("U11",$A$8:$A$85,0))+1,INDEX($I$8:$I$85,MATCH("B11",$A$8:$A$85,0))+1,INDEX($I$8:$I$85,MATCH("S11",$A$8:$A$85,0))+1),"Dependency conflict","Scheduled")))</x:f>
        <x:v>Scheduled</x:v>
      </x:c>
      <x:c r="N79" s="44" t="n">
        <x:f>IF(OR($J79="",$K79=""),"",IF(SUMIFS(Calendar!$C$16:$C$134,Calendar!$A$16:$A$134,"&gt;="&amp;MAX(N$7,$J79),Calendar!$A$16:$A$134,"&lt;="&amp;MIN(N$7+4,$K79))=0,0,IF($H79="","EXT",SUMIFS(Calendar!$C$16:$C$134,Calendar!$A$16:$A$134,"&gt;="&amp;MAX(N$7,$J79),Calendar!$A$16:$A$134,"&lt;="&amp;MIN(N$7+4,$K79))*$H79/$G79)))</x:f>
        <x:v>0</x:v>
      </x:c>
      <x:c r="O79" s="44" t="n">
        <x:f>IF(OR($J79="",$K79=""),"",IF(SUMIFS(Calendar!$C$16:$C$134,Calendar!$A$16:$A$134,"&gt;="&amp;MAX(O$7,$J79),Calendar!$A$16:$A$134,"&lt;="&amp;MIN(O$7+4,$K79))=0,0,IF($H79="","EXT",SUMIFS(Calendar!$C$16:$C$134,Calendar!$A$16:$A$134,"&gt;="&amp;MAX(O$7,$J79),Calendar!$A$16:$A$134,"&lt;="&amp;MIN(O$7+4,$K79))*$H79/$G79)))</x:f>
        <x:v>0</x:v>
      </x:c>
      <x:c r="P79" s="44" t="n">
        <x:f>IF(OR($J79="",$K79=""),"",IF(SUMIFS(Calendar!$C$16:$C$134,Calendar!$A$16:$A$134,"&gt;="&amp;MAX(P$7,$J79),Calendar!$A$16:$A$134,"&lt;="&amp;MIN(P$7+4,$K79))=0,0,IF($H79="","EXT",SUMIFS(Calendar!$C$16:$C$134,Calendar!$A$16:$A$134,"&gt;="&amp;MAX(P$7,$J79),Calendar!$A$16:$A$134,"&lt;="&amp;MIN(P$7+4,$K79))*$H79/$G79)))</x:f>
        <x:v>0</x:v>
      </x:c>
      <x:c r="Q79" s="44" t="n">
        <x:f>IF(OR($J79="",$K79=""),"",IF(SUMIFS(Calendar!$C$16:$C$134,Calendar!$A$16:$A$134,"&gt;="&amp;MAX(Q$7,$J79),Calendar!$A$16:$A$134,"&lt;="&amp;MIN(Q$7+4,$K79))=0,0,IF($H79="","EXT",SUMIFS(Calendar!$C$16:$C$134,Calendar!$A$16:$A$134,"&gt;="&amp;MAX(Q$7,$J79),Calendar!$A$16:$A$134,"&lt;="&amp;MIN(Q$7+4,$K79))*$H79/$G79)))</x:f>
        <x:v>0</x:v>
      </x:c>
      <x:c r="R79" s="44" t="n">
        <x:f>IF(OR($J79="",$K79=""),"",IF(SUMIFS(Calendar!$C$16:$C$134,Calendar!$A$16:$A$134,"&gt;="&amp;MAX(R$7,$J79),Calendar!$A$16:$A$134,"&lt;="&amp;MIN(R$7+4,$K79))=0,0,IF($H79="","EXT",SUMIFS(Calendar!$C$16:$C$134,Calendar!$A$16:$A$134,"&gt;="&amp;MAX(R$7,$J79),Calendar!$A$16:$A$134,"&lt;="&amp;MIN(R$7+4,$K79))*$H79/$G79)))</x:f>
        <x:v>0</x:v>
      </x:c>
      <x:c r="S79" s="44" t="n">
        <x:f>IF(OR($J79="",$K79=""),"",IF(SUMIFS(Calendar!$C$16:$C$134,Calendar!$A$16:$A$134,"&gt;="&amp;MAX(S$7,$J79),Calendar!$A$16:$A$134,"&lt;="&amp;MIN(S$7+4,$K79))=0,0,IF($H79="","EXT",SUMIFS(Calendar!$C$16:$C$134,Calendar!$A$16:$A$134,"&gt;="&amp;MAX(S$7,$J79),Calendar!$A$16:$A$134,"&lt;="&amp;MIN(S$7+4,$K79))*$H79/$G79)))</x:f>
        <x:v>0</x:v>
      </x:c>
      <x:c r="T79" s="44" t="n">
        <x:f>IF(OR($J79="",$K79=""),"",IF(SUMIFS(Calendar!$C$16:$C$134,Calendar!$A$16:$A$134,"&gt;="&amp;MAX(T$7,$J79),Calendar!$A$16:$A$134,"&lt;="&amp;MIN(T$7+4,$K79))=0,0,IF($H79="","EXT",SUMIFS(Calendar!$C$16:$C$134,Calendar!$A$16:$A$134,"&gt;="&amp;MAX(T$7,$J79),Calendar!$A$16:$A$134,"&lt;="&amp;MIN(T$7+4,$K79))*$H79/$G79)))</x:f>
        <x:v>0</x:v>
      </x:c>
      <x:c r="U79" s="44" t="n">
        <x:f>IF(OR($J79="",$K79=""),"",IF(SUMIFS(Calendar!$C$16:$C$134,Calendar!$A$16:$A$134,"&gt;="&amp;MAX(U$7,$J79),Calendar!$A$16:$A$134,"&lt;="&amp;MIN(U$7+4,$K79))=0,0,IF($H79="","EXT",SUMIFS(Calendar!$C$16:$C$134,Calendar!$A$16:$A$134,"&gt;="&amp;MAX(U$7,$J79),Calendar!$A$16:$A$134,"&lt;="&amp;MIN(U$7+4,$K79))*$H79/$G79)))</x:f>
        <x:v>0</x:v>
      </x:c>
      <x:c r="V79" s="44" t="n">
        <x:f>IF(OR($J79="",$K79=""),"",IF(SUMIFS(Calendar!$C$16:$C$134,Calendar!$A$16:$A$134,"&gt;="&amp;MAX(V$7,$J79),Calendar!$A$16:$A$134,"&lt;="&amp;MIN(V$7+4,$K79))=0,0,IF($H79="","EXT",SUMIFS(Calendar!$C$16:$C$134,Calendar!$A$16:$A$134,"&gt;="&amp;MAX(V$7,$J79),Calendar!$A$16:$A$134,"&lt;="&amp;MIN(V$7+4,$K79))*$H79/$G79)))</x:f>
        <x:v>0</x:v>
      </x:c>
      <x:c r="W79" s="44" t="n">
        <x:f>IF(OR($J79="",$K79=""),"",IF(SUMIFS(Calendar!$C$16:$C$134,Calendar!$A$16:$A$134,"&gt;="&amp;MAX(W$7,$J79),Calendar!$A$16:$A$134,"&lt;="&amp;MIN(W$7+4,$K79))=0,0,IF($H79="","EXT",SUMIFS(Calendar!$C$16:$C$134,Calendar!$A$16:$A$134,"&gt;="&amp;MAX(W$7,$J79),Calendar!$A$16:$A$134,"&lt;="&amp;MIN(W$7+4,$K79))*$H79/$G79)))</x:f>
        <x:v>0</x:v>
      </x:c>
      <x:c r="X79" s="44" t="n">
        <x:f>IF(OR($J79="",$K79=""),"",IF(SUMIFS(Calendar!$C$16:$C$134,Calendar!$A$16:$A$134,"&gt;="&amp;MAX(X$7,$J79),Calendar!$A$16:$A$134,"&lt;="&amp;MIN(X$7+4,$K79))=0,0,IF($H79="","EXT",SUMIFS(Calendar!$C$16:$C$134,Calendar!$A$16:$A$134,"&gt;="&amp;MAX(X$7,$J79),Calendar!$A$16:$A$134,"&lt;="&amp;MIN(X$7+4,$K79))*$H79/$G79)))</x:f>
        <x:v>0</x:v>
      </x:c>
      <x:c r="Y79" s="44" t="n">
        <x:f>IF(OR($J79="",$K79=""),"",IF(SUMIFS(Calendar!$C$16:$C$134,Calendar!$A$16:$A$134,"&gt;="&amp;MAX(Y$7,$J79),Calendar!$A$16:$A$134,"&lt;="&amp;MIN(Y$7+4,$K79))=0,0,IF($H79="","EXT",SUMIFS(Calendar!$C$16:$C$134,Calendar!$A$16:$A$134,"&gt;="&amp;MAX(Y$7,$J79),Calendar!$A$16:$A$134,"&lt;="&amp;MIN(Y$7+4,$K79))*$H79/$G79)))</x:f>
        <x:v>0</x:v>
      </x:c>
      <x:c r="Z79" s="44" t="n">
        <x:f>IF(OR($J79="",$K79=""),"",IF(SUMIFS(Calendar!$C$16:$C$134,Calendar!$A$16:$A$134,"&gt;="&amp;MAX(Z$7,$J79),Calendar!$A$16:$A$134,"&lt;="&amp;MIN(Z$7+4,$K79))=0,0,IF($H79="","EXT",SUMIFS(Calendar!$C$16:$C$134,Calendar!$A$16:$A$134,"&gt;="&amp;MAX(Z$7,$J79),Calendar!$A$16:$A$134,"&lt;="&amp;MIN(Z$7+4,$K79))*$H79/$G79)))</x:f>
        <x:v>4</x:v>
      </x:c>
      <x:c r="AA79" s="44" t="n">
        <x:f>IF(OR($J79="",$K79=""),"",IF(SUMIFS(Calendar!$C$16:$C$134,Calendar!$A$16:$A$134,"&gt;="&amp;MAX(AA$7,$J79),Calendar!$A$16:$A$134,"&lt;="&amp;MIN(AA$7+4,$K79))=0,0,IF($H79="","EXT",SUMIFS(Calendar!$C$16:$C$134,Calendar!$A$16:$A$134,"&gt;="&amp;MAX(AA$7,$J79),Calendar!$A$16:$A$134,"&lt;="&amp;MIN(AA$7+4,$K79))*$H79/$G79)))</x:f>
        <x:v>0</x:v>
      </x:c>
      <x:c r="AB79" s="44" t="n">
        <x:f>IF(OR($J79="",$K79=""),"",IF(SUMIFS(Calendar!$C$16:$C$134,Calendar!$A$16:$A$134,"&gt;="&amp;MAX(AB$7,$J79),Calendar!$A$16:$A$134,"&lt;="&amp;MIN(AB$7+4,$K79))=0,0,IF($H79="","EXT",SUMIFS(Calendar!$C$16:$C$134,Calendar!$A$16:$A$134,"&gt;="&amp;MAX(AB$7,$J79),Calendar!$A$16:$A$134,"&lt;="&amp;MIN(AB$7+4,$K79))*$H79/$G79)))</x:f>
        <x:v>0</x:v>
      </x:c>
      <x:c r="AC79" s="44" t="n">
        <x:f>IF(OR($J79="",$K79=""),"",IF(SUMIFS(Calendar!$C$16:$C$134,Calendar!$A$16:$A$134,"&gt;="&amp;MAX(AC$7,$J79),Calendar!$A$16:$A$134,"&lt;="&amp;MIN(AC$7+4,$K79))=0,0,IF($H79="","EXT",SUMIFS(Calendar!$C$16:$C$134,Calendar!$A$16:$A$134,"&gt;="&amp;MAX(AC$7,$J79),Calendar!$A$16:$A$134,"&lt;="&amp;MIN(AC$7+4,$K79))*$H79/$G79)))</x:f>
        <x:v>0</x:v>
      </x:c>
      <x:c r="AD79" s="44" t="n">
        <x:f>IF(OR($J79="",$K79=""),"",IF(SUMIFS(Calendar!$C$16:$C$134,Calendar!$A$16:$A$134,"&gt;="&amp;MAX(AD$7,$J79),Calendar!$A$16:$A$134,"&lt;="&amp;MIN(AD$7+4,$K79))=0,0,IF($H79="","EXT",SUMIFS(Calendar!$C$16:$C$134,Calendar!$A$16:$A$134,"&gt;="&amp;MAX(AD$7,$J79),Calendar!$A$16:$A$134,"&lt;="&amp;MIN(AD$7+4,$K79))*$H79/$G79)))</x:f>
        <x:v>0</x:v>
      </x:c>
      <x:c r="AE79" s="42" t="n">
        <x:f>IF(OR(M79&lt;&gt;"Scheduled",INDEX('Team and Gates'!$C$7:$C$11,MATCH($D79,'Team and Gates'!$A$7:$A$11,0))=""),"CHECK",SUM(N79:AD79)*INDEX('Team and Gates'!$C$7:$C$11,MATCH($D79,'Team and Gates'!$A$7:$A$11,0)))</x:f>
        <x:v>1440</x:v>
      </x:c>
      <x:c r="AF79" s="43" t="str">
        <x:v>Owner accepts scope/model quality; no unresolved critical business defects.</x:v>
      </x:c>
      <x:c r="AG79" s="43" t="str"/>
    </x:row>
    <x:row r="80" ht="36" customHeight="1">
      <x:c r="A80" s="2" t="str">
        <x:v>U13</x:v>
      </x:c>
      <x:c r="B80" s="2" t="str">
        <x:v>Business QA</x:v>
      </x:c>
      <x:c r="C80" s="2" t="str">
        <x:v>Pre-holiday AM sign-off and release freeze</x:v>
      </x:c>
      <x:c r="D80" s="30" t="str">
        <x:v>Tester 2</x:v>
      </x:c>
      <x:c r="E80" s="2" t="str">
        <x:v>U12</x:v>
      </x:c>
      <x:c r="F80" s="47" t="n">
        <x:v>66</x:v>
      </x:c>
      <x:c r="G80" s="47" t="n">
        <x:v>2</x:v>
      </x:c>
      <x:c r="H80" s="48" t="n">
        <x:v>1.5</x:v>
      </x:c>
      <x:c r="I80" s="2" t="n">
        <x:f>IF(OR(F80="",G80=""),"",F80+G80-1)</x:f>
        <x:v>67</x:v>
      </x:c>
      <x:c r="J80" s="5" t="n">
        <x:f>IF(OR(F80="",F80&lt;1,F80&gt;Calendar!$B$9),"",INDEX(Calendar!$A$16:$A$134,MATCH(F80,Calendar!$D$16:$D$134,0)))</x:f>
        <x:v>46419</x:v>
      </x:c>
      <x:c r="K80" s="5" t="n">
        <x:f>IF(OR(I80="",I80&lt;1,I80&gt;Calendar!$B$9),"",INDEX(Calendar!$A$16:$A$134,MATCH(I80,Calendar!$D$16:$D$134,0)))</x:f>
        <x:v>46420</x:v>
      </x:c>
      <x:c r="L80" s="50" t="n">
        <x:v>0</x:v>
      </x:c>
      <x:c r="M80" s="2" t="str">
        <x:f>IF(OR(F80="",G80="",H80=""),"Missing input",IF(OR(F80&lt;1,G80&lt;1,I80&gt;Calendar!$B$9),"Outside calendar",IF(F80&lt;MAX(INDEX($I$8:$I$85,MATCH("U12",$A$8:$A$85,0))+1),"Dependency conflict","Scheduled")))</x:f>
        <x:v>Scheduled</x:v>
      </x:c>
      <x:c r="N80" s="44" t="n">
        <x:f>IF(OR($J80="",$K80=""),"",IF(SUMIFS(Calendar!$C$16:$C$134,Calendar!$A$16:$A$134,"&gt;="&amp;MAX(N$7,$J80),Calendar!$A$16:$A$134,"&lt;="&amp;MIN(N$7+4,$K80))=0,0,IF($H80="","EXT",SUMIFS(Calendar!$C$16:$C$134,Calendar!$A$16:$A$134,"&gt;="&amp;MAX(N$7,$J80),Calendar!$A$16:$A$134,"&lt;="&amp;MIN(N$7+4,$K80))*$H80/$G80)))</x:f>
        <x:v>0</x:v>
      </x:c>
      <x:c r="O80" s="44" t="n">
        <x:f>IF(OR($J80="",$K80=""),"",IF(SUMIFS(Calendar!$C$16:$C$134,Calendar!$A$16:$A$134,"&gt;="&amp;MAX(O$7,$J80),Calendar!$A$16:$A$134,"&lt;="&amp;MIN(O$7+4,$K80))=0,0,IF($H80="","EXT",SUMIFS(Calendar!$C$16:$C$134,Calendar!$A$16:$A$134,"&gt;="&amp;MAX(O$7,$J80),Calendar!$A$16:$A$134,"&lt;="&amp;MIN(O$7+4,$K80))*$H80/$G80)))</x:f>
        <x:v>0</x:v>
      </x:c>
      <x:c r="P80" s="44" t="n">
        <x:f>IF(OR($J80="",$K80=""),"",IF(SUMIFS(Calendar!$C$16:$C$134,Calendar!$A$16:$A$134,"&gt;="&amp;MAX(P$7,$J80),Calendar!$A$16:$A$134,"&lt;="&amp;MIN(P$7+4,$K80))=0,0,IF($H80="","EXT",SUMIFS(Calendar!$C$16:$C$134,Calendar!$A$16:$A$134,"&gt;="&amp;MAX(P$7,$J80),Calendar!$A$16:$A$134,"&lt;="&amp;MIN(P$7+4,$K80))*$H80/$G80)))</x:f>
        <x:v>0</x:v>
      </x:c>
      <x:c r="Q80" s="44" t="n">
        <x:f>IF(OR($J80="",$K80=""),"",IF(SUMIFS(Calendar!$C$16:$C$134,Calendar!$A$16:$A$134,"&gt;="&amp;MAX(Q$7,$J80),Calendar!$A$16:$A$134,"&lt;="&amp;MIN(Q$7+4,$K80))=0,0,IF($H80="","EXT",SUMIFS(Calendar!$C$16:$C$134,Calendar!$A$16:$A$134,"&gt;="&amp;MAX(Q$7,$J80),Calendar!$A$16:$A$134,"&lt;="&amp;MIN(Q$7+4,$K80))*$H80/$G80)))</x:f>
        <x:v>0</x:v>
      </x:c>
      <x:c r="R80" s="44" t="n">
        <x:f>IF(OR($J80="",$K80=""),"",IF(SUMIFS(Calendar!$C$16:$C$134,Calendar!$A$16:$A$134,"&gt;="&amp;MAX(R$7,$J80),Calendar!$A$16:$A$134,"&lt;="&amp;MIN(R$7+4,$K80))=0,0,IF($H80="","EXT",SUMIFS(Calendar!$C$16:$C$134,Calendar!$A$16:$A$134,"&gt;="&amp;MAX(R$7,$J80),Calendar!$A$16:$A$134,"&lt;="&amp;MIN(R$7+4,$K80))*$H80/$G80)))</x:f>
        <x:v>0</x:v>
      </x:c>
      <x:c r="S80" s="44" t="n">
        <x:f>IF(OR($J80="",$K80=""),"",IF(SUMIFS(Calendar!$C$16:$C$134,Calendar!$A$16:$A$134,"&gt;="&amp;MAX(S$7,$J80),Calendar!$A$16:$A$134,"&lt;="&amp;MIN(S$7+4,$K80))=0,0,IF($H80="","EXT",SUMIFS(Calendar!$C$16:$C$134,Calendar!$A$16:$A$134,"&gt;="&amp;MAX(S$7,$J80),Calendar!$A$16:$A$134,"&lt;="&amp;MIN(S$7+4,$K80))*$H80/$G80)))</x:f>
        <x:v>0</x:v>
      </x:c>
      <x:c r="T80" s="44" t="n">
        <x:f>IF(OR($J80="",$K80=""),"",IF(SUMIFS(Calendar!$C$16:$C$134,Calendar!$A$16:$A$134,"&gt;="&amp;MAX(T$7,$J80),Calendar!$A$16:$A$134,"&lt;="&amp;MIN(T$7+4,$K80))=0,0,IF($H80="","EXT",SUMIFS(Calendar!$C$16:$C$134,Calendar!$A$16:$A$134,"&gt;="&amp;MAX(T$7,$J80),Calendar!$A$16:$A$134,"&lt;="&amp;MIN(T$7+4,$K80))*$H80/$G80)))</x:f>
        <x:v>0</x:v>
      </x:c>
      <x:c r="U80" s="44" t="n">
        <x:f>IF(OR($J80="",$K80=""),"",IF(SUMIFS(Calendar!$C$16:$C$134,Calendar!$A$16:$A$134,"&gt;="&amp;MAX(U$7,$J80),Calendar!$A$16:$A$134,"&lt;="&amp;MIN(U$7+4,$K80))=0,0,IF($H80="","EXT",SUMIFS(Calendar!$C$16:$C$134,Calendar!$A$16:$A$134,"&gt;="&amp;MAX(U$7,$J80),Calendar!$A$16:$A$134,"&lt;="&amp;MIN(U$7+4,$K80))*$H80/$G80)))</x:f>
        <x:v>0</x:v>
      </x:c>
      <x:c r="V80" s="44" t="n">
        <x:f>IF(OR($J80="",$K80=""),"",IF(SUMIFS(Calendar!$C$16:$C$134,Calendar!$A$16:$A$134,"&gt;="&amp;MAX(V$7,$J80),Calendar!$A$16:$A$134,"&lt;="&amp;MIN(V$7+4,$K80))=0,0,IF($H80="","EXT",SUMIFS(Calendar!$C$16:$C$134,Calendar!$A$16:$A$134,"&gt;="&amp;MAX(V$7,$J80),Calendar!$A$16:$A$134,"&lt;="&amp;MIN(V$7+4,$K80))*$H80/$G80)))</x:f>
        <x:v>0</x:v>
      </x:c>
      <x:c r="W80" s="44" t="n">
        <x:f>IF(OR($J80="",$K80=""),"",IF(SUMIFS(Calendar!$C$16:$C$134,Calendar!$A$16:$A$134,"&gt;="&amp;MAX(W$7,$J80),Calendar!$A$16:$A$134,"&lt;="&amp;MIN(W$7+4,$K80))=0,0,IF($H80="","EXT",SUMIFS(Calendar!$C$16:$C$134,Calendar!$A$16:$A$134,"&gt;="&amp;MAX(W$7,$J80),Calendar!$A$16:$A$134,"&lt;="&amp;MIN(W$7+4,$K80))*$H80/$G80)))</x:f>
        <x:v>0</x:v>
      </x:c>
      <x:c r="X80" s="44" t="n">
        <x:f>IF(OR($J80="",$K80=""),"",IF(SUMIFS(Calendar!$C$16:$C$134,Calendar!$A$16:$A$134,"&gt;="&amp;MAX(X$7,$J80),Calendar!$A$16:$A$134,"&lt;="&amp;MIN(X$7+4,$K80))=0,0,IF($H80="","EXT",SUMIFS(Calendar!$C$16:$C$134,Calendar!$A$16:$A$134,"&gt;="&amp;MAX(X$7,$J80),Calendar!$A$16:$A$134,"&lt;="&amp;MIN(X$7+4,$K80))*$H80/$G80)))</x:f>
        <x:v>0</x:v>
      </x:c>
      <x:c r="Y80" s="44" t="n">
        <x:f>IF(OR($J80="",$K80=""),"",IF(SUMIFS(Calendar!$C$16:$C$134,Calendar!$A$16:$A$134,"&gt;="&amp;MAX(Y$7,$J80),Calendar!$A$16:$A$134,"&lt;="&amp;MIN(Y$7+4,$K80))=0,0,IF($H80="","EXT",SUMIFS(Calendar!$C$16:$C$134,Calendar!$A$16:$A$134,"&gt;="&amp;MAX(Y$7,$J80),Calendar!$A$16:$A$134,"&lt;="&amp;MIN(Y$7+4,$K80))*$H80/$G80)))</x:f>
        <x:v>0</x:v>
      </x:c>
      <x:c r="Z80" s="44" t="n">
        <x:f>IF(OR($J80="",$K80=""),"",IF(SUMIFS(Calendar!$C$16:$C$134,Calendar!$A$16:$A$134,"&gt;="&amp;MAX(Z$7,$J80),Calendar!$A$16:$A$134,"&lt;="&amp;MIN(Z$7+4,$K80))=0,0,IF($H80="","EXT",SUMIFS(Calendar!$C$16:$C$134,Calendar!$A$16:$A$134,"&gt;="&amp;MAX(Z$7,$J80),Calendar!$A$16:$A$134,"&lt;="&amp;MIN(Z$7+4,$K80))*$H80/$G80)))</x:f>
        <x:v>0</x:v>
      </x:c>
      <x:c r="AA80" s="44" t="n">
        <x:f>IF(OR($J80="",$K80=""),"",IF(SUMIFS(Calendar!$C$16:$C$134,Calendar!$A$16:$A$134,"&gt;="&amp;MAX(AA$7,$J80),Calendar!$A$16:$A$134,"&lt;="&amp;MIN(AA$7+4,$K80))=0,0,IF($H80="","EXT",SUMIFS(Calendar!$C$16:$C$134,Calendar!$A$16:$A$134,"&gt;="&amp;MAX(AA$7,$J80),Calendar!$A$16:$A$134,"&lt;="&amp;MIN(AA$7+4,$K80))*$H80/$G80)))</x:f>
        <x:v>1.5</x:v>
      </x:c>
      <x:c r="AB80" s="44" t="n">
        <x:f>IF(OR($J80="",$K80=""),"",IF(SUMIFS(Calendar!$C$16:$C$134,Calendar!$A$16:$A$134,"&gt;="&amp;MAX(AB$7,$J80),Calendar!$A$16:$A$134,"&lt;="&amp;MIN(AB$7+4,$K80))=0,0,IF($H80="","EXT",SUMIFS(Calendar!$C$16:$C$134,Calendar!$A$16:$A$134,"&gt;="&amp;MAX(AB$7,$J80),Calendar!$A$16:$A$134,"&lt;="&amp;MIN(AB$7+4,$K80))*$H80/$G80)))</x:f>
        <x:v>0</x:v>
      </x:c>
      <x:c r="AC80" s="44" t="n">
        <x:f>IF(OR($J80="",$K80=""),"",IF(SUMIFS(Calendar!$C$16:$C$134,Calendar!$A$16:$A$134,"&gt;="&amp;MAX(AC$7,$J80),Calendar!$A$16:$A$134,"&lt;="&amp;MIN(AC$7+4,$K80))=0,0,IF($H80="","EXT",SUMIFS(Calendar!$C$16:$C$134,Calendar!$A$16:$A$134,"&gt;="&amp;MAX(AC$7,$J80),Calendar!$A$16:$A$134,"&lt;="&amp;MIN(AC$7+4,$K80))*$H80/$G80)))</x:f>
        <x:v>0</x:v>
      </x:c>
      <x:c r="AD80" s="44" t="n">
        <x:f>IF(OR($J80="",$K80=""),"",IF(SUMIFS(Calendar!$C$16:$C$134,Calendar!$A$16:$A$134,"&gt;="&amp;MAX(AD$7,$J80),Calendar!$A$16:$A$134,"&lt;="&amp;MIN(AD$7+4,$K80))=0,0,IF($H80="","EXT",SUMIFS(Calendar!$C$16:$C$134,Calendar!$A$16:$A$134,"&gt;="&amp;MAX(AD$7,$J80),Calendar!$A$16:$A$134,"&lt;="&amp;MIN(AD$7+4,$K80))*$H80/$G80)))</x:f>
        <x:v>0</x:v>
      </x:c>
      <x:c r="AE80" s="42" t="n">
        <x:f>IF(OR(M80&lt;&gt;"Scheduled",INDEX('Team and Gates'!$C$7:$C$11,MATCH($D80,'Team and Gates'!$A$7:$A$11,0))=""),"CHECK",SUM(N80:AD80)*INDEX('Team and Gates'!$C$7:$C$11,MATCH($D80,'Team and Gates'!$A$7:$A$11,0)))</x:f>
        <x:v>540</x:v>
      </x:c>
      <x:c r="AF80" s="43" t="str">
        <x:v>Pilot users, scope, mappings and pending issues are confirmed before leave.</x:v>
      </x:c>
      <x:c r="AG80" s="43" t="str"/>
    </x:row>
    <x:row r="81" ht="36" customHeight="1">
      <x:c r="A81" s="35" t="str">
        <x:v>U14</x:v>
      </x:c>
      <x:c r="B81" s="35" t="str">
        <x:v>Business QA</x:v>
      </x:c>
      <x:c r="C81" s="35" t="str">
        <x:v>Post-holiday business regression and final sign-off</x:v>
      </x:c>
      <x:c r="D81" s="30" t="str">
        <x:v>Tester 2</x:v>
      </x:c>
      <x:c r="E81" s="35" t="str">
        <x:v>U13, B14:SS, S14:SS</x:v>
      </x:c>
      <x:c r="F81" s="47" t="n">
        <x:v>68</x:v>
      </x:c>
      <x:c r="G81" s="47" t="n">
        <x:v>5</x:v>
      </x:c>
      <x:c r="H81" s="48" t="n">
        <x:v>4</x:v>
      </x:c>
      <x:c r="I81" s="35" t="n">
        <x:f>IF(OR(F81="",G81=""),"",F81+G81-1)</x:f>
        <x:v>72</x:v>
      </x:c>
      <x:c r="J81" s="37" t="n">
        <x:f>IF(OR(F81="",F81&lt;1,F81&gt;Calendar!$B$9),"",INDEX(Calendar!$A$16:$A$134,MATCH(F81,Calendar!$D$16:$D$134,0)))</x:f>
        <x:v>46433</x:v>
      </x:c>
      <x:c r="K81" s="37" t="n">
        <x:f>IF(OR(I81="",I81&lt;1,I81&gt;Calendar!$B$9),"",INDEX(Calendar!$A$16:$A$134,MATCH(I81,Calendar!$D$16:$D$134,0)))</x:f>
        <x:v>46437</x:v>
      </x:c>
      <x:c r="L81" s="50" t="n">
        <x:v>0</x:v>
      </x:c>
      <x:c r="M81" s="35" t="str">
        <x:f>IF(OR(F81="",G81="",H81=""),"Missing input",IF(OR(F81&lt;1,G81&lt;1,I81&gt;Calendar!$B$9),"Outside calendar",IF(F81&lt;MAX(INDEX($I$8:$I$85,MATCH("U13",$A$8:$A$85,0))+1,INDEX($F$8:$F$85,MATCH("B14",$A$8:$A$85,0)),INDEX($F$8:$F$85,MATCH("S14",$A$8:$A$85,0))),"Dependency conflict","Scheduled")))</x:f>
        <x:v>Scheduled</x:v>
      </x:c>
      <x:c r="N81" s="44" t="n">
        <x:f>IF(OR($J81="",$K81=""),"",IF(SUMIFS(Calendar!$C$16:$C$134,Calendar!$A$16:$A$134,"&gt;="&amp;MAX(N$7,$J81),Calendar!$A$16:$A$134,"&lt;="&amp;MIN(N$7+4,$K81))=0,0,IF($H81="","EXT",SUMIFS(Calendar!$C$16:$C$134,Calendar!$A$16:$A$134,"&gt;="&amp;MAX(N$7,$J81),Calendar!$A$16:$A$134,"&lt;="&amp;MIN(N$7+4,$K81))*$H81/$G81)))</x:f>
        <x:v>0</x:v>
      </x:c>
      <x:c r="O81" s="44" t="n">
        <x:f>IF(OR($J81="",$K81=""),"",IF(SUMIFS(Calendar!$C$16:$C$134,Calendar!$A$16:$A$134,"&gt;="&amp;MAX(O$7,$J81),Calendar!$A$16:$A$134,"&lt;="&amp;MIN(O$7+4,$K81))=0,0,IF($H81="","EXT",SUMIFS(Calendar!$C$16:$C$134,Calendar!$A$16:$A$134,"&gt;="&amp;MAX(O$7,$J81),Calendar!$A$16:$A$134,"&lt;="&amp;MIN(O$7+4,$K81))*$H81/$G81)))</x:f>
        <x:v>0</x:v>
      </x:c>
      <x:c r="P81" s="44" t="n">
        <x:f>IF(OR($J81="",$K81=""),"",IF(SUMIFS(Calendar!$C$16:$C$134,Calendar!$A$16:$A$134,"&gt;="&amp;MAX(P$7,$J81),Calendar!$A$16:$A$134,"&lt;="&amp;MIN(P$7+4,$K81))=0,0,IF($H81="","EXT",SUMIFS(Calendar!$C$16:$C$134,Calendar!$A$16:$A$134,"&gt;="&amp;MAX(P$7,$J81),Calendar!$A$16:$A$134,"&lt;="&amp;MIN(P$7+4,$K81))*$H81/$G81)))</x:f>
        <x:v>0</x:v>
      </x:c>
      <x:c r="Q81" s="44" t="n">
        <x:f>IF(OR($J81="",$K81=""),"",IF(SUMIFS(Calendar!$C$16:$C$134,Calendar!$A$16:$A$134,"&gt;="&amp;MAX(Q$7,$J81),Calendar!$A$16:$A$134,"&lt;="&amp;MIN(Q$7+4,$K81))=0,0,IF($H81="","EXT",SUMIFS(Calendar!$C$16:$C$134,Calendar!$A$16:$A$134,"&gt;="&amp;MAX(Q$7,$J81),Calendar!$A$16:$A$134,"&lt;="&amp;MIN(Q$7+4,$K81))*$H81/$G81)))</x:f>
        <x:v>0</x:v>
      </x:c>
      <x:c r="R81" s="44" t="n">
        <x:f>IF(OR($J81="",$K81=""),"",IF(SUMIFS(Calendar!$C$16:$C$134,Calendar!$A$16:$A$134,"&gt;="&amp;MAX(R$7,$J81),Calendar!$A$16:$A$134,"&lt;="&amp;MIN(R$7+4,$K81))=0,0,IF($H81="","EXT",SUMIFS(Calendar!$C$16:$C$134,Calendar!$A$16:$A$134,"&gt;="&amp;MAX(R$7,$J81),Calendar!$A$16:$A$134,"&lt;="&amp;MIN(R$7+4,$K81))*$H81/$G81)))</x:f>
        <x:v>0</x:v>
      </x:c>
      <x:c r="S81" s="44" t="n">
        <x:f>IF(OR($J81="",$K81=""),"",IF(SUMIFS(Calendar!$C$16:$C$134,Calendar!$A$16:$A$134,"&gt;="&amp;MAX(S$7,$J81),Calendar!$A$16:$A$134,"&lt;="&amp;MIN(S$7+4,$K81))=0,0,IF($H81="","EXT",SUMIFS(Calendar!$C$16:$C$134,Calendar!$A$16:$A$134,"&gt;="&amp;MAX(S$7,$J81),Calendar!$A$16:$A$134,"&lt;="&amp;MIN(S$7+4,$K81))*$H81/$G81)))</x:f>
        <x:v>0</x:v>
      </x:c>
      <x:c r="T81" s="44" t="n">
        <x:f>IF(OR($J81="",$K81=""),"",IF(SUMIFS(Calendar!$C$16:$C$134,Calendar!$A$16:$A$134,"&gt;="&amp;MAX(T$7,$J81),Calendar!$A$16:$A$134,"&lt;="&amp;MIN(T$7+4,$K81))=0,0,IF($H81="","EXT",SUMIFS(Calendar!$C$16:$C$134,Calendar!$A$16:$A$134,"&gt;="&amp;MAX(T$7,$J81),Calendar!$A$16:$A$134,"&lt;="&amp;MIN(T$7+4,$K81))*$H81/$G81)))</x:f>
        <x:v>0</x:v>
      </x:c>
      <x:c r="U81" s="44" t="n">
        <x:f>IF(OR($J81="",$K81=""),"",IF(SUMIFS(Calendar!$C$16:$C$134,Calendar!$A$16:$A$134,"&gt;="&amp;MAX(U$7,$J81),Calendar!$A$16:$A$134,"&lt;="&amp;MIN(U$7+4,$K81))=0,0,IF($H81="","EXT",SUMIFS(Calendar!$C$16:$C$134,Calendar!$A$16:$A$134,"&gt;="&amp;MAX(U$7,$J81),Calendar!$A$16:$A$134,"&lt;="&amp;MIN(U$7+4,$K81))*$H81/$G81)))</x:f>
        <x:v>0</x:v>
      </x:c>
      <x:c r="V81" s="44" t="n">
        <x:f>IF(OR($J81="",$K81=""),"",IF(SUMIFS(Calendar!$C$16:$C$134,Calendar!$A$16:$A$134,"&gt;="&amp;MAX(V$7,$J81),Calendar!$A$16:$A$134,"&lt;="&amp;MIN(V$7+4,$K81))=0,0,IF($H81="","EXT",SUMIFS(Calendar!$C$16:$C$134,Calendar!$A$16:$A$134,"&gt;="&amp;MAX(V$7,$J81),Calendar!$A$16:$A$134,"&lt;="&amp;MIN(V$7+4,$K81))*$H81/$G81)))</x:f>
        <x:v>0</x:v>
      </x:c>
      <x:c r="W81" s="44" t="n">
        <x:f>IF(OR($J81="",$K81=""),"",IF(SUMIFS(Calendar!$C$16:$C$134,Calendar!$A$16:$A$134,"&gt;="&amp;MAX(W$7,$J81),Calendar!$A$16:$A$134,"&lt;="&amp;MIN(W$7+4,$K81))=0,0,IF($H81="","EXT",SUMIFS(Calendar!$C$16:$C$134,Calendar!$A$16:$A$134,"&gt;="&amp;MAX(W$7,$J81),Calendar!$A$16:$A$134,"&lt;="&amp;MIN(W$7+4,$K81))*$H81/$G81)))</x:f>
        <x:v>0</x:v>
      </x:c>
      <x:c r="X81" s="44" t="n">
        <x:f>IF(OR($J81="",$K81=""),"",IF(SUMIFS(Calendar!$C$16:$C$134,Calendar!$A$16:$A$134,"&gt;="&amp;MAX(X$7,$J81),Calendar!$A$16:$A$134,"&lt;="&amp;MIN(X$7+4,$K81))=0,0,IF($H81="","EXT",SUMIFS(Calendar!$C$16:$C$134,Calendar!$A$16:$A$134,"&gt;="&amp;MAX(X$7,$J81),Calendar!$A$16:$A$134,"&lt;="&amp;MIN(X$7+4,$K81))*$H81/$G81)))</x:f>
        <x:v>0</x:v>
      </x:c>
      <x:c r="Y81" s="44" t="n">
        <x:f>IF(OR($J81="",$K81=""),"",IF(SUMIFS(Calendar!$C$16:$C$134,Calendar!$A$16:$A$134,"&gt;="&amp;MAX(Y$7,$J81),Calendar!$A$16:$A$134,"&lt;="&amp;MIN(Y$7+4,$K81))=0,0,IF($H81="","EXT",SUMIFS(Calendar!$C$16:$C$134,Calendar!$A$16:$A$134,"&gt;="&amp;MAX(Y$7,$J81),Calendar!$A$16:$A$134,"&lt;="&amp;MIN(Y$7+4,$K81))*$H81/$G81)))</x:f>
        <x:v>0</x:v>
      </x:c>
      <x:c r="Z81" s="44" t="n">
        <x:f>IF(OR($J81="",$K81=""),"",IF(SUMIFS(Calendar!$C$16:$C$134,Calendar!$A$16:$A$134,"&gt;="&amp;MAX(Z$7,$J81),Calendar!$A$16:$A$134,"&lt;="&amp;MIN(Z$7+4,$K81))=0,0,IF($H81="","EXT",SUMIFS(Calendar!$C$16:$C$134,Calendar!$A$16:$A$134,"&gt;="&amp;MAX(Z$7,$J81),Calendar!$A$16:$A$134,"&lt;="&amp;MIN(Z$7+4,$K81))*$H81/$G81)))</x:f>
        <x:v>0</x:v>
      </x:c>
      <x:c r="AA81" s="44" t="n">
        <x:f>IF(OR($J81="",$K81=""),"",IF(SUMIFS(Calendar!$C$16:$C$134,Calendar!$A$16:$A$134,"&gt;="&amp;MAX(AA$7,$J81),Calendar!$A$16:$A$134,"&lt;="&amp;MIN(AA$7+4,$K81))=0,0,IF($H81="","EXT",SUMIFS(Calendar!$C$16:$C$134,Calendar!$A$16:$A$134,"&gt;="&amp;MAX(AA$7,$J81),Calendar!$A$16:$A$134,"&lt;="&amp;MIN(AA$7+4,$K81))*$H81/$G81)))</x:f>
        <x:v>0</x:v>
      </x:c>
      <x:c r="AB81" s="44" t="n">
        <x:f>IF(OR($J81="",$K81=""),"",IF(SUMIFS(Calendar!$C$16:$C$134,Calendar!$A$16:$A$134,"&gt;="&amp;MAX(AB$7,$J81),Calendar!$A$16:$A$134,"&lt;="&amp;MIN(AB$7+4,$K81))=0,0,IF($H81="","EXT",SUMIFS(Calendar!$C$16:$C$134,Calendar!$A$16:$A$134,"&gt;="&amp;MAX(AB$7,$J81),Calendar!$A$16:$A$134,"&lt;="&amp;MIN(AB$7+4,$K81))*$H81/$G81)))</x:f>
        <x:v>0</x:v>
      </x:c>
      <x:c r="AC81" s="44" t="n">
        <x:f>IF(OR($J81="",$K81=""),"",IF(SUMIFS(Calendar!$C$16:$C$134,Calendar!$A$16:$A$134,"&gt;="&amp;MAX(AC$7,$J81),Calendar!$A$16:$A$134,"&lt;="&amp;MIN(AC$7+4,$K81))=0,0,IF($H81="","EXT",SUMIFS(Calendar!$C$16:$C$134,Calendar!$A$16:$A$134,"&gt;="&amp;MAX(AC$7,$J81),Calendar!$A$16:$A$134,"&lt;="&amp;MIN(AC$7+4,$K81))*$H81/$G81)))</x:f>
        <x:v>4</x:v>
      </x:c>
      <x:c r="AD81" s="44" t="n">
        <x:f>IF(OR($J81="",$K81=""),"",IF(SUMIFS(Calendar!$C$16:$C$134,Calendar!$A$16:$A$134,"&gt;="&amp;MAX(AD$7,$J81),Calendar!$A$16:$A$134,"&lt;="&amp;MIN(AD$7+4,$K81))=0,0,IF($H81="","EXT",SUMIFS(Calendar!$C$16:$C$134,Calendar!$A$16:$A$134,"&gt;="&amp;MAX(AD$7,$J81),Calendar!$A$16:$A$134,"&lt;="&amp;MIN(AD$7+4,$K81))*$H81/$G81)))</x:f>
        <x:v>0</x:v>
      </x:c>
      <x:c r="AE81" s="42" t="n">
        <x:f>IF(OR(M81&lt;&gt;"Scheduled",INDEX('Team and Gates'!$C$7:$C$11,MATCH($D81,'Team and Gates'!$A$7:$A$11,0))=""),"CHECK",SUM(N81:AD81)*INDEX('Team and Gates'!$C$7:$C$11,MATCH($D81,'Team and Gates'!$A$7:$A$11,0)))</x:f>
        <x:v>1440</x:v>
      </x:c>
      <x:c r="AF81" s="43" t="str">
        <x:v>AM flows, mappings and model-backed outputs are revalidated after the break.</x:v>
      </x:c>
      <x:c r="AG81" s="43" t="str"/>
    </x:row>
    <x:row r="82" ht="36" customHeight="1">
      <x:c r="A82" s="2" t="str">
        <x:v>U15</x:v>
      </x:c>
      <x:c r="B82" s="2" t="str">
        <x:v>Business QA</x:v>
      </x:c>
      <x:c r="C82" s="2" t="str">
        <x:v>Production business checks and handover</x:v>
      </x:c>
      <x:c r="D82" s="30" t="str">
        <x:v>Tester 2</x:v>
      </x:c>
      <x:c r="E82" s="2" t="str">
        <x:v>U14, Q14</x:v>
      </x:c>
      <x:c r="F82" s="47" t="n">
        <x:v>73</x:v>
      </x:c>
      <x:c r="G82" s="47" t="n">
        <x:v>5</x:v>
      </x:c>
      <x:c r="H82" s="48" t="n">
        <x:v>3</x:v>
      </x:c>
      <x:c r="I82" s="2" t="n">
        <x:f>IF(OR(F82="",G82=""),"",F82+G82-1)</x:f>
        <x:v>77</x:v>
      </x:c>
      <x:c r="J82" s="5" t="n">
        <x:f>IF(OR(F82="",F82&lt;1,F82&gt;Calendar!$B$9),"",INDEX(Calendar!$A$16:$A$134,MATCH(F82,Calendar!$D$16:$D$134,0)))</x:f>
        <x:v>46440</x:v>
      </x:c>
      <x:c r="K82" s="5" t="n">
        <x:f>IF(OR(I82="",I82&lt;1,I82&gt;Calendar!$B$9),"",INDEX(Calendar!$A$16:$A$134,MATCH(I82,Calendar!$D$16:$D$134,0)))</x:f>
        <x:v>46444</x:v>
      </x:c>
      <x:c r="L82" s="50" t="n">
        <x:v>0</x:v>
      </x:c>
      <x:c r="M82" s="2" t="str">
        <x:f>IF(OR(F82="",G82="",H82=""),"Missing input",IF(OR(F82&lt;1,G82&lt;1,I82&gt;Calendar!$B$9),"Outside calendar",IF(F82&lt;MAX(INDEX($I$8:$I$85,MATCH("U14",$A$8:$A$85,0))+1,INDEX($I$8:$I$85,MATCH("Q14",$A$8:$A$85,0))+1),"Dependency conflict","Scheduled")))</x:f>
        <x:v>Scheduled</x:v>
      </x:c>
      <x:c r="N82" s="44" t="n">
        <x:f>IF(OR($J82="",$K82=""),"",IF(SUMIFS(Calendar!$C$16:$C$134,Calendar!$A$16:$A$134,"&gt;="&amp;MAX(N$7,$J82),Calendar!$A$16:$A$134,"&lt;="&amp;MIN(N$7+4,$K82))=0,0,IF($H82="","EXT",SUMIFS(Calendar!$C$16:$C$134,Calendar!$A$16:$A$134,"&gt;="&amp;MAX(N$7,$J82),Calendar!$A$16:$A$134,"&lt;="&amp;MIN(N$7+4,$K82))*$H82/$G82)))</x:f>
        <x:v>0</x:v>
      </x:c>
      <x:c r="O82" s="44" t="n">
        <x:f>IF(OR($J82="",$K82=""),"",IF(SUMIFS(Calendar!$C$16:$C$134,Calendar!$A$16:$A$134,"&gt;="&amp;MAX(O$7,$J82),Calendar!$A$16:$A$134,"&lt;="&amp;MIN(O$7+4,$K82))=0,0,IF($H82="","EXT",SUMIFS(Calendar!$C$16:$C$134,Calendar!$A$16:$A$134,"&gt;="&amp;MAX(O$7,$J82),Calendar!$A$16:$A$134,"&lt;="&amp;MIN(O$7+4,$K82))*$H82/$G82)))</x:f>
        <x:v>0</x:v>
      </x:c>
      <x:c r="P82" s="44" t="n">
        <x:f>IF(OR($J82="",$K82=""),"",IF(SUMIFS(Calendar!$C$16:$C$134,Calendar!$A$16:$A$134,"&gt;="&amp;MAX(P$7,$J82),Calendar!$A$16:$A$134,"&lt;="&amp;MIN(P$7+4,$K82))=0,0,IF($H82="","EXT",SUMIFS(Calendar!$C$16:$C$134,Calendar!$A$16:$A$134,"&gt;="&amp;MAX(P$7,$J82),Calendar!$A$16:$A$134,"&lt;="&amp;MIN(P$7+4,$K82))*$H82/$G82)))</x:f>
        <x:v>0</x:v>
      </x:c>
      <x:c r="Q82" s="44" t="n">
        <x:f>IF(OR($J82="",$K82=""),"",IF(SUMIFS(Calendar!$C$16:$C$134,Calendar!$A$16:$A$134,"&gt;="&amp;MAX(Q$7,$J82),Calendar!$A$16:$A$134,"&lt;="&amp;MIN(Q$7+4,$K82))=0,0,IF($H82="","EXT",SUMIFS(Calendar!$C$16:$C$134,Calendar!$A$16:$A$134,"&gt;="&amp;MAX(Q$7,$J82),Calendar!$A$16:$A$134,"&lt;="&amp;MIN(Q$7+4,$K82))*$H82/$G82)))</x:f>
        <x:v>0</x:v>
      </x:c>
      <x:c r="R82" s="44" t="n">
        <x:f>IF(OR($J82="",$K82=""),"",IF(SUMIFS(Calendar!$C$16:$C$134,Calendar!$A$16:$A$134,"&gt;="&amp;MAX(R$7,$J82),Calendar!$A$16:$A$134,"&lt;="&amp;MIN(R$7+4,$K82))=0,0,IF($H82="","EXT",SUMIFS(Calendar!$C$16:$C$134,Calendar!$A$16:$A$134,"&gt;="&amp;MAX(R$7,$J82),Calendar!$A$16:$A$134,"&lt;="&amp;MIN(R$7+4,$K82))*$H82/$G82)))</x:f>
        <x:v>0</x:v>
      </x:c>
      <x:c r="S82" s="44" t="n">
        <x:f>IF(OR($J82="",$K82=""),"",IF(SUMIFS(Calendar!$C$16:$C$134,Calendar!$A$16:$A$134,"&gt;="&amp;MAX(S$7,$J82),Calendar!$A$16:$A$134,"&lt;="&amp;MIN(S$7+4,$K82))=0,0,IF($H82="","EXT",SUMIFS(Calendar!$C$16:$C$134,Calendar!$A$16:$A$134,"&gt;="&amp;MAX(S$7,$J82),Calendar!$A$16:$A$134,"&lt;="&amp;MIN(S$7+4,$K82))*$H82/$G82)))</x:f>
        <x:v>0</x:v>
      </x:c>
      <x:c r="T82" s="44" t="n">
        <x:f>IF(OR($J82="",$K82=""),"",IF(SUMIFS(Calendar!$C$16:$C$134,Calendar!$A$16:$A$134,"&gt;="&amp;MAX(T$7,$J82),Calendar!$A$16:$A$134,"&lt;="&amp;MIN(T$7+4,$K82))=0,0,IF($H82="","EXT",SUMIFS(Calendar!$C$16:$C$134,Calendar!$A$16:$A$134,"&gt;="&amp;MAX(T$7,$J82),Calendar!$A$16:$A$134,"&lt;="&amp;MIN(T$7+4,$K82))*$H82/$G82)))</x:f>
        <x:v>0</x:v>
      </x:c>
      <x:c r="U82" s="44" t="n">
        <x:f>IF(OR($J82="",$K82=""),"",IF(SUMIFS(Calendar!$C$16:$C$134,Calendar!$A$16:$A$134,"&gt;="&amp;MAX(U$7,$J82),Calendar!$A$16:$A$134,"&lt;="&amp;MIN(U$7+4,$K82))=0,0,IF($H82="","EXT",SUMIFS(Calendar!$C$16:$C$134,Calendar!$A$16:$A$134,"&gt;="&amp;MAX(U$7,$J82),Calendar!$A$16:$A$134,"&lt;="&amp;MIN(U$7+4,$K82))*$H82/$G82)))</x:f>
        <x:v>0</x:v>
      </x:c>
      <x:c r="V82" s="44" t="n">
        <x:f>IF(OR($J82="",$K82=""),"",IF(SUMIFS(Calendar!$C$16:$C$134,Calendar!$A$16:$A$134,"&gt;="&amp;MAX(V$7,$J82),Calendar!$A$16:$A$134,"&lt;="&amp;MIN(V$7+4,$K82))=0,0,IF($H82="","EXT",SUMIFS(Calendar!$C$16:$C$134,Calendar!$A$16:$A$134,"&gt;="&amp;MAX(V$7,$J82),Calendar!$A$16:$A$134,"&lt;="&amp;MIN(V$7+4,$K82))*$H82/$G82)))</x:f>
        <x:v>0</x:v>
      </x:c>
      <x:c r="W82" s="44" t="n">
        <x:f>IF(OR($J82="",$K82=""),"",IF(SUMIFS(Calendar!$C$16:$C$134,Calendar!$A$16:$A$134,"&gt;="&amp;MAX(W$7,$J82),Calendar!$A$16:$A$134,"&lt;="&amp;MIN(W$7+4,$K82))=0,0,IF($H82="","EXT",SUMIFS(Calendar!$C$16:$C$134,Calendar!$A$16:$A$134,"&gt;="&amp;MAX(W$7,$J82),Calendar!$A$16:$A$134,"&lt;="&amp;MIN(W$7+4,$K82))*$H82/$G82)))</x:f>
        <x:v>0</x:v>
      </x:c>
      <x:c r="X82" s="44" t="n">
        <x:f>IF(OR($J82="",$K82=""),"",IF(SUMIFS(Calendar!$C$16:$C$134,Calendar!$A$16:$A$134,"&gt;="&amp;MAX(X$7,$J82),Calendar!$A$16:$A$134,"&lt;="&amp;MIN(X$7+4,$K82))=0,0,IF($H82="","EXT",SUMIFS(Calendar!$C$16:$C$134,Calendar!$A$16:$A$134,"&gt;="&amp;MAX(X$7,$J82),Calendar!$A$16:$A$134,"&lt;="&amp;MIN(X$7+4,$K82))*$H82/$G82)))</x:f>
        <x:v>0</x:v>
      </x:c>
      <x:c r="Y82" s="44" t="n">
        <x:f>IF(OR($J82="",$K82=""),"",IF(SUMIFS(Calendar!$C$16:$C$134,Calendar!$A$16:$A$134,"&gt;="&amp;MAX(Y$7,$J82),Calendar!$A$16:$A$134,"&lt;="&amp;MIN(Y$7+4,$K82))=0,0,IF($H82="","EXT",SUMIFS(Calendar!$C$16:$C$134,Calendar!$A$16:$A$134,"&gt;="&amp;MAX(Y$7,$J82),Calendar!$A$16:$A$134,"&lt;="&amp;MIN(Y$7+4,$K82))*$H82/$G82)))</x:f>
        <x:v>0</x:v>
      </x:c>
      <x:c r="Z82" s="44" t="n">
        <x:f>IF(OR($J82="",$K82=""),"",IF(SUMIFS(Calendar!$C$16:$C$134,Calendar!$A$16:$A$134,"&gt;="&amp;MAX(Z$7,$J82),Calendar!$A$16:$A$134,"&lt;="&amp;MIN(Z$7+4,$K82))=0,0,IF($H82="","EXT",SUMIFS(Calendar!$C$16:$C$134,Calendar!$A$16:$A$134,"&gt;="&amp;MAX(Z$7,$J82),Calendar!$A$16:$A$134,"&lt;="&amp;MIN(Z$7+4,$K82))*$H82/$G82)))</x:f>
        <x:v>0</x:v>
      </x:c>
      <x:c r="AA82" s="44" t="n">
        <x:f>IF(OR($J82="",$K82=""),"",IF(SUMIFS(Calendar!$C$16:$C$134,Calendar!$A$16:$A$134,"&gt;="&amp;MAX(AA$7,$J82),Calendar!$A$16:$A$134,"&lt;="&amp;MIN(AA$7+4,$K82))=0,0,IF($H82="","EXT",SUMIFS(Calendar!$C$16:$C$134,Calendar!$A$16:$A$134,"&gt;="&amp;MAX(AA$7,$J82),Calendar!$A$16:$A$134,"&lt;="&amp;MIN(AA$7+4,$K82))*$H82/$G82)))</x:f>
        <x:v>0</x:v>
      </x:c>
      <x:c r="AB82" s="44" t="n">
        <x:f>IF(OR($J82="",$K82=""),"",IF(SUMIFS(Calendar!$C$16:$C$134,Calendar!$A$16:$A$134,"&gt;="&amp;MAX(AB$7,$J82),Calendar!$A$16:$A$134,"&lt;="&amp;MIN(AB$7+4,$K82))=0,0,IF($H82="","EXT",SUMIFS(Calendar!$C$16:$C$134,Calendar!$A$16:$A$134,"&gt;="&amp;MAX(AB$7,$J82),Calendar!$A$16:$A$134,"&lt;="&amp;MIN(AB$7+4,$K82))*$H82/$G82)))</x:f>
        <x:v>0</x:v>
      </x:c>
      <x:c r="AC82" s="44" t="n">
        <x:f>IF(OR($J82="",$K82=""),"",IF(SUMIFS(Calendar!$C$16:$C$134,Calendar!$A$16:$A$134,"&gt;="&amp;MAX(AC$7,$J82),Calendar!$A$16:$A$134,"&lt;="&amp;MIN(AC$7+4,$K82))=0,0,IF($H82="","EXT",SUMIFS(Calendar!$C$16:$C$134,Calendar!$A$16:$A$134,"&gt;="&amp;MAX(AC$7,$J82),Calendar!$A$16:$A$134,"&lt;="&amp;MIN(AC$7+4,$K82))*$H82/$G82)))</x:f>
        <x:v>0</x:v>
      </x:c>
      <x:c r="AD82" s="44" t="n">
        <x:f>IF(OR($J82="",$K82=""),"",IF(SUMIFS(Calendar!$C$16:$C$134,Calendar!$A$16:$A$134,"&gt;="&amp;MAX(AD$7,$J82),Calendar!$A$16:$A$134,"&lt;="&amp;MIN(AD$7+4,$K82))=0,0,IF($H82="","EXT",SUMIFS(Calendar!$C$16:$C$134,Calendar!$A$16:$A$134,"&gt;="&amp;MAX(AD$7,$J82),Calendar!$A$16:$A$134,"&lt;="&amp;MIN(AD$7+4,$K82))*$H82/$G82)))</x:f>
        <x:v>3</x:v>
      </x:c>
      <x:c r="AE82" s="42" t="n">
        <x:f>IF(OR(M82&lt;&gt;"Scheduled",INDEX('Team and Gates'!$C$7:$C$11,MATCH($D82,'Team and Gates'!$A$7:$A$11,0))=""),"CHECK",SUM(N82:AD82)*INDEX('Team and Gates'!$C$7:$C$11,MATCH($D82,'Team and Gates'!$A$7:$A$11,0)))</x:f>
        <x:v>1080</x:v>
      </x:c>
      <x:c r="AF82" s="43" t="str">
        <x:v>Sample initial customer cases, approved sends and owner mappings; hand over support.</x:v>
      </x:c>
      <x:c r="AG82" s="43" t="str"/>
    </x:row>
    <x:row r="83" ht="36" customHeight="1">
      <x:c r="A83" s="35" t="str">
        <x:v>E01</x:v>
      </x:c>
      <x:c r="B83" s="35" t="str">
        <x:v>External dependency</x:v>
      </x:c>
      <x:c r="C83" s="35" t="str">
        <x:v>Test Azure, Okta/Entra, Graph and Foundry approvals</x:v>
      </x:c>
      <x:c r="D83" s="36" t="str">
        <x:v>IT</x:v>
      </x:c>
      <x:c r="E83" s="35" t="str"/>
      <x:c r="F83" s="47" t="n">
        <x:v>1</x:v>
      </x:c>
      <x:c r="G83" s="47" t="n">
        <x:v>5</x:v>
      </x:c>
      <x:c r="H83" s="48"/>
      <x:c r="I83" s="35" t="n">
        <x:f>IF(OR(F83="",G83=""),"",F83+G83-1)</x:f>
        <x:v>5</x:v>
      </x:c>
      <x:c r="J83" s="37" t="n">
        <x:f>IF(OR(F83="",F83&lt;1,F83&gt;Calendar!$B$9),"",INDEX(Calendar!$A$16:$A$134,MATCH(F83,Calendar!$D$16:$D$134,0)))</x:f>
        <x:v>46328</x:v>
      </x:c>
      <x:c r="K83" s="37" t="n">
        <x:f>IF(OR(I83="",I83&lt;1,I83&gt;Calendar!$B$9),"",INDEX(Calendar!$A$16:$A$134,MATCH(I83,Calendar!$D$16:$D$134,0)))</x:f>
        <x:v>46332</x:v>
      </x:c>
      <x:c r="L83" s="50" t="n">
        <x:v>0</x:v>
      </x:c>
      <x:c r="M83" s="35" t="str">
        <x:f>IF(OR(F83="",G83=""),"Missing input",IF(OR(F83&lt;1,G83&lt;1,I83&gt;Calendar!$B$9),"Outside calendar",IF(F83&lt;1,"Dependency conflict","Scheduled")))</x:f>
        <x:v>Scheduled</x:v>
      </x:c>
      <x:c r="N83" s="44" t="str">
        <x:f>IF(OR($J83="",$K83=""),"",IF(SUMIFS(Calendar!$C$16:$C$134,Calendar!$A$16:$A$134,"&gt;="&amp;MAX(N$7,$J83),Calendar!$A$16:$A$134,"&lt;="&amp;MIN(N$7+4,$K83))=0,0,IF($H83="","EXT",SUMIFS(Calendar!$C$16:$C$134,Calendar!$A$16:$A$134,"&gt;="&amp;MAX(N$7,$J83),Calendar!$A$16:$A$134,"&lt;="&amp;MIN(N$7+4,$K83))*$H83/$G83)))</x:f>
        <x:v>EXT</x:v>
      </x:c>
      <x:c r="O83" s="44" t="n">
        <x:f>IF(OR($J83="",$K83=""),"",IF(SUMIFS(Calendar!$C$16:$C$134,Calendar!$A$16:$A$134,"&gt;="&amp;MAX(O$7,$J83),Calendar!$A$16:$A$134,"&lt;="&amp;MIN(O$7+4,$K83))=0,0,IF($H83="","EXT",SUMIFS(Calendar!$C$16:$C$134,Calendar!$A$16:$A$134,"&gt;="&amp;MAX(O$7,$J83),Calendar!$A$16:$A$134,"&lt;="&amp;MIN(O$7+4,$K83))*$H83/$G83)))</x:f>
        <x:v>0</x:v>
      </x:c>
      <x:c r="P83" s="44" t="n">
        <x:f>IF(OR($J83="",$K83=""),"",IF(SUMIFS(Calendar!$C$16:$C$134,Calendar!$A$16:$A$134,"&gt;="&amp;MAX(P$7,$J83),Calendar!$A$16:$A$134,"&lt;="&amp;MIN(P$7+4,$K83))=0,0,IF($H83="","EXT",SUMIFS(Calendar!$C$16:$C$134,Calendar!$A$16:$A$134,"&gt;="&amp;MAX(P$7,$J83),Calendar!$A$16:$A$134,"&lt;="&amp;MIN(P$7+4,$K83))*$H83/$G83)))</x:f>
        <x:v>0</x:v>
      </x:c>
      <x:c r="Q83" s="44" t="n">
        <x:f>IF(OR($J83="",$K83=""),"",IF(SUMIFS(Calendar!$C$16:$C$134,Calendar!$A$16:$A$134,"&gt;="&amp;MAX(Q$7,$J83),Calendar!$A$16:$A$134,"&lt;="&amp;MIN(Q$7+4,$K83))=0,0,IF($H83="","EXT",SUMIFS(Calendar!$C$16:$C$134,Calendar!$A$16:$A$134,"&gt;="&amp;MAX(Q$7,$J83),Calendar!$A$16:$A$134,"&lt;="&amp;MIN(Q$7+4,$K83))*$H83/$G83)))</x:f>
        <x:v>0</x:v>
      </x:c>
      <x:c r="R83" s="44" t="n">
        <x:f>IF(OR($J83="",$K83=""),"",IF(SUMIFS(Calendar!$C$16:$C$134,Calendar!$A$16:$A$134,"&gt;="&amp;MAX(R$7,$J83),Calendar!$A$16:$A$134,"&lt;="&amp;MIN(R$7+4,$K83))=0,0,IF($H83="","EXT",SUMIFS(Calendar!$C$16:$C$134,Calendar!$A$16:$A$134,"&gt;="&amp;MAX(R$7,$J83),Calendar!$A$16:$A$134,"&lt;="&amp;MIN(R$7+4,$K83))*$H83/$G83)))</x:f>
        <x:v>0</x:v>
      </x:c>
      <x:c r="S83" s="44" t="n">
        <x:f>IF(OR($J83="",$K83=""),"",IF(SUMIFS(Calendar!$C$16:$C$134,Calendar!$A$16:$A$134,"&gt;="&amp;MAX(S$7,$J83),Calendar!$A$16:$A$134,"&lt;="&amp;MIN(S$7+4,$K83))=0,0,IF($H83="","EXT",SUMIFS(Calendar!$C$16:$C$134,Calendar!$A$16:$A$134,"&gt;="&amp;MAX(S$7,$J83),Calendar!$A$16:$A$134,"&lt;="&amp;MIN(S$7+4,$K83))*$H83/$G83)))</x:f>
        <x:v>0</x:v>
      </x:c>
      <x:c r="T83" s="44" t="n">
        <x:f>IF(OR($J83="",$K83=""),"",IF(SUMIFS(Calendar!$C$16:$C$134,Calendar!$A$16:$A$134,"&gt;="&amp;MAX(T$7,$J83),Calendar!$A$16:$A$134,"&lt;="&amp;MIN(T$7+4,$K83))=0,0,IF($H83="","EXT",SUMIFS(Calendar!$C$16:$C$134,Calendar!$A$16:$A$134,"&gt;="&amp;MAX(T$7,$J83),Calendar!$A$16:$A$134,"&lt;="&amp;MIN(T$7+4,$K83))*$H83/$G83)))</x:f>
        <x:v>0</x:v>
      </x:c>
      <x:c r="U83" s="44" t="n">
        <x:f>IF(OR($J83="",$K83=""),"",IF(SUMIFS(Calendar!$C$16:$C$134,Calendar!$A$16:$A$134,"&gt;="&amp;MAX(U$7,$J83),Calendar!$A$16:$A$134,"&lt;="&amp;MIN(U$7+4,$K83))=0,0,IF($H83="","EXT",SUMIFS(Calendar!$C$16:$C$134,Calendar!$A$16:$A$134,"&gt;="&amp;MAX(U$7,$J83),Calendar!$A$16:$A$134,"&lt;="&amp;MIN(U$7+4,$K83))*$H83/$G83)))</x:f>
        <x:v>0</x:v>
      </x:c>
      <x:c r="V83" s="44" t="n">
        <x:f>IF(OR($J83="",$K83=""),"",IF(SUMIFS(Calendar!$C$16:$C$134,Calendar!$A$16:$A$134,"&gt;="&amp;MAX(V$7,$J83),Calendar!$A$16:$A$134,"&lt;="&amp;MIN(V$7+4,$K83))=0,0,IF($H83="","EXT",SUMIFS(Calendar!$C$16:$C$134,Calendar!$A$16:$A$134,"&gt;="&amp;MAX(V$7,$J83),Calendar!$A$16:$A$134,"&lt;="&amp;MIN(V$7+4,$K83))*$H83/$G83)))</x:f>
        <x:v>0</x:v>
      </x:c>
      <x:c r="W83" s="44" t="n">
        <x:f>IF(OR($J83="",$K83=""),"",IF(SUMIFS(Calendar!$C$16:$C$134,Calendar!$A$16:$A$134,"&gt;="&amp;MAX(W$7,$J83),Calendar!$A$16:$A$134,"&lt;="&amp;MIN(W$7+4,$K83))=0,0,IF($H83="","EXT",SUMIFS(Calendar!$C$16:$C$134,Calendar!$A$16:$A$134,"&gt;="&amp;MAX(W$7,$J83),Calendar!$A$16:$A$134,"&lt;="&amp;MIN(W$7+4,$K83))*$H83/$G83)))</x:f>
        <x:v>0</x:v>
      </x:c>
      <x:c r="X83" s="44" t="n">
        <x:f>IF(OR($J83="",$K83=""),"",IF(SUMIFS(Calendar!$C$16:$C$134,Calendar!$A$16:$A$134,"&gt;="&amp;MAX(X$7,$J83),Calendar!$A$16:$A$134,"&lt;="&amp;MIN(X$7+4,$K83))=0,0,IF($H83="","EXT",SUMIFS(Calendar!$C$16:$C$134,Calendar!$A$16:$A$134,"&gt;="&amp;MAX(X$7,$J83),Calendar!$A$16:$A$134,"&lt;="&amp;MIN(X$7+4,$K83))*$H83/$G83)))</x:f>
        <x:v>0</x:v>
      </x:c>
      <x:c r="Y83" s="44" t="n">
        <x:f>IF(OR($J83="",$K83=""),"",IF(SUMIFS(Calendar!$C$16:$C$134,Calendar!$A$16:$A$134,"&gt;="&amp;MAX(Y$7,$J83),Calendar!$A$16:$A$134,"&lt;="&amp;MIN(Y$7+4,$K83))=0,0,IF($H83="","EXT",SUMIFS(Calendar!$C$16:$C$134,Calendar!$A$16:$A$134,"&gt;="&amp;MAX(Y$7,$J83),Calendar!$A$16:$A$134,"&lt;="&amp;MIN(Y$7+4,$K83))*$H83/$G83)))</x:f>
        <x:v>0</x:v>
      </x:c>
      <x:c r="Z83" s="44" t="n">
        <x:f>IF(OR($J83="",$K83=""),"",IF(SUMIFS(Calendar!$C$16:$C$134,Calendar!$A$16:$A$134,"&gt;="&amp;MAX(Z$7,$J83),Calendar!$A$16:$A$134,"&lt;="&amp;MIN(Z$7+4,$K83))=0,0,IF($H83="","EXT",SUMIFS(Calendar!$C$16:$C$134,Calendar!$A$16:$A$134,"&gt;="&amp;MAX(Z$7,$J83),Calendar!$A$16:$A$134,"&lt;="&amp;MIN(Z$7+4,$K83))*$H83/$G83)))</x:f>
        <x:v>0</x:v>
      </x:c>
      <x:c r="AA83" s="44" t="n">
        <x:f>IF(OR($J83="",$K83=""),"",IF(SUMIFS(Calendar!$C$16:$C$134,Calendar!$A$16:$A$134,"&gt;="&amp;MAX(AA$7,$J83),Calendar!$A$16:$A$134,"&lt;="&amp;MIN(AA$7+4,$K83))=0,0,IF($H83="","EXT",SUMIFS(Calendar!$C$16:$C$134,Calendar!$A$16:$A$134,"&gt;="&amp;MAX(AA$7,$J83),Calendar!$A$16:$A$134,"&lt;="&amp;MIN(AA$7+4,$K83))*$H83/$G83)))</x:f>
        <x:v>0</x:v>
      </x:c>
      <x:c r="AB83" s="44" t="n">
        <x:f>IF(OR($J83="",$K83=""),"",IF(SUMIFS(Calendar!$C$16:$C$134,Calendar!$A$16:$A$134,"&gt;="&amp;MAX(AB$7,$J83),Calendar!$A$16:$A$134,"&lt;="&amp;MIN(AB$7+4,$K83))=0,0,IF($H83="","EXT",SUMIFS(Calendar!$C$16:$C$134,Calendar!$A$16:$A$134,"&gt;="&amp;MAX(AB$7,$J83),Calendar!$A$16:$A$134,"&lt;="&amp;MIN(AB$7+4,$K83))*$H83/$G83)))</x:f>
        <x:v>0</x:v>
      </x:c>
      <x:c r="AC83" s="44" t="n">
        <x:f>IF(OR($J83="",$K83=""),"",IF(SUMIFS(Calendar!$C$16:$C$134,Calendar!$A$16:$A$134,"&gt;="&amp;MAX(AC$7,$J83),Calendar!$A$16:$A$134,"&lt;="&amp;MIN(AC$7+4,$K83))=0,0,IF($H83="","EXT",SUMIFS(Calendar!$C$16:$C$134,Calendar!$A$16:$A$134,"&gt;="&amp;MAX(AC$7,$J83),Calendar!$A$16:$A$134,"&lt;="&amp;MIN(AC$7+4,$K83))*$H83/$G83)))</x:f>
        <x:v>0</x:v>
      </x:c>
      <x:c r="AD83" s="44" t="n">
        <x:f>IF(OR($J83="",$K83=""),"",IF(SUMIFS(Calendar!$C$16:$C$134,Calendar!$A$16:$A$134,"&gt;="&amp;MAX(AD$7,$J83),Calendar!$A$16:$A$134,"&lt;="&amp;MIN(AD$7+4,$K83))=0,0,IF($H83="","EXT",SUMIFS(Calendar!$C$16:$C$134,Calendar!$A$16:$A$134,"&gt;="&amp;MAX(AD$7,$J83),Calendar!$A$16:$A$134,"&lt;="&amp;MIN(AD$7+4,$K83))*$H83/$G83)))</x:f>
        <x:v>0</x:v>
      </x:c>
      <x:c r="AE83" s="42" t="str">
        <x:f>""</x:f>
      </x:c>
      <x:c r="AF83" s="43" t="str">
        <x:v>Test mailboxes, model deployment/quota and resource access are ready.</x:v>
      </x:c>
      <x:c r="AG83" s="43" t="str">
        <x:v>External effort is not estimated or costed.</x:v>
      </x:c>
    </x:row>
    <x:row r="84" ht="36" customHeight="1">
      <x:c r="A84" s="2" t="str">
        <x:v>E02</x:v>
      </x:c>
      <x:c r="B84" s="2" t="str">
        <x:v>External dependency</x:v>
      </x:c>
      <x:c r="C84" s="2" t="str">
        <x:v>Business scope, data use, send policy and quality targets</x:v>
      </x:c>
      <x:c r="D84" s="36" t="str">
        <x:v>Business Owner</x:v>
      </x:c>
      <x:c r="E84" s="2" t="str"/>
      <x:c r="F84" s="47" t="n">
        <x:v>1</x:v>
      </x:c>
      <x:c r="G84" s="47" t="n">
        <x:v>5</x:v>
      </x:c>
      <x:c r="H84" s="48"/>
      <x:c r="I84" s="2" t="n">
        <x:f>IF(OR(F84="",G84=""),"",F84+G84-1)</x:f>
        <x:v>5</x:v>
      </x:c>
      <x:c r="J84" s="5" t="n">
        <x:f>IF(OR(F84="",F84&lt;1,F84&gt;Calendar!$B$9),"",INDEX(Calendar!$A$16:$A$134,MATCH(F84,Calendar!$D$16:$D$134,0)))</x:f>
        <x:v>46328</x:v>
      </x:c>
      <x:c r="K84" s="5" t="n">
        <x:f>IF(OR(I84="",I84&lt;1,I84&gt;Calendar!$B$9),"",INDEX(Calendar!$A$16:$A$134,MATCH(I84,Calendar!$D$16:$D$134,0)))</x:f>
        <x:v>46332</x:v>
      </x:c>
      <x:c r="L84" s="50" t="n">
        <x:v>0</x:v>
      </x:c>
      <x:c r="M84" s="2" t="str">
        <x:f>IF(OR(F84="",G84=""),"Missing input",IF(OR(F84&lt;1,G84&lt;1,I84&gt;Calendar!$B$9),"Outside calendar",IF(F84&lt;1,"Dependency conflict","Scheduled")))</x:f>
        <x:v>Scheduled</x:v>
      </x:c>
      <x:c r="N84" s="44" t="str">
        <x:f>IF(OR($J84="",$K84=""),"",IF(SUMIFS(Calendar!$C$16:$C$134,Calendar!$A$16:$A$134,"&gt;="&amp;MAX(N$7,$J84),Calendar!$A$16:$A$134,"&lt;="&amp;MIN(N$7+4,$K84))=0,0,IF($H84="","EXT",SUMIFS(Calendar!$C$16:$C$134,Calendar!$A$16:$A$134,"&gt;="&amp;MAX(N$7,$J84),Calendar!$A$16:$A$134,"&lt;="&amp;MIN(N$7+4,$K84))*$H84/$G84)))</x:f>
        <x:v>EXT</x:v>
      </x:c>
      <x:c r="O84" s="44" t="n">
        <x:f>IF(OR($J84="",$K84=""),"",IF(SUMIFS(Calendar!$C$16:$C$134,Calendar!$A$16:$A$134,"&gt;="&amp;MAX(O$7,$J84),Calendar!$A$16:$A$134,"&lt;="&amp;MIN(O$7+4,$K84))=0,0,IF($H84="","EXT",SUMIFS(Calendar!$C$16:$C$134,Calendar!$A$16:$A$134,"&gt;="&amp;MAX(O$7,$J84),Calendar!$A$16:$A$134,"&lt;="&amp;MIN(O$7+4,$K84))*$H84/$G84)))</x:f>
        <x:v>0</x:v>
      </x:c>
      <x:c r="P84" s="44" t="n">
        <x:f>IF(OR($J84="",$K84=""),"",IF(SUMIFS(Calendar!$C$16:$C$134,Calendar!$A$16:$A$134,"&gt;="&amp;MAX(P$7,$J84),Calendar!$A$16:$A$134,"&lt;="&amp;MIN(P$7+4,$K84))=0,0,IF($H84="","EXT",SUMIFS(Calendar!$C$16:$C$134,Calendar!$A$16:$A$134,"&gt;="&amp;MAX(P$7,$J84),Calendar!$A$16:$A$134,"&lt;="&amp;MIN(P$7+4,$K84))*$H84/$G84)))</x:f>
        <x:v>0</x:v>
      </x:c>
      <x:c r="Q84" s="44" t="n">
        <x:f>IF(OR($J84="",$K84=""),"",IF(SUMIFS(Calendar!$C$16:$C$134,Calendar!$A$16:$A$134,"&gt;="&amp;MAX(Q$7,$J84),Calendar!$A$16:$A$134,"&lt;="&amp;MIN(Q$7+4,$K84))=0,0,IF($H84="","EXT",SUMIFS(Calendar!$C$16:$C$134,Calendar!$A$16:$A$134,"&gt;="&amp;MAX(Q$7,$J84),Calendar!$A$16:$A$134,"&lt;="&amp;MIN(Q$7+4,$K84))*$H84/$G84)))</x:f>
        <x:v>0</x:v>
      </x:c>
      <x:c r="R84" s="44" t="n">
        <x:f>IF(OR($J84="",$K84=""),"",IF(SUMIFS(Calendar!$C$16:$C$134,Calendar!$A$16:$A$134,"&gt;="&amp;MAX(R$7,$J84),Calendar!$A$16:$A$134,"&lt;="&amp;MIN(R$7+4,$K84))=0,0,IF($H84="","EXT",SUMIFS(Calendar!$C$16:$C$134,Calendar!$A$16:$A$134,"&gt;="&amp;MAX(R$7,$J84),Calendar!$A$16:$A$134,"&lt;="&amp;MIN(R$7+4,$K84))*$H84/$G84)))</x:f>
        <x:v>0</x:v>
      </x:c>
      <x:c r="S84" s="44" t="n">
        <x:f>IF(OR($J84="",$K84=""),"",IF(SUMIFS(Calendar!$C$16:$C$134,Calendar!$A$16:$A$134,"&gt;="&amp;MAX(S$7,$J84),Calendar!$A$16:$A$134,"&lt;="&amp;MIN(S$7+4,$K84))=0,0,IF($H84="","EXT",SUMIFS(Calendar!$C$16:$C$134,Calendar!$A$16:$A$134,"&gt;="&amp;MAX(S$7,$J84),Calendar!$A$16:$A$134,"&lt;="&amp;MIN(S$7+4,$K84))*$H84/$G84)))</x:f>
        <x:v>0</x:v>
      </x:c>
      <x:c r="T84" s="44" t="n">
        <x:f>IF(OR($J84="",$K84=""),"",IF(SUMIFS(Calendar!$C$16:$C$134,Calendar!$A$16:$A$134,"&gt;="&amp;MAX(T$7,$J84),Calendar!$A$16:$A$134,"&lt;="&amp;MIN(T$7+4,$K84))=0,0,IF($H84="","EXT",SUMIFS(Calendar!$C$16:$C$134,Calendar!$A$16:$A$134,"&gt;="&amp;MAX(T$7,$J84),Calendar!$A$16:$A$134,"&lt;="&amp;MIN(T$7+4,$K84))*$H84/$G84)))</x:f>
        <x:v>0</x:v>
      </x:c>
      <x:c r="U84" s="44" t="n">
        <x:f>IF(OR($J84="",$K84=""),"",IF(SUMIFS(Calendar!$C$16:$C$134,Calendar!$A$16:$A$134,"&gt;="&amp;MAX(U$7,$J84),Calendar!$A$16:$A$134,"&lt;="&amp;MIN(U$7+4,$K84))=0,0,IF($H84="","EXT",SUMIFS(Calendar!$C$16:$C$134,Calendar!$A$16:$A$134,"&gt;="&amp;MAX(U$7,$J84),Calendar!$A$16:$A$134,"&lt;="&amp;MIN(U$7+4,$K84))*$H84/$G84)))</x:f>
        <x:v>0</x:v>
      </x:c>
      <x:c r="V84" s="44" t="n">
        <x:f>IF(OR($J84="",$K84=""),"",IF(SUMIFS(Calendar!$C$16:$C$134,Calendar!$A$16:$A$134,"&gt;="&amp;MAX(V$7,$J84),Calendar!$A$16:$A$134,"&lt;="&amp;MIN(V$7+4,$K84))=0,0,IF($H84="","EXT",SUMIFS(Calendar!$C$16:$C$134,Calendar!$A$16:$A$134,"&gt;="&amp;MAX(V$7,$J84),Calendar!$A$16:$A$134,"&lt;="&amp;MIN(V$7+4,$K84))*$H84/$G84)))</x:f>
        <x:v>0</x:v>
      </x:c>
      <x:c r="W84" s="44" t="n">
        <x:f>IF(OR($J84="",$K84=""),"",IF(SUMIFS(Calendar!$C$16:$C$134,Calendar!$A$16:$A$134,"&gt;="&amp;MAX(W$7,$J84),Calendar!$A$16:$A$134,"&lt;="&amp;MIN(W$7+4,$K84))=0,0,IF($H84="","EXT",SUMIFS(Calendar!$C$16:$C$134,Calendar!$A$16:$A$134,"&gt;="&amp;MAX(W$7,$J84),Calendar!$A$16:$A$134,"&lt;="&amp;MIN(W$7+4,$K84))*$H84/$G84)))</x:f>
        <x:v>0</x:v>
      </x:c>
      <x:c r="X84" s="44" t="n">
        <x:f>IF(OR($J84="",$K84=""),"",IF(SUMIFS(Calendar!$C$16:$C$134,Calendar!$A$16:$A$134,"&gt;="&amp;MAX(X$7,$J84),Calendar!$A$16:$A$134,"&lt;="&amp;MIN(X$7+4,$K84))=0,0,IF($H84="","EXT",SUMIFS(Calendar!$C$16:$C$134,Calendar!$A$16:$A$134,"&gt;="&amp;MAX(X$7,$J84),Calendar!$A$16:$A$134,"&lt;="&amp;MIN(X$7+4,$K84))*$H84/$G84)))</x:f>
        <x:v>0</x:v>
      </x:c>
      <x:c r="Y84" s="44" t="n">
        <x:f>IF(OR($J84="",$K84=""),"",IF(SUMIFS(Calendar!$C$16:$C$134,Calendar!$A$16:$A$134,"&gt;="&amp;MAX(Y$7,$J84),Calendar!$A$16:$A$134,"&lt;="&amp;MIN(Y$7+4,$K84))=0,0,IF($H84="","EXT",SUMIFS(Calendar!$C$16:$C$134,Calendar!$A$16:$A$134,"&gt;="&amp;MAX(Y$7,$J84),Calendar!$A$16:$A$134,"&lt;="&amp;MIN(Y$7+4,$K84))*$H84/$G84)))</x:f>
        <x:v>0</x:v>
      </x:c>
      <x:c r="Z84" s="44" t="n">
        <x:f>IF(OR($J84="",$K84=""),"",IF(SUMIFS(Calendar!$C$16:$C$134,Calendar!$A$16:$A$134,"&gt;="&amp;MAX(Z$7,$J84),Calendar!$A$16:$A$134,"&lt;="&amp;MIN(Z$7+4,$K84))=0,0,IF($H84="","EXT",SUMIFS(Calendar!$C$16:$C$134,Calendar!$A$16:$A$134,"&gt;="&amp;MAX(Z$7,$J84),Calendar!$A$16:$A$134,"&lt;="&amp;MIN(Z$7+4,$K84))*$H84/$G84)))</x:f>
        <x:v>0</x:v>
      </x:c>
      <x:c r="AA84" s="44" t="n">
        <x:f>IF(OR($J84="",$K84=""),"",IF(SUMIFS(Calendar!$C$16:$C$134,Calendar!$A$16:$A$134,"&gt;="&amp;MAX(AA$7,$J84),Calendar!$A$16:$A$134,"&lt;="&amp;MIN(AA$7+4,$K84))=0,0,IF($H84="","EXT",SUMIFS(Calendar!$C$16:$C$134,Calendar!$A$16:$A$134,"&gt;="&amp;MAX(AA$7,$J84),Calendar!$A$16:$A$134,"&lt;="&amp;MIN(AA$7+4,$K84))*$H84/$G84)))</x:f>
        <x:v>0</x:v>
      </x:c>
      <x:c r="AB84" s="44" t="n">
        <x:f>IF(OR($J84="",$K84=""),"",IF(SUMIFS(Calendar!$C$16:$C$134,Calendar!$A$16:$A$134,"&gt;="&amp;MAX(AB$7,$J84),Calendar!$A$16:$A$134,"&lt;="&amp;MIN(AB$7+4,$K84))=0,0,IF($H84="","EXT",SUMIFS(Calendar!$C$16:$C$134,Calendar!$A$16:$A$134,"&gt;="&amp;MAX(AB$7,$J84),Calendar!$A$16:$A$134,"&lt;="&amp;MIN(AB$7+4,$K84))*$H84/$G84)))</x:f>
        <x:v>0</x:v>
      </x:c>
      <x:c r="AC84" s="44" t="n">
        <x:f>IF(OR($J84="",$K84=""),"",IF(SUMIFS(Calendar!$C$16:$C$134,Calendar!$A$16:$A$134,"&gt;="&amp;MAX(AC$7,$J84),Calendar!$A$16:$A$134,"&lt;="&amp;MIN(AC$7+4,$K84))=0,0,IF($H84="","EXT",SUMIFS(Calendar!$C$16:$C$134,Calendar!$A$16:$A$134,"&gt;="&amp;MAX(AC$7,$J84),Calendar!$A$16:$A$134,"&lt;="&amp;MIN(AC$7+4,$K84))*$H84/$G84)))</x:f>
        <x:v>0</x:v>
      </x:c>
      <x:c r="AD84" s="44" t="n">
        <x:f>IF(OR($J84="",$K84=""),"",IF(SUMIFS(Calendar!$C$16:$C$134,Calendar!$A$16:$A$134,"&gt;="&amp;MAX(AD$7,$J84),Calendar!$A$16:$A$134,"&lt;="&amp;MIN(AD$7+4,$K84))=0,0,IF($H84="","EXT",SUMIFS(Calendar!$C$16:$C$134,Calendar!$A$16:$A$134,"&gt;="&amp;MAX(AD$7,$J84),Calendar!$A$16:$A$134,"&lt;="&amp;MIN(AD$7+4,$K84))*$H84/$G84)))</x:f>
        <x:v>0</x:v>
      </x:c>
      <x:c r="AE84" s="42" t="str">
        <x:f>""</x:f>
      </x:c>
      <x:c r="AF84" s="43" t="str">
        <x:v>Approve 2–3 launch scenarios, authorized samples, owners and send boundaries.</x:v>
      </x:c>
      <x:c r="AG84" s="43" t="str">
        <x:v>Business decisions cannot be delegated to the DS.</x:v>
      </x:c>
    </x:row>
    <x:row r="85" ht="36" customHeight="1">
      <x:c r="A85" s="35" t="str">
        <x:v>E03</x:v>
      </x:c>
      <x:c r="B85" s="35" t="str">
        <x:v>External dependency</x:v>
      </x:c>
      <x:c r="C85" s="35" t="str">
        <x:v>Production network, security and resource approvals</x:v>
      </x:c>
      <x:c r="D85" s="36" t="str">
        <x:v>IT</x:v>
      </x:c>
      <x:c r="E85" s="35" t="str">
        <x:v>E01</x:v>
      </x:c>
      <x:c r="F85" s="47" t="n">
        <x:v>36</x:v>
      </x:c>
      <x:c r="G85" s="47" t="n">
        <x:v>9</x:v>
      </x:c>
      <x:c r="H85" s="48"/>
      <x:c r="I85" s="35" t="n">
        <x:f>IF(OR(F85="",G85=""),"",F85+G85-1)</x:f>
        <x:v>44</x:v>
      </x:c>
      <x:c r="J85" s="37" t="n">
        <x:f>IF(OR(F85="",F85&lt;1,F85&gt;Calendar!$B$9),"",INDEX(Calendar!$A$16:$A$134,MATCH(F85,Calendar!$D$16:$D$134,0)))</x:f>
        <x:v>46377</x:v>
      </x:c>
      <x:c r="K85" s="37" t="n">
        <x:f>IF(OR(I85="",I85&lt;1,I85&gt;Calendar!$B$9),"",INDEX(Calendar!$A$16:$A$134,MATCH(I85,Calendar!$D$16:$D$134,0)))</x:f>
        <x:v>46387</x:v>
      </x:c>
      <x:c r="L85" s="50" t="n">
        <x:v>0</x:v>
      </x:c>
      <x:c r="M85" s="35" t="str">
        <x:f>IF(OR(F85="",G85=""),"Missing input",IF(OR(F85&lt;1,G85&lt;1,I85&gt;Calendar!$B$9),"Outside calendar",IF(F85&lt;MAX(INDEX($I$8:$I$85,MATCH("E01",$A$8:$A$85,0))+1),"Dependency conflict","Scheduled")))</x:f>
        <x:v>Scheduled</x:v>
      </x:c>
      <x:c r="N85" s="44" t="n">
        <x:f>IF(OR($J85="",$K85=""),"",IF(SUMIFS(Calendar!$C$16:$C$134,Calendar!$A$16:$A$134,"&gt;="&amp;MAX(N$7,$J85),Calendar!$A$16:$A$134,"&lt;="&amp;MIN(N$7+4,$K85))=0,0,IF($H85="","EXT",SUMIFS(Calendar!$C$16:$C$134,Calendar!$A$16:$A$134,"&gt;="&amp;MAX(N$7,$J85),Calendar!$A$16:$A$134,"&lt;="&amp;MIN(N$7+4,$K85))*$H85/$G85)))</x:f>
        <x:v>0</x:v>
      </x:c>
      <x:c r="O85" s="44" t="n">
        <x:f>IF(OR($J85="",$K85=""),"",IF(SUMIFS(Calendar!$C$16:$C$134,Calendar!$A$16:$A$134,"&gt;="&amp;MAX(O$7,$J85),Calendar!$A$16:$A$134,"&lt;="&amp;MIN(O$7+4,$K85))=0,0,IF($H85="","EXT",SUMIFS(Calendar!$C$16:$C$134,Calendar!$A$16:$A$134,"&gt;="&amp;MAX(O$7,$J85),Calendar!$A$16:$A$134,"&lt;="&amp;MIN(O$7+4,$K85))*$H85/$G85)))</x:f>
        <x:v>0</x:v>
      </x:c>
      <x:c r="P85" s="44" t="n">
        <x:f>IF(OR($J85="",$K85=""),"",IF(SUMIFS(Calendar!$C$16:$C$134,Calendar!$A$16:$A$134,"&gt;="&amp;MAX(P$7,$J85),Calendar!$A$16:$A$134,"&lt;="&amp;MIN(P$7+4,$K85))=0,0,IF($H85="","EXT",SUMIFS(Calendar!$C$16:$C$134,Calendar!$A$16:$A$134,"&gt;="&amp;MAX(P$7,$J85),Calendar!$A$16:$A$134,"&lt;="&amp;MIN(P$7+4,$K85))*$H85/$G85)))</x:f>
        <x:v>0</x:v>
      </x:c>
      <x:c r="Q85" s="44" t="n">
        <x:f>IF(OR($J85="",$K85=""),"",IF(SUMIFS(Calendar!$C$16:$C$134,Calendar!$A$16:$A$134,"&gt;="&amp;MAX(Q$7,$J85),Calendar!$A$16:$A$134,"&lt;="&amp;MIN(Q$7+4,$K85))=0,0,IF($H85="","EXT",SUMIFS(Calendar!$C$16:$C$134,Calendar!$A$16:$A$134,"&gt;="&amp;MAX(Q$7,$J85),Calendar!$A$16:$A$134,"&lt;="&amp;MIN(Q$7+4,$K85))*$H85/$G85)))</x:f>
        <x:v>0</x:v>
      </x:c>
      <x:c r="R85" s="44" t="n">
        <x:f>IF(OR($J85="",$K85=""),"",IF(SUMIFS(Calendar!$C$16:$C$134,Calendar!$A$16:$A$134,"&gt;="&amp;MAX(R$7,$J85),Calendar!$A$16:$A$134,"&lt;="&amp;MIN(R$7+4,$K85))=0,0,IF($H85="","EXT",SUMIFS(Calendar!$C$16:$C$134,Calendar!$A$16:$A$134,"&gt;="&amp;MAX(R$7,$J85),Calendar!$A$16:$A$134,"&lt;="&amp;MIN(R$7+4,$K85))*$H85/$G85)))</x:f>
        <x:v>0</x:v>
      </x:c>
      <x:c r="S85" s="44" t="n">
        <x:f>IF(OR($J85="",$K85=""),"",IF(SUMIFS(Calendar!$C$16:$C$134,Calendar!$A$16:$A$134,"&gt;="&amp;MAX(S$7,$J85),Calendar!$A$16:$A$134,"&lt;="&amp;MIN(S$7+4,$K85))=0,0,IF($H85="","EXT",SUMIFS(Calendar!$C$16:$C$134,Calendar!$A$16:$A$134,"&gt;="&amp;MAX(S$7,$J85),Calendar!$A$16:$A$134,"&lt;="&amp;MIN(S$7+4,$K85))*$H85/$G85)))</x:f>
        <x:v>0</x:v>
      </x:c>
      <x:c r="T85" s="44" t="n">
        <x:f>IF(OR($J85="",$K85=""),"",IF(SUMIFS(Calendar!$C$16:$C$134,Calendar!$A$16:$A$134,"&gt;="&amp;MAX(T$7,$J85),Calendar!$A$16:$A$134,"&lt;="&amp;MIN(T$7+4,$K85))=0,0,IF($H85="","EXT",SUMIFS(Calendar!$C$16:$C$134,Calendar!$A$16:$A$134,"&gt;="&amp;MAX(T$7,$J85),Calendar!$A$16:$A$134,"&lt;="&amp;MIN(T$7+4,$K85))*$H85/$G85)))</x:f>
        <x:v>0</x:v>
      </x:c>
      <x:c r="U85" s="44" t="str">
        <x:f>IF(OR($J85="",$K85=""),"",IF(SUMIFS(Calendar!$C$16:$C$134,Calendar!$A$16:$A$134,"&gt;="&amp;MAX(U$7,$J85),Calendar!$A$16:$A$134,"&lt;="&amp;MIN(U$7+4,$K85))=0,0,IF($H85="","EXT",SUMIFS(Calendar!$C$16:$C$134,Calendar!$A$16:$A$134,"&gt;="&amp;MAX(U$7,$J85),Calendar!$A$16:$A$134,"&lt;="&amp;MIN(U$7+4,$K85))*$H85/$G85)))</x:f>
        <x:v>EXT</x:v>
      </x:c>
      <x:c r="V85" s="44" t="str">
        <x:f>IF(OR($J85="",$K85=""),"",IF(SUMIFS(Calendar!$C$16:$C$134,Calendar!$A$16:$A$134,"&gt;="&amp;MAX(V$7,$J85),Calendar!$A$16:$A$134,"&lt;="&amp;MIN(V$7+4,$K85))=0,0,IF($H85="","EXT",SUMIFS(Calendar!$C$16:$C$134,Calendar!$A$16:$A$134,"&gt;="&amp;MAX(V$7,$J85),Calendar!$A$16:$A$134,"&lt;="&amp;MIN(V$7+4,$K85))*$H85/$G85)))</x:f>
        <x:v>EXT</x:v>
      </x:c>
      <x:c r="W85" s="44" t="n">
        <x:f>IF(OR($J85="",$K85=""),"",IF(SUMIFS(Calendar!$C$16:$C$134,Calendar!$A$16:$A$134,"&gt;="&amp;MAX(W$7,$J85),Calendar!$A$16:$A$134,"&lt;="&amp;MIN(W$7+4,$K85))=0,0,IF($H85="","EXT",SUMIFS(Calendar!$C$16:$C$134,Calendar!$A$16:$A$134,"&gt;="&amp;MAX(W$7,$J85),Calendar!$A$16:$A$134,"&lt;="&amp;MIN(W$7+4,$K85))*$H85/$G85)))</x:f>
        <x:v>0</x:v>
      </x:c>
      <x:c r="X85" s="44" t="n">
        <x:f>IF(OR($J85="",$K85=""),"",IF(SUMIFS(Calendar!$C$16:$C$134,Calendar!$A$16:$A$134,"&gt;="&amp;MAX(X$7,$J85),Calendar!$A$16:$A$134,"&lt;="&amp;MIN(X$7+4,$K85))=0,0,IF($H85="","EXT",SUMIFS(Calendar!$C$16:$C$134,Calendar!$A$16:$A$134,"&gt;="&amp;MAX(X$7,$J85),Calendar!$A$16:$A$134,"&lt;="&amp;MIN(X$7+4,$K85))*$H85/$G85)))</x:f>
        <x:v>0</x:v>
      </x:c>
      <x:c r="Y85" s="44" t="n">
        <x:f>IF(OR($J85="",$K85=""),"",IF(SUMIFS(Calendar!$C$16:$C$134,Calendar!$A$16:$A$134,"&gt;="&amp;MAX(Y$7,$J85),Calendar!$A$16:$A$134,"&lt;="&amp;MIN(Y$7+4,$K85))=0,0,IF($H85="","EXT",SUMIFS(Calendar!$C$16:$C$134,Calendar!$A$16:$A$134,"&gt;="&amp;MAX(Y$7,$J85),Calendar!$A$16:$A$134,"&lt;="&amp;MIN(Y$7+4,$K85))*$H85/$G85)))</x:f>
        <x:v>0</x:v>
      </x:c>
      <x:c r="Z85" s="44" t="n">
        <x:f>IF(OR($J85="",$K85=""),"",IF(SUMIFS(Calendar!$C$16:$C$134,Calendar!$A$16:$A$134,"&gt;="&amp;MAX(Z$7,$J85),Calendar!$A$16:$A$134,"&lt;="&amp;MIN(Z$7+4,$K85))=0,0,IF($H85="","EXT",SUMIFS(Calendar!$C$16:$C$134,Calendar!$A$16:$A$134,"&gt;="&amp;MAX(Z$7,$J85),Calendar!$A$16:$A$134,"&lt;="&amp;MIN(Z$7+4,$K85))*$H85/$G85)))</x:f>
        <x:v>0</x:v>
      </x:c>
      <x:c r="AA85" s="44" t="n">
        <x:f>IF(OR($J85="",$K85=""),"",IF(SUMIFS(Calendar!$C$16:$C$134,Calendar!$A$16:$A$134,"&gt;="&amp;MAX(AA$7,$J85),Calendar!$A$16:$A$134,"&lt;="&amp;MIN(AA$7+4,$K85))=0,0,IF($H85="","EXT",SUMIFS(Calendar!$C$16:$C$134,Calendar!$A$16:$A$134,"&gt;="&amp;MAX(AA$7,$J85),Calendar!$A$16:$A$134,"&lt;="&amp;MIN(AA$7+4,$K85))*$H85/$G85)))</x:f>
        <x:v>0</x:v>
      </x:c>
      <x:c r="AB85" s="44" t="n">
        <x:f>IF(OR($J85="",$K85=""),"",IF(SUMIFS(Calendar!$C$16:$C$134,Calendar!$A$16:$A$134,"&gt;="&amp;MAX(AB$7,$J85),Calendar!$A$16:$A$134,"&lt;="&amp;MIN(AB$7+4,$K85))=0,0,IF($H85="","EXT",SUMIFS(Calendar!$C$16:$C$134,Calendar!$A$16:$A$134,"&gt;="&amp;MAX(AB$7,$J85),Calendar!$A$16:$A$134,"&lt;="&amp;MIN(AB$7+4,$K85))*$H85/$G85)))</x:f>
        <x:v>0</x:v>
      </x:c>
      <x:c r="AC85" s="44" t="n">
        <x:f>IF(OR($J85="",$K85=""),"",IF(SUMIFS(Calendar!$C$16:$C$134,Calendar!$A$16:$A$134,"&gt;="&amp;MAX(AC$7,$J85),Calendar!$A$16:$A$134,"&lt;="&amp;MIN(AC$7+4,$K85))=0,0,IF($H85="","EXT",SUMIFS(Calendar!$C$16:$C$134,Calendar!$A$16:$A$134,"&gt;="&amp;MAX(AC$7,$J85),Calendar!$A$16:$A$134,"&lt;="&amp;MIN(AC$7+4,$K85))*$H85/$G85)))</x:f>
        <x:v>0</x:v>
      </x:c>
      <x:c r="AD85" s="44" t="n">
        <x:f>IF(OR($J85="",$K85=""),"",IF(SUMIFS(Calendar!$C$16:$C$134,Calendar!$A$16:$A$134,"&gt;="&amp;MAX(AD$7,$J85),Calendar!$A$16:$A$134,"&lt;="&amp;MIN(AD$7+4,$K85))=0,0,IF($H85="","EXT",SUMIFS(Calendar!$C$16:$C$134,Calendar!$A$16:$A$134,"&gt;="&amp;MAX(AD$7,$J85),Calendar!$A$16:$A$134,"&lt;="&amp;MIN(AD$7+4,$K85))*$H85/$G85)))</x:f>
        <x:v>0</x:v>
      </x:c>
      <x:c r="AE85" s="42" t="str">
        <x:f>""</x:f>
      </x:c>
      <x:c r="AF85" s="43" t="str">
        <x:v>Production permissions, networking and quotas are ready by Dec 31 for preproduction.</x:v>
      </x:c>
      <x:c r="AG85" s="43" t="str">
        <x:v>Submit early; external support is outside the five-person estimate.</x:v>
      </x:c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</x:row>
  </x:sheetData>
  <x:conditionalFormatting sqref="N8:AD85">
    <x:cfRule type="expression" dxfId="19" priority="1">
      <x:formula>AND($D8="Dev 1",ISNUMBER(N8),N8&gt;0)</x:formula>
    </x:cfRule>
    <x:cfRule type="expression" dxfId="20" priority="2">
      <x:formula>AND($D8="Dev 2",ISNUMBER(N8),N8&gt;0)</x:formula>
    </x:cfRule>
    <x:cfRule type="expression" dxfId="21" priority="3">
      <x:formula>AND($D8="DS",ISNUMBER(N8),N8&gt;0)</x:formula>
    </x:cfRule>
    <x:cfRule type="expression" dxfId="22" priority="4">
      <x:formula>AND($D8="Tester 1",ISNUMBER(N8),N8&gt;0)</x:formula>
    </x:cfRule>
    <x:cfRule type="expression" dxfId="23" priority="5">
      <x:formula>AND($D8="Tester 2",ISNUMBER(N8),N8&gt;0)</x:formula>
    </x:cfRule>
    <x:cfRule type="expression" dxfId="24" priority="6">
      <x:formula>AND($D8="IT",N8="EXT")</x:formula>
    </x:cfRule>
    <x:cfRule type="expression" dxfId="25" priority="7">
      <x:formula>AND($D8="Business Owner",N8="EXT")</x:formula>
    </x:cfRule>
    <x:cfRule type="expression" dxfId="26" priority="8">
      <x:formula>SUMIFS(Calendar!$C$16:$C$134,Calendar!$A$16:$A$134,"&gt;="&amp;N$7,Calendar!$A$16:$A$134,"&lt;="&amp;N$7+4)=0</x:formula>
    </x:cfRule>
  </x:conditionalFormatting>
  <x:conditionalFormatting sqref="M8:M85">
    <x:cfRule type="expression" dxfId="27" priority="9">
      <x:formula>$M8&lt;&gt;"Scheduled"</x:formula>
    </x:cfRule>
  </x:conditionalFormatting>
  <x:conditionalFormatting sqref="AE8:AE85">
    <x:cfRule type="containsText" dxfId="28" priority="10" operator="containsText" text="CHECK"/>
  </x:conditionalFormatting>
  <x:dataValidations count="2">
    <x:dataValidation type="whole" operator="between" sqref="F8:G85">
      <x:formula1>1</x:formula1>
      <x:formula2>85</x:formula2>
    </x:dataValidation>
    <x:dataValidation type="decimal" operator="between" sqref="L8:L85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2" ySplit="17" topLeftCell="C18" activePane="bottomRight" state="frozen"/>
    </x:sheetView>
  </x:sheetViews>
  <x:sheetFormatPr defaultRowHeight="15"/>
  <x:cols>
    <x:col min="1" max="1" width="17" hidden="0" customWidth="1"/>
    <x:col min="2" max="2" width="26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3" hidden="0" customWidth="1"/>
    <x:col min="21" max="21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>
      <x:c r="A2" s="3" t="str">
        <x:v>Resource Cost, Weekly Capacity and Release Gates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</x:row>
    <x:row r="4">
      <x:c r="A4" s="2" t="str">
        <x:v>Planned utilization</x:v>
      </x:c>
      <x:c r="B4" s="50" t="n">
        <x:v>0.8</x:v>
      </x:c>
      <x:c r="C4" s="2"/>
      <x:c r="D4" s="2" t="str">
        <x:v>Labor cost = Gantt-scheduled person-days × daily rate. Default USD 360 per person-day. Leave and unassigned reserve are excluded.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34" customHeight="1">
      <x:c r="A6" s="13" t="str">
        <x:v>Resource</x:v>
      </x:c>
      <x:c r="B6" s="13" t="str">
        <x:v>Scheduled days</x:v>
      </x:c>
      <x:c r="C6" s="13" t="str">
        <x:v>Rate (USD/day)</x:v>
      </x:c>
      <x:c r="D6" s="13" t="str">
        <x:v>Cost (USD)</x:v>
      </x:c>
      <x:c r="E6" s="13" t="str">
        <x:v>Available days</x:v>
      </x:c>
      <x:c r="F6" s="13" t="str">
        <x:v>Reserve days</x:v>
      </x:c>
      <x:c r="G6" s="13" t="str">
        <x:v>Capacity / input status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ht="30" customHeight="1">
      <x:c r="A7" s="20" t="str">
        <x:v>Dev 1</x:v>
      </x:c>
      <x:c r="B7" s="9" t="n">
        <x:f>T18</x:f>
        <x:v>60.5</x:v>
      </x:c>
      <x:c r="C7" s="51" t="n">
        <x:v>360</x:v>
      </x:c>
      <x:c r="D7" s="8" t="n">
        <x:f>IF(OR(C7="",G7="Check tasks"),"CHECK",B7*C7)</x:f>
        <x:v>21780</x:v>
      </x:c>
      <x:c r="E7" s="9" t="n">
        <x:f>T19</x:f>
        <x:v>77</x:v>
      </x:c>
      <x:c r="F7" s="9" t="n">
        <x:f>E7-B7</x:f>
        <x:v>16.5</x:v>
      </x:c>
      <x:c r="G7" s="2" t="str">
        <x:f>U18</x:f>
        <x:v>Reserve available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ht="30" customHeight="1">
      <x:c r="A8" s="22" t="str">
        <x:v>Dev 2</x:v>
      </x:c>
      <x:c r="B8" s="9" t="n">
        <x:f>T23</x:f>
        <x:v>60.5</x:v>
      </x:c>
      <x:c r="C8" s="51" t="n">
        <x:v>360</x:v>
      </x:c>
      <x:c r="D8" s="8" t="n">
        <x:f>IF(OR(C8="",G8="Check tasks"),"CHECK",B8*C8)</x:f>
        <x:v>21780</x:v>
      </x:c>
      <x:c r="E8" s="9" t="n">
        <x:f>T24</x:f>
        <x:v>77</x:v>
      </x:c>
      <x:c r="F8" s="9" t="n">
        <x:f>E8-B8</x:f>
        <x:v>16.5</x:v>
      </x:c>
      <x:c r="G8" s="2" t="str">
        <x:f>U23</x:f>
        <x:v>Reserve available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 ht="30" customHeight="1">
      <x:c r="A9" s="24" t="str">
        <x:v>DS</x:v>
      </x:c>
      <x:c r="B9" s="9" t="n">
        <x:f>T28</x:f>
        <x:v>57</x:v>
      </x:c>
      <x:c r="C9" s="51" t="n">
        <x:v>360</x:v>
      </x:c>
      <x:c r="D9" s="8" t="n">
        <x:f>IF(OR(C9="",G9="Check tasks"),"CHECK",B9*C9)</x:f>
        <x:v>20520</x:v>
      </x:c>
      <x:c r="E9" s="9" t="n">
        <x:f>T29</x:f>
        <x:v>77</x:v>
      </x:c>
      <x:c r="F9" s="9" t="n">
        <x:f>E9-B9</x:f>
        <x:v>20</x:v>
      </x:c>
      <x:c r="G9" s="2" t="str">
        <x:f>U28</x:f>
        <x:v>Reserve available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 ht="30" customHeight="1">
      <x:c r="A10" s="28" t="str">
        <x:v>Tester 1</x:v>
      </x:c>
      <x:c r="B10" s="9" t="n">
        <x:f>T33</x:f>
        <x:v>60.5</x:v>
      </x:c>
      <x:c r="C10" s="51" t="n">
        <x:v>360</x:v>
      </x:c>
      <x:c r="D10" s="8" t="n">
        <x:f>IF(OR(C10="",G10="Check tasks"),"CHECK",B10*C10)</x:f>
        <x:v>21780</x:v>
      </x:c>
      <x:c r="E10" s="9" t="n">
        <x:f>T34</x:f>
        <x:v>77</x:v>
      </x:c>
      <x:c r="F10" s="9" t="n">
        <x:f>E10-B10</x:f>
        <x:v>16.5</x:v>
      </x:c>
      <x:c r="G10" s="2" t="str">
        <x:f>U33</x:f>
        <x:v>Reserve available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 ht="30" customHeight="1">
      <x:c r="A11" s="30" t="str">
        <x:v>Tester 2</x:v>
      </x:c>
      <x:c r="B11" s="9" t="n">
        <x:f>T38</x:f>
        <x:v>60.5</x:v>
      </x:c>
      <x:c r="C11" s="51" t="n">
        <x:v>360</x:v>
      </x:c>
      <x:c r="D11" s="8" t="n">
        <x:f>IF(OR(C11="",G11="Check tasks"),"CHECK",B11*C11)</x:f>
        <x:v>21780</x:v>
      </x:c>
      <x:c r="E11" s="9" t="n">
        <x:f>T39</x:f>
        <x:v>77</x:v>
      </x:c>
      <x:c r="F11" s="9" t="n">
        <x:f>E11-B11</x:f>
        <x:v>16.5</x:v>
      </x:c>
      <x:c r="G11" s="2" t="str">
        <x:f>U38</x:f>
        <x:v>Reserve available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 ht="30" customHeight="1">
      <x:c r="A13" s="52" t="str">
        <x:v>TOTAL</x:v>
      </x:c>
      <x:c r="B13" s="52" t="n">
        <x:f>SUM(B7:B11)</x:f>
        <x:v>299</x:v>
      </x:c>
      <x:c r="C13" s="52"/>
      <x:c r="D13" s="53" t="n">
        <x:f>IF(COUNT(D7:D11)=5,SUM(D7:D11),"CHECK")</x:f>
        <x:v>107640</x:v>
      </x:c>
      <x:c r="E13" s="52" t="n">
        <x:f>SUM(E7:E11)</x:f>
        <x:v>385</x:v>
      </x:c>
      <x:c r="F13" s="52" t="n">
        <x:f>E13-B13</x:f>
        <x:v>86</x:v>
      </x:c>
      <x:c r="G13" s="5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 t="str">
        <x:v>Weekly allocation in person-days. Available days already exclude the Calendar holidays. Enter only additional individual leave below.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ht="34" customHeight="1">
      <x:c r="A16" s="13" t="str">
        <x:v>Resource</x:v>
      </x:c>
      <x:c r="B16" s="13" t="str">
        <x:v>Measure</x:v>
      </x:c>
      <x:c r="C16" s="13" t="str">
        <x:v>W1</x:v>
      </x:c>
      <x:c r="D16" s="13" t="str">
        <x:v>W2</x:v>
      </x:c>
      <x:c r="E16" s="13" t="str">
        <x:v>W3</x:v>
      </x:c>
      <x:c r="F16" s="13" t="str">
        <x:v>W4</x:v>
      </x:c>
      <x:c r="G16" s="13" t="str">
        <x:v>W5</x:v>
      </x:c>
      <x:c r="H16" s="13" t="str">
        <x:v>W6</x:v>
      </x:c>
      <x:c r="I16" s="13" t="str">
        <x:v>W7</x:v>
      </x:c>
      <x:c r="J16" s="13" t="str">
        <x:v>W8</x:v>
      </x:c>
      <x:c r="K16" s="13" t="str">
        <x:v>W9</x:v>
      </x:c>
      <x:c r="L16" s="13" t="str">
        <x:v>W10</x:v>
      </x:c>
      <x:c r="M16" s="13" t="str">
        <x:v>W11</x:v>
      </x:c>
      <x:c r="N16" s="13" t="str">
        <x:v>W12</x:v>
      </x:c>
      <x:c r="O16" s="13" t="str">
        <x:v>W13</x:v>
      </x:c>
      <x:c r="P16" s="13" t="str">
        <x:v>W14</x:v>
      </x:c>
      <x:c r="Q16" s="13" t="str">
        <x:v>W15</x:v>
      </x:c>
      <x:c r="R16" s="13" t="str">
        <x:v>W16</x:v>
      </x:c>
      <x:c r="S16" s="13" t="str">
        <x:v>W17</x:v>
      </x:c>
      <x:c r="T16" s="13" t="str">
        <x:v>Total</x:v>
      </x:c>
      <x:c r="U16" s="13" t="str">
        <x:v>Status</x:v>
      </x:c>
    </x:row>
    <x:row r="17" ht="24" customHeight="1">
      <x:c r="A17" s="2"/>
      <x:c r="B17" s="2"/>
      <x:c r="C17" s="34" t="n">
        <x:f>'Delivery Timeline'!$B$4+0</x:f>
        <x:v>46328</x:v>
      </x:c>
      <x:c r="D17" s="34" t="n">
        <x:f>'Delivery Timeline'!$B$4+7</x:f>
        <x:v>46335</x:v>
      </x:c>
      <x:c r="E17" s="34" t="n">
        <x:f>'Delivery Timeline'!$B$4+14</x:f>
        <x:v>46342</x:v>
      </x:c>
      <x:c r="F17" s="34" t="n">
        <x:f>'Delivery Timeline'!$B$4+21</x:f>
        <x:v>46349</x:v>
      </x:c>
      <x:c r="G17" s="34" t="n">
        <x:f>'Delivery Timeline'!$B$4+28</x:f>
        <x:v>46356</x:v>
      </x:c>
      <x:c r="H17" s="34" t="n">
        <x:f>'Delivery Timeline'!$B$4+35</x:f>
        <x:v>46363</x:v>
      </x:c>
      <x:c r="I17" s="34" t="n">
        <x:f>'Delivery Timeline'!$B$4+42</x:f>
        <x:v>46370</x:v>
      </x:c>
      <x:c r="J17" s="34" t="n">
        <x:f>'Delivery Timeline'!$B$4+49</x:f>
        <x:v>46377</x:v>
      </x:c>
      <x:c r="K17" s="34" t="n">
        <x:f>'Delivery Timeline'!$B$4+56</x:f>
        <x:v>46384</x:v>
      </x:c>
      <x:c r="L17" s="34" t="n">
        <x:f>'Delivery Timeline'!$B$4+63</x:f>
        <x:v>46391</x:v>
      </x:c>
      <x:c r="M17" s="34" t="n">
        <x:f>'Delivery Timeline'!$B$4+70</x:f>
        <x:v>46398</x:v>
      </x:c>
      <x:c r="N17" s="34" t="n">
        <x:f>'Delivery Timeline'!$B$4+77</x:f>
        <x:v>46405</x:v>
      </x:c>
      <x:c r="O17" s="34" t="n">
        <x:f>'Delivery Timeline'!$B$4+84</x:f>
        <x:v>46412</x:v>
      </x:c>
      <x:c r="P17" s="34" t="n">
        <x:f>'Delivery Timeline'!$B$4+91</x:f>
        <x:v>46419</x:v>
      </x:c>
      <x:c r="Q17" s="34" t="n">
        <x:f>'Delivery Timeline'!$B$4+98</x:f>
        <x:v>46426</x:v>
      </x:c>
      <x:c r="R17" s="34" t="n">
        <x:f>'Delivery Timeline'!$B$4+105</x:f>
        <x:v>46433</x:v>
      </x:c>
      <x:c r="S17" s="34" t="n">
        <x:f>'Delivery Timeline'!$B$4+112</x:f>
        <x:v>46440</x:v>
      </x:c>
      <x:c r="T17" s="2"/>
      <x:c r="U17" s="2"/>
    </x:row>
    <x:row r="18">
      <x:c r="A18" s="20" t="str">
        <x:v>Dev 1</x:v>
      </x:c>
      <x:c r="B18" s="2" t="str">
        <x:v>Scheduled days</x:v>
      </x:c>
      <x:c r="C18" s="54" t="n">
        <x:f>SUMIFS('Task Plan'!$N$8:$N$85,'Task Plan'!$D$8:$D$85,$A18)</x:f>
        <x:v>4</x:v>
      </x:c>
      <x:c r="D18" s="54" t="n">
        <x:f>SUMIFS('Task Plan'!$O$8:$O$85,'Task Plan'!$D$8:$D$85,$A18)</x:f>
        <x:v>4</x:v>
      </x:c>
      <x:c r="E18" s="54" t="n">
        <x:f>SUMIFS('Task Plan'!$P$8:$P$85,'Task Plan'!$D$8:$D$85,$A18)</x:f>
        <x:v>4</x:v>
      </x:c>
      <x:c r="F18" s="54" t="n">
        <x:f>SUMIFS('Task Plan'!$Q$8:$Q$85,'Task Plan'!$D$8:$D$85,$A18)</x:f>
        <x:v>4</x:v>
      </x:c>
      <x:c r="G18" s="54" t="n">
        <x:f>SUMIFS('Task Plan'!$R$8:$R$85,'Task Plan'!$D$8:$D$85,$A18)</x:f>
        <x:v>4</x:v>
      </x:c>
      <x:c r="H18" s="54" t="n">
        <x:f>SUMIFS('Task Plan'!$S$8:$S$85,'Task Plan'!$D$8:$D$85,$A18)</x:f>
        <x:v>4</x:v>
      </x:c>
      <x:c r="I18" s="54" t="n">
        <x:f>SUMIFS('Task Plan'!$T$8:$T$85,'Task Plan'!$D$8:$D$85,$A18)</x:f>
        <x:v>4</x:v>
      </x:c>
      <x:c r="J18" s="54" t="n">
        <x:f>SUMIFS('Task Plan'!$U$8:$U$85,'Task Plan'!$D$8:$D$85,$A18)</x:f>
        <x:v>4</x:v>
      </x:c>
      <x:c r="K18" s="54" t="n">
        <x:f>SUMIFS('Task Plan'!$V$8:$V$85,'Task Plan'!$D$8:$D$85,$A18)</x:f>
        <x:v>4</x:v>
      </x:c>
      <x:c r="L18" s="54" t="n">
        <x:f>SUMIFS('Task Plan'!$W$8:$W$85,'Task Plan'!$D$8:$D$85,$A18)</x:f>
        <x:v>4</x:v>
      </x:c>
      <x:c r="M18" s="54" t="n">
        <x:f>SUMIFS('Task Plan'!$X$8:$X$85,'Task Plan'!$D$8:$D$85,$A18)</x:f>
        <x:v>4</x:v>
      </x:c>
      <x:c r="N18" s="54" t="n">
        <x:f>SUMIFS('Task Plan'!$Y$8:$Y$85,'Task Plan'!$D$8:$D$85,$A18)</x:f>
        <x:v>4</x:v>
      </x:c>
      <x:c r="O18" s="54" t="n">
        <x:f>SUMIFS('Task Plan'!$Z$8:$Z$85,'Task Plan'!$D$8:$D$85,$A18)</x:f>
        <x:v>4</x:v>
      </x:c>
      <x:c r="P18" s="54" t="n">
        <x:f>SUMIFS('Task Plan'!$AA$8:$AA$85,'Task Plan'!$D$8:$D$85,$A18)</x:f>
        <x:v>1.5</x:v>
      </x:c>
      <x:c r="Q18" s="54" t="n">
        <x:f>SUMIFS('Task Plan'!$AB$8:$AB$85,'Task Plan'!$D$8:$D$85,$A18)</x:f>
        <x:v>0</x:v>
      </x:c>
      <x:c r="R18" s="54" t="n">
        <x:f>SUMIFS('Task Plan'!$AC$8:$AC$85,'Task Plan'!$D$8:$D$85,$A18)</x:f>
        <x:v>4</x:v>
      </x:c>
      <x:c r="S18" s="54" t="n">
        <x:f>SUMIFS('Task Plan'!$AD$8:$AD$85,'Task Plan'!$D$8:$D$85,$A18)</x:f>
        <x:v>3</x:v>
      </x:c>
      <x:c r="T18" s="9" t="n">
        <x:f>SUM(C18:S18)</x:f>
        <x:v>60.5</x:v>
      </x:c>
      <x:c r="U18" s="2" t="str">
        <x:f>IF(COUNTIFS('Task Plan'!$D$8:$D$85,$A18,'Task Plan'!$M$8:$M$85,"&lt;&gt;Scheduled")&gt;0,"Check tasks",IF(MIN(C21:S21)&lt;0,"Week overloaded",IF(OR(C18&gt;C19*$B$4,D18&gt;D19*$B$4,E18&gt;E19*$B$4,F18&gt;F19*$B$4,G18&gt;G19*$B$4,H18&gt;H19*$B$4,I18&gt;I19*$B$4,J18&gt;J19*$B$4,K18&gt;K19*$B$4,L18&gt;L19*$B$4,M18&gt;M19*$B$4,N18&gt;N19*$B$4,O18&gt;O19*$B$4,P18&gt;P19*$B$4,Q18&gt;Q19*$B$4,R18&gt;R19*$B$4,S18&gt;S19*$B$4),"Reserve reduced","Reserve available")))</x:f>
        <x:v>Reserve available</x:v>
      </x:c>
    </x:row>
    <x:row r="19">
      <x:c r="A19" s="20" t="str">
        <x:v>Dev 1</x:v>
      </x:c>
      <x:c r="B19" s="2" t="str">
        <x:v>Available days</x:v>
      </x:c>
      <x:c r="C19" s="54" t="n">
        <x:f>MAX(0,SUMIFS(Calendar!$C$16:$C$134,Calendar!$A$16:$A$134,"&gt;="&amp;C$17,Calendar!$A$16:$A$134,"&lt;="&amp;C$17+4)-C20)</x:f>
        <x:v>5</x:v>
      </x:c>
      <x:c r="D19" s="54" t="n">
        <x:f>MAX(0,SUMIFS(Calendar!$C$16:$C$134,Calendar!$A$16:$A$134,"&gt;="&amp;D$17,Calendar!$A$16:$A$134,"&lt;="&amp;D$17+4)-D20)</x:f>
        <x:v>5</x:v>
      </x:c>
      <x:c r="E19" s="54" t="n">
        <x:f>MAX(0,SUMIFS(Calendar!$C$16:$C$134,Calendar!$A$16:$A$134,"&gt;="&amp;E$17,Calendar!$A$16:$A$134,"&lt;="&amp;E$17+4)-E20)</x:f>
        <x:v>5</x:v>
      </x:c>
      <x:c r="F19" s="54" t="n">
        <x:f>MAX(0,SUMIFS(Calendar!$C$16:$C$134,Calendar!$A$16:$A$134,"&gt;="&amp;F$17,Calendar!$A$16:$A$134,"&lt;="&amp;F$17+4)-F20)</x:f>
        <x:v>5</x:v>
      </x:c>
      <x:c r="G19" s="54" t="n">
        <x:f>MAX(0,SUMIFS(Calendar!$C$16:$C$134,Calendar!$A$16:$A$134,"&gt;="&amp;G$17,Calendar!$A$16:$A$134,"&lt;="&amp;G$17+4)-G20)</x:f>
        <x:v>5</x:v>
      </x:c>
      <x:c r="H19" s="54" t="n">
        <x:f>MAX(0,SUMIFS(Calendar!$C$16:$C$134,Calendar!$A$16:$A$134,"&gt;="&amp;H$17,Calendar!$A$16:$A$134,"&lt;="&amp;H$17+4)-H20)</x:f>
        <x:v>5</x:v>
      </x:c>
      <x:c r="I19" s="54" t="n">
        <x:f>MAX(0,SUMIFS(Calendar!$C$16:$C$134,Calendar!$A$16:$A$134,"&gt;="&amp;I$17,Calendar!$A$16:$A$134,"&lt;="&amp;I$17+4)-I20)</x:f>
        <x:v>5</x:v>
      </x:c>
      <x:c r="J19" s="54" t="n">
        <x:f>MAX(0,SUMIFS(Calendar!$C$16:$C$134,Calendar!$A$16:$A$134,"&gt;="&amp;J$17,Calendar!$A$16:$A$134,"&lt;="&amp;J$17+4)-J20)</x:f>
        <x:v>5</x:v>
      </x:c>
      <x:c r="K19" s="54" t="n">
        <x:f>MAX(0,SUMIFS(Calendar!$C$16:$C$134,Calendar!$A$16:$A$134,"&gt;="&amp;K$17,Calendar!$A$16:$A$134,"&lt;="&amp;K$17+4)-K20)</x:f>
        <x:v>5</x:v>
      </x:c>
      <x:c r="L19" s="54" t="n">
        <x:f>MAX(0,SUMIFS(Calendar!$C$16:$C$134,Calendar!$A$16:$A$134,"&gt;="&amp;L$17,Calendar!$A$16:$A$134,"&lt;="&amp;L$17+4)-L20)</x:f>
        <x:v>5</x:v>
      </x:c>
      <x:c r="M19" s="54" t="n">
        <x:f>MAX(0,SUMIFS(Calendar!$C$16:$C$134,Calendar!$A$16:$A$134,"&gt;="&amp;M$17,Calendar!$A$16:$A$134,"&lt;="&amp;M$17+4)-M20)</x:f>
        <x:v>5</x:v>
      </x:c>
      <x:c r="N19" s="54" t="n">
        <x:f>MAX(0,SUMIFS(Calendar!$C$16:$C$134,Calendar!$A$16:$A$134,"&gt;="&amp;N$17,Calendar!$A$16:$A$134,"&lt;="&amp;N$17+4)-N20)</x:f>
        <x:v>5</x:v>
      </x:c>
      <x:c r="O19" s="54" t="n">
        <x:f>MAX(0,SUMIFS(Calendar!$C$16:$C$134,Calendar!$A$16:$A$134,"&gt;="&amp;O$17,Calendar!$A$16:$A$134,"&lt;="&amp;O$17+4)-O20)</x:f>
        <x:v>5</x:v>
      </x:c>
      <x:c r="P19" s="54" t="n">
        <x:f>MAX(0,SUMIFS(Calendar!$C$16:$C$134,Calendar!$A$16:$A$134,"&gt;="&amp;P$17,Calendar!$A$16:$A$134,"&lt;="&amp;P$17+4)-P20)</x:f>
        <x:v>2</x:v>
      </x:c>
      <x:c r="Q19" s="54" t="n">
        <x:f>MAX(0,SUMIFS(Calendar!$C$16:$C$134,Calendar!$A$16:$A$134,"&gt;="&amp;Q$17,Calendar!$A$16:$A$134,"&lt;="&amp;Q$17+4)-Q20)</x:f>
        <x:v>0</x:v>
      </x:c>
      <x:c r="R19" s="54" t="n">
        <x:f>MAX(0,SUMIFS(Calendar!$C$16:$C$134,Calendar!$A$16:$A$134,"&gt;="&amp;R$17,Calendar!$A$16:$A$134,"&lt;="&amp;R$17+4)-R20)</x:f>
        <x:v>5</x:v>
      </x:c>
      <x:c r="S19" s="54" t="n">
        <x:f>MAX(0,SUMIFS(Calendar!$C$16:$C$134,Calendar!$A$16:$A$134,"&gt;="&amp;S$17,Calendar!$A$16:$A$134,"&lt;="&amp;S$17+4)-S20)</x:f>
        <x:v>5</x:v>
      </x:c>
      <x:c r="T19" s="9" t="n">
        <x:f>SUM(C19:S19)</x:f>
        <x:v>77</x:v>
      </x:c>
      <x:c r="U19" s="2"/>
    </x:row>
    <x:row r="20">
      <x:c r="A20" s="20" t="str">
        <x:v>Dev 1</x:v>
      </x:c>
      <x:c r="B20" s="2" t="str">
        <x:v>Extra leave (input)</x:v>
      </x:c>
      <x:c r="C20" s="55" t="n">
        <x:v>0</x:v>
      </x:c>
      <x:c r="D20" s="55" t="n">
        <x:v>0</x:v>
      </x:c>
      <x:c r="E20" s="55" t="n">
        <x:v>0</x:v>
      </x:c>
      <x:c r="F20" s="55" t="n">
        <x:v>0</x:v>
      </x:c>
      <x:c r="G20" s="55" t="n">
        <x:v>0</x:v>
      </x:c>
      <x:c r="H20" s="55" t="n">
        <x:v>0</x:v>
      </x:c>
      <x:c r="I20" s="55" t="n">
        <x:v>0</x:v>
      </x:c>
      <x:c r="J20" s="55" t="n">
        <x:v>0</x:v>
      </x:c>
      <x:c r="K20" s="55" t="n">
        <x:v>0</x:v>
      </x:c>
      <x:c r="L20" s="55" t="n">
        <x:v>0</x:v>
      </x:c>
      <x:c r="M20" s="55" t="n">
        <x:v>0</x:v>
      </x:c>
      <x:c r="N20" s="55" t="n">
        <x:v>0</x:v>
      </x:c>
      <x:c r="O20" s="55" t="n">
        <x:v>0</x:v>
      </x:c>
      <x:c r="P20" s="55" t="n">
        <x:v>0</x:v>
      </x:c>
      <x:c r="Q20" s="55" t="n">
        <x:v>0</x:v>
      </x:c>
      <x:c r="R20" s="55" t="n">
        <x:v>0</x:v>
      </x:c>
      <x:c r="S20" s="55" t="n">
        <x:v>0</x:v>
      </x:c>
      <x:c r="T20" s="9" t="n">
        <x:f>SUM(C20:S20)</x:f>
        <x:v>0</x:v>
      </x:c>
      <x:c r="U20" s="2"/>
    </x:row>
    <x:row r="21">
      <x:c r="A21" s="20" t="str">
        <x:v>Dev 1</x:v>
      </x:c>
      <x:c r="B21" s="2" t="str">
        <x:v>Unassigned days</x:v>
      </x:c>
      <x:c r="C21" s="54" t="n">
        <x:f>C19-C18</x:f>
        <x:v>1</x:v>
      </x:c>
      <x:c r="D21" s="54" t="n">
        <x:f>D19-D18</x:f>
        <x:v>1</x:v>
      </x:c>
      <x:c r="E21" s="54" t="n">
        <x:f>E19-E18</x:f>
        <x:v>1</x:v>
      </x:c>
      <x:c r="F21" s="54" t="n">
        <x:f>F19-F18</x:f>
        <x:v>1</x:v>
      </x:c>
      <x:c r="G21" s="54" t="n">
        <x:f>G19-G18</x:f>
        <x:v>1</x:v>
      </x:c>
      <x:c r="H21" s="54" t="n">
        <x:f>H19-H18</x:f>
        <x:v>1</x:v>
      </x:c>
      <x:c r="I21" s="54" t="n">
        <x:f>I19-I18</x:f>
        <x:v>1</x:v>
      </x:c>
      <x:c r="J21" s="54" t="n">
        <x:f>J19-J18</x:f>
        <x:v>1</x:v>
      </x:c>
      <x:c r="K21" s="54" t="n">
        <x:f>K19-K18</x:f>
        <x:v>1</x:v>
      </x:c>
      <x:c r="L21" s="54" t="n">
        <x:f>L19-L18</x:f>
        <x:v>1</x:v>
      </x:c>
      <x:c r="M21" s="54" t="n">
        <x:f>M19-M18</x:f>
        <x:v>1</x:v>
      </x:c>
      <x:c r="N21" s="54" t="n">
        <x:f>N19-N18</x:f>
        <x:v>1</x:v>
      </x:c>
      <x:c r="O21" s="54" t="n">
        <x:f>O19-O18</x:f>
        <x:v>1</x:v>
      </x:c>
      <x:c r="P21" s="54" t="n">
        <x:f>P19-P18</x:f>
        <x:v>0.5</x:v>
      </x:c>
      <x:c r="Q21" s="54" t="n">
        <x:f>Q19-Q18</x:f>
        <x:v>0</x:v>
      </x:c>
      <x:c r="R21" s="54" t="n">
        <x:f>R19-R18</x:f>
        <x:v>1</x:v>
      </x:c>
      <x:c r="S21" s="54" t="n">
        <x:f>S19-S18</x:f>
        <x:v>2</x:v>
      </x:c>
      <x:c r="T21" s="9" t="n">
        <x:f>SUM(C21:S21)</x:f>
        <x:v>16.5</x:v>
      </x:c>
      <x:c r="U21" s="2"/>
    </x:row>
    <x:row r="22">
      <x:c r="A22" s="2"/>
      <x:c r="B22" s="2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  <x:c r="T22" s="9"/>
      <x:c r="U22" s="2"/>
    </x:row>
    <x:row r="23">
      <x:c r="A23" s="22" t="str">
        <x:v>Dev 2</x:v>
      </x:c>
      <x:c r="B23" s="2" t="str">
        <x:v>Scheduled days</x:v>
      </x:c>
      <x:c r="C23" s="54" t="n">
        <x:f>SUMIFS('Task Plan'!$N$8:$N$85,'Task Plan'!$D$8:$D$85,$A23)</x:f>
        <x:v>4</x:v>
      </x:c>
      <x:c r="D23" s="54" t="n">
        <x:f>SUMIFS('Task Plan'!$O$8:$O$85,'Task Plan'!$D$8:$D$85,$A23)</x:f>
        <x:v>4</x:v>
      </x:c>
      <x:c r="E23" s="54" t="n">
        <x:f>SUMIFS('Task Plan'!$P$8:$P$85,'Task Plan'!$D$8:$D$85,$A23)</x:f>
        <x:v>4</x:v>
      </x:c>
      <x:c r="F23" s="54" t="n">
        <x:f>SUMIFS('Task Plan'!$Q$8:$Q$85,'Task Plan'!$D$8:$D$85,$A23)</x:f>
        <x:v>4</x:v>
      </x:c>
      <x:c r="G23" s="54" t="n">
        <x:f>SUMIFS('Task Plan'!$R$8:$R$85,'Task Plan'!$D$8:$D$85,$A23)</x:f>
        <x:v>4</x:v>
      </x:c>
      <x:c r="H23" s="54" t="n">
        <x:f>SUMIFS('Task Plan'!$S$8:$S$85,'Task Plan'!$D$8:$D$85,$A23)</x:f>
        <x:v>4</x:v>
      </x:c>
      <x:c r="I23" s="54" t="n">
        <x:f>SUMIFS('Task Plan'!$T$8:$T$85,'Task Plan'!$D$8:$D$85,$A23)</x:f>
        <x:v>4</x:v>
      </x:c>
      <x:c r="J23" s="54" t="n">
        <x:f>SUMIFS('Task Plan'!$U$8:$U$85,'Task Plan'!$D$8:$D$85,$A23)</x:f>
        <x:v>4</x:v>
      </x:c>
      <x:c r="K23" s="54" t="n">
        <x:f>SUMIFS('Task Plan'!$V$8:$V$85,'Task Plan'!$D$8:$D$85,$A23)</x:f>
        <x:v>4</x:v>
      </x:c>
      <x:c r="L23" s="54" t="n">
        <x:f>SUMIFS('Task Plan'!$W$8:$W$85,'Task Plan'!$D$8:$D$85,$A23)</x:f>
        <x:v>4</x:v>
      </x:c>
      <x:c r="M23" s="54" t="n">
        <x:f>SUMIFS('Task Plan'!$X$8:$X$85,'Task Plan'!$D$8:$D$85,$A23)</x:f>
        <x:v>4</x:v>
      </x:c>
      <x:c r="N23" s="54" t="n">
        <x:f>SUMIFS('Task Plan'!$Y$8:$Y$85,'Task Plan'!$D$8:$D$85,$A23)</x:f>
        <x:v>4</x:v>
      </x:c>
      <x:c r="O23" s="54" t="n">
        <x:f>SUMIFS('Task Plan'!$Z$8:$Z$85,'Task Plan'!$D$8:$D$85,$A23)</x:f>
        <x:v>4</x:v>
      </x:c>
      <x:c r="P23" s="54" t="n">
        <x:f>SUMIFS('Task Plan'!$AA$8:$AA$85,'Task Plan'!$D$8:$D$85,$A23)</x:f>
        <x:v>1.5</x:v>
      </x:c>
      <x:c r="Q23" s="54" t="n">
        <x:f>SUMIFS('Task Plan'!$AB$8:$AB$85,'Task Plan'!$D$8:$D$85,$A23)</x:f>
        <x:v>0</x:v>
      </x:c>
      <x:c r="R23" s="54" t="n">
        <x:f>SUMIFS('Task Plan'!$AC$8:$AC$85,'Task Plan'!$D$8:$D$85,$A23)</x:f>
        <x:v>4</x:v>
      </x:c>
      <x:c r="S23" s="54" t="n">
        <x:f>SUMIFS('Task Plan'!$AD$8:$AD$85,'Task Plan'!$D$8:$D$85,$A23)</x:f>
        <x:v>3</x:v>
      </x:c>
      <x:c r="T23" s="9" t="n">
        <x:f>SUM(C23:S23)</x:f>
        <x:v>60.5</x:v>
      </x:c>
      <x:c r="U23" s="2" t="str">
        <x:f>IF(COUNTIFS('Task Plan'!$D$8:$D$85,$A23,'Task Plan'!$M$8:$M$85,"&lt;&gt;Scheduled")&gt;0,"Check tasks",IF(MIN(C26:S26)&lt;0,"Week overloaded",IF(OR(C23&gt;C24*$B$4,D23&gt;D24*$B$4,E23&gt;E24*$B$4,F23&gt;F24*$B$4,G23&gt;G24*$B$4,H23&gt;H24*$B$4,I23&gt;I24*$B$4,J23&gt;J24*$B$4,K23&gt;K24*$B$4,L23&gt;L24*$B$4,M23&gt;M24*$B$4,N23&gt;N24*$B$4,O23&gt;O24*$B$4,P23&gt;P24*$B$4,Q23&gt;Q24*$B$4,R23&gt;R24*$B$4,S23&gt;S24*$B$4),"Reserve reduced","Reserve available")))</x:f>
        <x:v>Reserve available</x:v>
      </x:c>
    </x:row>
    <x:row r="24">
      <x:c r="A24" s="22" t="str">
        <x:v>Dev 2</x:v>
      </x:c>
      <x:c r="B24" s="2" t="str">
        <x:v>Available days</x:v>
      </x:c>
      <x:c r="C24" s="54" t="n">
        <x:f>MAX(0,SUMIFS(Calendar!$C$16:$C$134,Calendar!$A$16:$A$134,"&gt;="&amp;C$17,Calendar!$A$16:$A$134,"&lt;="&amp;C$17+4)-C25)</x:f>
        <x:v>5</x:v>
      </x:c>
      <x:c r="D24" s="54" t="n">
        <x:f>MAX(0,SUMIFS(Calendar!$C$16:$C$134,Calendar!$A$16:$A$134,"&gt;="&amp;D$17,Calendar!$A$16:$A$134,"&lt;="&amp;D$17+4)-D25)</x:f>
        <x:v>5</x:v>
      </x:c>
      <x:c r="E24" s="54" t="n">
        <x:f>MAX(0,SUMIFS(Calendar!$C$16:$C$134,Calendar!$A$16:$A$134,"&gt;="&amp;E$17,Calendar!$A$16:$A$134,"&lt;="&amp;E$17+4)-E25)</x:f>
        <x:v>5</x:v>
      </x:c>
      <x:c r="F24" s="54" t="n">
        <x:f>MAX(0,SUMIFS(Calendar!$C$16:$C$134,Calendar!$A$16:$A$134,"&gt;="&amp;F$17,Calendar!$A$16:$A$134,"&lt;="&amp;F$17+4)-F25)</x:f>
        <x:v>5</x:v>
      </x:c>
      <x:c r="G24" s="54" t="n">
        <x:f>MAX(0,SUMIFS(Calendar!$C$16:$C$134,Calendar!$A$16:$A$134,"&gt;="&amp;G$17,Calendar!$A$16:$A$134,"&lt;="&amp;G$17+4)-G25)</x:f>
        <x:v>5</x:v>
      </x:c>
      <x:c r="H24" s="54" t="n">
        <x:f>MAX(0,SUMIFS(Calendar!$C$16:$C$134,Calendar!$A$16:$A$134,"&gt;="&amp;H$17,Calendar!$A$16:$A$134,"&lt;="&amp;H$17+4)-H25)</x:f>
        <x:v>5</x:v>
      </x:c>
      <x:c r="I24" s="54" t="n">
        <x:f>MAX(0,SUMIFS(Calendar!$C$16:$C$134,Calendar!$A$16:$A$134,"&gt;="&amp;I$17,Calendar!$A$16:$A$134,"&lt;="&amp;I$17+4)-I25)</x:f>
        <x:v>5</x:v>
      </x:c>
      <x:c r="J24" s="54" t="n">
        <x:f>MAX(0,SUMIFS(Calendar!$C$16:$C$134,Calendar!$A$16:$A$134,"&gt;="&amp;J$17,Calendar!$A$16:$A$134,"&lt;="&amp;J$17+4)-J25)</x:f>
        <x:v>5</x:v>
      </x:c>
      <x:c r="K24" s="54" t="n">
        <x:f>MAX(0,SUMIFS(Calendar!$C$16:$C$134,Calendar!$A$16:$A$134,"&gt;="&amp;K$17,Calendar!$A$16:$A$134,"&lt;="&amp;K$17+4)-K25)</x:f>
        <x:v>5</x:v>
      </x:c>
      <x:c r="L24" s="54" t="n">
        <x:f>MAX(0,SUMIFS(Calendar!$C$16:$C$134,Calendar!$A$16:$A$134,"&gt;="&amp;L$17,Calendar!$A$16:$A$134,"&lt;="&amp;L$17+4)-L25)</x:f>
        <x:v>5</x:v>
      </x:c>
      <x:c r="M24" s="54" t="n">
        <x:f>MAX(0,SUMIFS(Calendar!$C$16:$C$134,Calendar!$A$16:$A$134,"&gt;="&amp;M$17,Calendar!$A$16:$A$134,"&lt;="&amp;M$17+4)-M25)</x:f>
        <x:v>5</x:v>
      </x:c>
      <x:c r="N24" s="54" t="n">
        <x:f>MAX(0,SUMIFS(Calendar!$C$16:$C$134,Calendar!$A$16:$A$134,"&gt;="&amp;N$17,Calendar!$A$16:$A$134,"&lt;="&amp;N$17+4)-N25)</x:f>
        <x:v>5</x:v>
      </x:c>
      <x:c r="O24" s="54" t="n">
        <x:f>MAX(0,SUMIFS(Calendar!$C$16:$C$134,Calendar!$A$16:$A$134,"&gt;="&amp;O$17,Calendar!$A$16:$A$134,"&lt;="&amp;O$17+4)-O25)</x:f>
        <x:v>5</x:v>
      </x:c>
      <x:c r="P24" s="54" t="n">
        <x:f>MAX(0,SUMIFS(Calendar!$C$16:$C$134,Calendar!$A$16:$A$134,"&gt;="&amp;P$17,Calendar!$A$16:$A$134,"&lt;="&amp;P$17+4)-P25)</x:f>
        <x:v>2</x:v>
      </x:c>
      <x:c r="Q24" s="54" t="n">
        <x:f>MAX(0,SUMIFS(Calendar!$C$16:$C$134,Calendar!$A$16:$A$134,"&gt;="&amp;Q$17,Calendar!$A$16:$A$134,"&lt;="&amp;Q$17+4)-Q25)</x:f>
        <x:v>0</x:v>
      </x:c>
      <x:c r="R24" s="54" t="n">
        <x:f>MAX(0,SUMIFS(Calendar!$C$16:$C$134,Calendar!$A$16:$A$134,"&gt;="&amp;R$17,Calendar!$A$16:$A$134,"&lt;="&amp;R$17+4)-R25)</x:f>
        <x:v>5</x:v>
      </x:c>
      <x:c r="S24" s="54" t="n">
        <x:f>MAX(0,SUMIFS(Calendar!$C$16:$C$134,Calendar!$A$16:$A$134,"&gt;="&amp;S$17,Calendar!$A$16:$A$134,"&lt;="&amp;S$17+4)-S25)</x:f>
        <x:v>5</x:v>
      </x:c>
      <x:c r="T24" s="9" t="n">
        <x:f>SUM(C24:S24)</x:f>
        <x:v>77</x:v>
      </x:c>
      <x:c r="U24" s="2"/>
    </x:row>
    <x:row r="25">
      <x:c r="A25" s="22" t="str">
        <x:v>Dev 2</x:v>
      </x:c>
      <x:c r="B25" s="2" t="str">
        <x:v>Extra leave (input)</x:v>
      </x:c>
      <x:c r="C25" s="55" t="n">
        <x:v>0</x:v>
      </x:c>
      <x:c r="D25" s="55" t="n">
        <x:v>0</x:v>
      </x:c>
      <x:c r="E25" s="55" t="n">
        <x:v>0</x:v>
      </x:c>
      <x:c r="F25" s="55" t="n">
        <x:v>0</x:v>
      </x:c>
      <x:c r="G25" s="55" t="n">
        <x:v>0</x:v>
      </x:c>
      <x:c r="H25" s="55" t="n">
        <x:v>0</x:v>
      </x:c>
      <x:c r="I25" s="55" t="n">
        <x:v>0</x:v>
      </x:c>
      <x:c r="J25" s="55" t="n">
        <x:v>0</x:v>
      </x:c>
      <x:c r="K25" s="55" t="n">
        <x:v>0</x:v>
      </x:c>
      <x:c r="L25" s="55" t="n">
        <x:v>0</x:v>
      </x:c>
      <x:c r="M25" s="55" t="n">
        <x:v>0</x:v>
      </x:c>
      <x:c r="N25" s="55" t="n">
        <x:v>0</x:v>
      </x:c>
      <x:c r="O25" s="55" t="n">
        <x:v>0</x:v>
      </x:c>
      <x:c r="P25" s="55" t="n">
        <x:v>0</x:v>
      </x:c>
      <x:c r="Q25" s="55" t="n">
        <x:v>0</x:v>
      </x:c>
      <x:c r="R25" s="55" t="n">
        <x:v>0</x:v>
      </x:c>
      <x:c r="S25" s="55" t="n">
        <x:v>0</x:v>
      </x:c>
      <x:c r="T25" s="9" t="n">
        <x:f>SUM(C25:S25)</x:f>
        <x:v>0</x:v>
      </x:c>
      <x:c r="U25" s="2"/>
    </x:row>
    <x:row r="26">
      <x:c r="A26" s="22" t="str">
        <x:v>Dev 2</x:v>
      </x:c>
      <x:c r="B26" s="2" t="str">
        <x:v>Unassigned days</x:v>
      </x:c>
      <x:c r="C26" s="54" t="n">
        <x:f>C24-C23</x:f>
        <x:v>1</x:v>
      </x:c>
      <x:c r="D26" s="54" t="n">
        <x:f>D24-D23</x:f>
        <x:v>1</x:v>
      </x:c>
      <x:c r="E26" s="54" t="n">
        <x:f>E24-E23</x:f>
        <x:v>1</x:v>
      </x:c>
      <x:c r="F26" s="54" t="n">
        <x:f>F24-F23</x:f>
        <x:v>1</x:v>
      </x:c>
      <x:c r="G26" s="54" t="n">
        <x:f>G24-G23</x:f>
        <x:v>1</x:v>
      </x:c>
      <x:c r="H26" s="54" t="n">
        <x:f>H24-H23</x:f>
        <x:v>1</x:v>
      </x:c>
      <x:c r="I26" s="54" t="n">
        <x:f>I24-I23</x:f>
        <x:v>1</x:v>
      </x:c>
      <x:c r="J26" s="54" t="n">
        <x:f>J24-J23</x:f>
        <x:v>1</x:v>
      </x:c>
      <x:c r="K26" s="54" t="n">
        <x:f>K24-K23</x:f>
        <x:v>1</x:v>
      </x:c>
      <x:c r="L26" s="54" t="n">
        <x:f>L24-L23</x:f>
        <x:v>1</x:v>
      </x:c>
      <x:c r="M26" s="54" t="n">
        <x:f>M24-M23</x:f>
        <x:v>1</x:v>
      </x:c>
      <x:c r="N26" s="54" t="n">
        <x:f>N24-N23</x:f>
        <x:v>1</x:v>
      </x:c>
      <x:c r="O26" s="54" t="n">
        <x:f>O24-O23</x:f>
        <x:v>1</x:v>
      </x:c>
      <x:c r="P26" s="54" t="n">
        <x:f>P24-P23</x:f>
        <x:v>0.5</x:v>
      </x:c>
      <x:c r="Q26" s="54" t="n">
        <x:f>Q24-Q23</x:f>
        <x:v>0</x:v>
      </x:c>
      <x:c r="R26" s="54" t="n">
        <x:f>R24-R23</x:f>
        <x:v>1</x:v>
      </x:c>
      <x:c r="S26" s="54" t="n">
        <x:f>S24-S23</x:f>
        <x:v>2</x:v>
      </x:c>
      <x:c r="T26" s="9" t="n">
        <x:f>SUM(C26:S26)</x:f>
        <x:v>16.5</x:v>
      </x:c>
      <x:c r="U26" s="2"/>
    </x:row>
    <x:row r="27">
      <x:c r="A27" s="2"/>
      <x:c r="B27" s="2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54"/>
      <x:c r="T27" s="9"/>
      <x:c r="U27" s="2"/>
    </x:row>
    <x:row r="28">
      <x:c r="A28" s="24" t="str">
        <x:v>DS</x:v>
      </x:c>
      <x:c r="B28" s="2" t="str">
        <x:v>Scheduled days</x:v>
      </x:c>
      <x:c r="C28" s="54" t="n">
        <x:f>SUMIFS('Task Plan'!$N$8:$N$85,'Task Plan'!$D$8:$D$85,$A28)</x:f>
        <x:v>4</x:v>
      </x:c>
      <x:c r="D28" s="54" t="n">
        <x:f>SUMIFS('Task Plan'!$O$8:$O$85,'Task Plan'!$D$8:$D$85,$A28)</x:f>
        <x:v>4</x:v>
      </x:c>
      <x:c r="E28" s="54" t="n">
        <x:f>SUMIFS('Task Plan'!$P$8:$P$85,'Task Plan'!$D$8:$D$85,$A28)</x:f>
        <x:v>4</x:v>
      </x:c>
      <x:c r="F28" s="54" t="n">
        <x:f>SUMIFS('Task Plan'!$Q$8:$Q$85,'Task Plan'!$D$8:$D$85,$A28)</x:f>
        <x:v>4</x:v>
      </x:c>
      <x:c r="G28" s="54" t="n">
        <x:f>SUMIFS('Task Plan'!$R$8:$R$85,'Task Plan'!$D$8:$D$85,$A28)</x:f>
        <x:v>4</x:v>
      </x:c>
      <x:c r="H28" s="54" t="n">
        <x:f>SUMIFS('Task Plan'!$S$8:$S$85,'Task Plan'!$D$8:$D$85,$A28)</x:f>
        <x:v>4</x:v>
      </x:c>
      <x:c r="I28" s="54" t="n">
        <x:f>SUMIFS('Task Plan'!$T$8:$T$85,'Task Plan'!$D$8:$D$85,$A28)</x:f>
        <x:v>4</x:v>
      </x:c>
      <x:c r="J28" s="54" t="n">
        <x:f>SUMIFS('Task Plan'!$U$8:$U$85,'Task Plan'!$D$8:$D$85,$A28)</x:f>
        <x:v>4</x:v>
      </x:c>
      <x:c r="K28" s="54" t="n">
        <x:f>SUMIFS('Task Plan'!$V$8:$V$85,'Task Plan'!$D$8:$D$85,$A28)</x:f>
        <x:v>4</x:v>
      </x:c>
      <x:c r="L28" s="54" t="n">
        <x:f>SUMIFS('Task Plan'!$W$8:$W$85,'Task Plan'!$D$8:$D$85,$A28)</x:f>
        <x:v>4</x:v>
      </x:c>
      <x:c r="M28" s="54" t="n">
        <x:f>SUMIFS('Task Plan'!$X$8:$X$85,'Task Plan'!$D$8:$D$85,$A28)</x:f>
        <x:v>4</x:v>
      </x:c>
      <x:c r="N28" s="54" t="n">
        <x:f>SUMIFS('Task Plan'!$Y$8:$Y$85,'Task Plan'!$D$8:$D$85,$A28)</x:f>
        <x:v>3</x:v>
      </x:c>
      <x:c r="O28" s="54" t="n">
        <x:f>SUMIFS('Task Plan'!$Z$8:$Z$85,'Task Plan'!$D$8:$D$85,$A28)</x:f>
        <x:v>3</x:v>
      </x:c>
      <x:c r="P28" s="54" t="n">
        <x:f>SUMIFS('Task Plan'!$AA$8:$AA$85,'Task Plan'!$D$8:$D$85,$A28)</x:f>
        <x:v>1</x:v>
      </x:c>
      <x:c r="Q28" s="54" t="n">
        <x:f>SUMIFS('Task Plan'!$AB$8:$AB$85,'Task Plan'!$D$8:$D$85,$A28)</x:f>
        <x:v>0</x:v>
      </x:c>
      <x:c r="R28" s="54" t="n">
        <x:f>SUMIFS('Task Plan'!$AC$8:$AC$85,'Task Plan'!$D$8:$D$85,$A28)</x:f>
        <x:v>4</x:v>
      </x:c>
      <x:c r="S28" s="54" t="n">
        <x:f>SUMIFS('Task Plan'!$AD$8:$AD$85,'Task Plan'!$D$8:$D$85,$A28)</x:f>
        <x:v>2</x:v>
      </x:c>
      <x:c r="T28" s="9" t="n">
        <x:f>SUM(C28:S28)</x:f>
        <x:v>57</x:v>
      </x:c>
      <x:c r="U28" s="2" t="str">
        <x:f>IF(COUNTIFS('Task Plan'!$D$8:$D$85,$A28,'Task Plan'!$M$8:$M$85,"&lt;&gt;Scheduled")&gt;0,"Check tasks",IF(MIN(C31:S31)&lt;0,"Week overloaded",IF(OR(C28&gt;C29*$B$4,D28&gt;D29*$B$4,E28&gt;E29*$B$4,F28&gt;F29*$B$4,G28&gt;G29*$B$4,H28&gt;H29*$B$4,I28&gt;I29*$B$4,J28&gt;J29*$B$4,K28&gt;K29*$B$4,L28&gt;L29*$B$4,M28&gt;M29*$B$4,N28&gt;N29*$B$4,O28&gt;O29*$B$4,P28&gt;P29*$B$4,Q28&gt;Q29*$B$4,R28&gt;R29*$B$4,S28&gt;S29*$B$4),"Reserve reduced","Reserve available")))</x:f>
        <x:v>Reserve available</x:v>
      </x:c>
    </x:row>
    <x:row r="29">
      <x:c r="A29" s="24" t="str">
        <x:v>DS</x:v>
      </x:c>
      <x:c r="B29" s="2" t="str">
        <x:v>Available days</x:v>
      </x:c>
      <x:c r="C29" s="54" t="n">
        <x:f>MAX(0,SUMIFS(Calendar!$C$16:$C$134,Calendar!$A$16:$A$134,"&gt;="&amp;C$17,Calendar!$A$16:$A$134,"&lt;="&amp;C$17+4)-C30)</x:f>
        <x:v>5</x:v>
      </x:c>
      <x:c r="D29" s="54" t="n">
        <x:f>MAX(0,SUMIFS(Calendar!$C$16:$C$134,Calendar!$A$16:$A$134,"&gt;="&amp;D$17,Calendar!$A$16:$A$134,"&lt;="&amp;D$17+4)-D30)</x:f>
        <x:v>5</x:v>
      </x:c>
      <x:c r="E29" s="54" t="n">
        <x:f>MAX(0,SUMIFS(Calendar!$C$16:$C$134,Calendar!$A$16:$A$134,"&gt;="&amp;E$17,Calendar!$A$16:$A$134,"&lt;="&amp;E$17+4)-E30)</x:f>
        <x:v>5</x:v>
      </x:c>
      <x:c r="F29" s="54" t="n">
        <x:f>MAX(0,SUMIFS(Calendar!$C$16:$C$134,Calendar!$A$16:$A$134,"&gt;="&amp;F$17,Calendar!$A$16:$A$134,"&lt;="&amp;F$17+4)-F30)</x:f>
        <x:v>5</x:v>
      </x:c>
      <x:c r="G29" s="54" t="n">
        <x:f>MAX(0,SUMIFS(Calendar!$C$16:$C$134,Calendar!$A$16:$A$134,"&gt;="&amp;G$17,Calendar!$A$16:$A$134,"&lt;="&amp;G$17+4)-G30)</x:f>
        <x:v>5</x:v>
      </x:c>
      <x:c r="H29" s="54" t="n">
        <x:f>MAX(0,SUMIFS(Calendar!$C$16:$C$134,Calendar!$A$16:$A$134,"&gt;="&amp;H$17,Calendar!$A$16:$A$134,"&lt;="&amp;H$17+4)-H30)</x:f>
        <x:v>5</x:v>
      </x:c>
      <x:c r="I29" s="54" t="n">
        <x:f>MAX(0,SUMIFS(Calendar!$C$16:$C$134,Calendar!$A$16:$A$134,"&gt;="&amp;I$17,Calendar!$A$16:$A$134,"&lt;="&amp;I$17+4)-I30)</x:f>
        <x:v>5</x:v>
      </x:c>
      <x:c r="J29" s="54" t="n">
        <x:f>MAX(0,SUMIFS(Calendar!$C$16:$C$134,Calendar!$A$16:$A$134,"&gt;="&amp;J$17,Calendar!$A$16:$A$134,"&lt;="&amp;J$17+4)-J30)</x:f>
        <x:v>5</x:v>
      </x:c>
      <x:c r="K29" s="54" t="n">
        <x:f>MAX(0,SUMIFS(Calendar!$C$16:$C$134,Calendar!$A$16:$A$134,"&gt;="&amp;K$17,Calendar!$A$16:$A$134,"&lt;="&amp;K$17+4)-K30)</x:f>
        <x:v>5</x:v>
      </x:c>
      <x:c r="L29" s="54" t="n">
        <x:f>MAX(0,SUMIFS(Calendar!$C$16:$C$134,Calendar!$A$16:$A$134,"&gt;="&amp;L$17,Calendar!$A$16:$A$134,"&lt;="&amp;L$17+4)-L30)</x:f>
        <x:v>5</x:v>
      </x:c>
      <x:c r="M29" s="54" t="n">
        <x:f>MAX(0,SUMIFS(Calendar!$C$16:$C$134,Calendar!$A$16:$A$134,"&gt;="&amp;M$17,Calendar!$A$16:$A$134,"&lt;="&amp;M$17+4)-M30)</x:f>
        <x:v>5</x:v>
      </x:c>
      <x:c r="N29" s="54" t="n">
        <x:f>MAX(0,SUMIFS(Calendar!$C$16:$C$134,Calendar!$A$16:$A$134,"&gt;="&amp;N$17,Calendar!$A$16:$A$134,"&lt;="&amp;N$17+4)-N30)</x:f>
        <x:v>5</x:v>
      </x:c>
      <x:c r="O29" s="54" t="n">
        <x:f>MAX(0,SUMIFS(Calendar!$C$16:$C$134,Calendar!$A$16:$A$134,"&gt;="&amp;O$17,Calendar!$A$16:$A$134,"&lt;="&amp;O$17+4)-O30)</x:f>
        <x:v>5</x:v>
      </x:c>
      <x:c r="P29" s="54" t="n">
        <x:f>MAX(0,SUMIFS(Calendar!$C$16:$C$134,Calendar!$A$16:$A$134,"&gt;="&amp;P$17,Calendar!$A$16:$A$134,"&lt;="&amp;P$17+4)-P30)</x:f>
        <x:v>2</x:v>
      </x:c>
      <x:c r="Q29" s="54" t="n">
        <x:f>MAX(0,SUMIFS(Calendar!$C$16:$C$134,Calendar!$A$16:$A$134,"&gt;="&amp;Q$17,Calendar!$A$16:$A$134,"&lt;="&amp;Q$17+4)-Q30)</x:f>
        <x:v>0</x:v>
      </x:c>
      <x:c r="R29" s="54" t="n">
        <x:f>MAX(0,SUMIFS(Calendar!$C$16:$C$134,Calendar!$A$16:$A$134,"&gt;="&amp;R$17,Calendar!$A$16:$A$134,"&lt;="&amp;R$17+4)-R30)</x:f>
        <x:v>5</x:v>
      </x:c>
      <x:c r="S29" s="54" t="n">
        <x:f>MAX(0,SUMIFS(Calendar!$C$16:$C$134,Calendar!$A$16:$A$134,"&gt;="&amp;S$17,Calendar!$A$16:$A$134,"&lt;="&amp;S$17+4)-S30)</x:f>
        <x:v>5</x:v>
      </x:c>
      <x:c r="T29" s="9" t="n">
        <x:f>SUM(C29:S29)</x:f>
        <x:v>77</x:v>
      </x:c>
      <x:c r="U29" s="2"/>
    </x:row>
    <x:row r="30">
      <x:c r="A30" s="24" t="str">
        <x:v>DS</x:v>
      </x:c>
      <x:c r="B30" s="2" t="str">
        <x:v>Extra leave (input)</x:v>
      </x:c>
      <x:c r="C30" s="55" t="n">
        <x:v>0</x:v>
      </x:c>
      <x:c r="D30" s="55" t="n">
        <x:v>0</x:v>
      </x:c>
      <x:c r="E30" s="55" t="n">
        <x:v>0</x:v>
      </x:c>
      <x:c r="F30" s="55" t="n">
        <x:v>0</x:v>
      </x:c>
      <x:c r="G30" s="55" t="n">
        <x:v>0</x:v>
      </x:c>
      <x:c r="H30" s="55" t="n">
        <x:v>0</x:v>
      </x:c>
      <x:c r="I30" s="55" t="n">
        <x:v>0</x:v>
      </x:c>
      <x:c r="J30" s="55" t="n">
        <x:v>0</x:v>
      </x:c>
      <x:c r="K30" s="55" t="n">
        <x:v>0</x:v>
      </x:c>
      <x:c r="L30" s="55" t="n">
        <x:v>0</x:v>
      </x:c>
      <x:c r="M30" s="55" t="n">
        <x:v>0</x:v>
      </x:c>
      <x:c r="N30" s="55" t="n">
        <x:v>0</x:v>
      </x:c>
      <x:c r="O30" s="55" t="n">
        <x:v>0</x:v>
      </x:c>
      <x:c r="P30" s="55" t="n">
        <x:v>0</x:v>
      </x:c>
      <x:c r="Q30" s="55" t="n">
        <x:v>0</x:v>
      </x:c>
      <x:c r="R30" s="55" t="n">
        <x:v>0</x:v>
      </x:c>
      <x:c r="S30" s="55" t="n">
        <x:v>0</x:v>
      </x:c>
      <x:c r="T30" s="9" t="n">
        <x:f>SUM(C30:S30)</x:f>
        <x:v>0</x:v>
      </x:c>
      <x:c r="U30" s="2"/>
    </x:row>
    <x:row r="31">
      <x:c r="A31" s="24" t="str">
        <x:v>DS</x:v>
      </x:c>
      <x:c r="B31" s="2" t="str">
        <x:v>Unassigned days</x:v>
      </x:c>
      <x:c r="C31" s="54" t="n">
        <x:f>C29-C28</x:f>
        <x:v>1</x:v>
      </x:c>
      <x:c r="D31" s="54" t="n">
        <x:f>D29-D28</x:f>
        <x:v>1</x:v>
      </x:c>
      <x:c r="E31" s="54" t="n">
        <x:f>E29-E28</x:f>
        <x:v>1</x:v>
      </x:c>
      <x:c r="F31" s="54" t="n">
        <x:f>F29-F28</x:f>
        <x:v>1</x:v>
      </x:c>
      <x:c r="G31" s="54" t="n">
        <x:f>G29-G28</x:f>
        <x:v>1</x:v>
      </x:c>
      <x:c r="H31" s="54" t="n">
        <x:f>H29-H28</x:f>
        <x:v>1</x:v>
      </x:c>
      <x:c r="I31" s="54" t="n">
        <x:f>I29-I28</x:f>
        <x:v>1</x:v>
      </x:c>
      <x:c r="J31" s="54" t="n">
        <x:f>J29-J28</x:f>
        <x:v>1</x:v>
      </x:c>
      <x:c r="K31" s="54" t="n">
        <x:f>K29-K28</x:f>
        <x:v>1</x:v>
      </x:c>
      <x:c r="L31" s="54" t="n">
        <x:f>L29-L28</x:f>
        <x:v>1</x:v>
      </x:c>
      <x:c r="M31" s="54" t="n">
        <x:f>M29-M28</x:f>
        <x:v>1</x:v>
      </x:c>
      <x:c r="N31" s="54" t="n">
        <x:f>N29-N28</x:f>
        <x:v>2</x:v>
      </x:c>
      <x:c r="O31" s="54" t="n">
        <x:f>O29-O28</x:f>
        <x:v>2</x:v>
      </x:c>
      <x:c r="P31" s="54" t="n">
        <x:f>P29-P28</x:f>
        <x:v>1</x:v>
      </x:c>
      <x:c r="Q31" s="54" t="n">
        <x:f>Q29-Q28</x:f>
        <x:v>0</x:v>
      </x:c>
      <x:c r="R31" s="54" t="n">
        <x:f>R29-R28</x:f>
        <x:v>1</x:v>
      </x:c>
      <x:c r="S31" s="54" t="n">
        <x:f>S29-S28</x:f>
        <x:v>3</x:v>
      </x:c>
      <x:c r="T31" s="9" t="n">
        <x:f>SUM(C31:S31)</x:f>
        <x:v>20</x:v>
      </x:c>
      <x:c r="U31" s="2"/>
    </x:row>
    <x:row r="32">
      <x:c r="A32" s="2"/>
      <x:c r="B32" s="2"/>
      <x:c r="C32" s="54"/>
      <x:c r="D32" s="54"/>
      <x:c r="E32" s="54"/>
      <x:c r="F32" s="54"/>
      <x:c r="G32" s="54"/>
      <x:c r="H32" s="54"/>
      <x:c r="I32" s="54"/>
      <x:c r="J32" s="54"/>
      <x:c r="K32" s="54"/>
      <x:c r="L32" s="54"/>
      <x:c r="M32" s="54"/>
      <x:c r="N32" s="54"/>
      <x:c r="O32" s="54"/>
      <x:c r="P32" s="54"/>
      <x:c r="Q32" s="54"/>
      <x:c r="R32" s="54"/>
      <x:c r="S32" s="54"/>
      <x:c r="T32" s="9"/>
      <x:c r="U32" s="2"/>
    </x:row>
    <x:row r="33">
      <x:c r="A33" s="28" t="str">
        <x:v>Tester 1</x:v>
      </x:c>
      <x:c r="B33" s="2" t="str">
        <x:v>Scheduled days</x:v>
      </x:c>
      <x:c r="C33" s="54" t="n">
        <x:f>SUMIFS('Task Plan'!$N$8:$N$85,'Task Plan'!$D$8:$D$85,$A33)</x:f>
        <x:v>4</x:v>
      </x:c>
      <x:c r="D33" s="54" t="n">
        <x:f>SUMIFS('Task Plan'!$O$8:$O$85,'Task Plan'!$D$8:$D$85,$A33)</x:f>
        <x:v>4</x:v>
      </x:c>
      <x:c r="E33" s="54" t="n">
        <x:f>SUMIFS('Task Plan'!$P$8:$P$85,'Task Plan'!$D$8:$D$85,$A33)</x:f>
        <x:v>4</x:v>
      </x:c>
      <x:c r="F33" s="54" t="n">
        <x:f>SUMIFS('Task Plan'!$Q$8:$Q$85,'Task Plan'!$D$8:$D$85,$A33)</x:f>
        <x:v>4</x:v>
      </x:c>
      <x:c r="G33" s="54" t="n">
        <x:f>SUMIFS('Task Plan'!$R$8:$R$85,'Task Plan'!$D$8:$D$85,$A33)</x:f>
        <x:v>4</x:v>
      </x:c>
      <x:c r="H33" s="54" t="n">
        <x:f>SUMIFS('Task Plan'!$S$8:$S$85,'Task Plan'!$D$8:$D$85,$A33)</x:f>
        <x:v>4</x:v>
      </x:c>
      <x:c r="I33" s="54" t="n">
        <x:f>SUMIFS('Task Plan'!$T$8:$T$85,'Task Plan'!$D$8:$D$85,$A33)</x:f>
        <x:v>4</x:v>
      </x:c>
      <x:c r="J33" s="54" t="n">
        <x:f>SUMIFS('Task Plan'!$U$8:$U$85,'Task Plan'!$D$8:$D$85,$A33)</x:f>
        <x:v>4</x:v>
      </x:c>
      <x:c r="K33" s="54" t="n">
        <x:f>SUMIFS('Task Plan'!$V$8:$V$85,'Task Plan'!$D$8:$D$85,$A33)</x:f>
        <x:v>4</x:v>
      </x:c>
      <x:c r="L33" s="54" t="n">
        <x:f>SUMIFS('Task Plan'!$W$8:$W$85,'Task Plan'!$D$8:$D$85,$A33)</x:f>
        <x:v>4</x:v>
      </x:c>
      <x:c r="M33" s="54" t="n">
        <x:f>SUMIFS('Task Plan'!$X$8:$X$85,'Task Plan'!$D$8:$D$85,$A33)</x:f>
        <x:v>4</x:v>
      </x:c>
      <x:c r="N33" s="54" t="n">
        <x:f>SUMIFS('Task Plan'!$Y$8:$Y$85,'Task Plan'!$D$8:$D$85,$A33)</x:f>
        <x:v>4</x:v>
      </x:c>
      <x:c r="O33" s="54" t="n">
        <x:f>SUMIFS('Task Plan'!$Z$8:$Z$85,'Task Plan'!$D$8:$D$85,$A33)</x:f>
        <x:v>4</x:v>
      </x:c>
      <x:c r="P33" s="54" t="n">
        <x:f>SUMIFS('Task Plan'!$AA$8:$AA$85,'Task Plan'!$D$8:$D$85,$A33)</x:f>
        <x:v>1.5</x:v>
      </x:c>
      <x:c r="Q33" s="54" t="n">
        <x:f>SUMIFS('Task Plan'!$AB$8:$AB$85,'Task Plan'!$D$8:$D$85,$A33)</x:f>
        <x:v>0</x:v>
      </x:c>
      <x:c r="R33" s="54" t="n">
        <x:f>SUMIFS('Task Plan'!$AC$8:$AC$85,'Task Plan'!$D$8:$D$85,$A33)</x:f>
        <x:v>4</x:v>
      </x:c>
      <x:c r="S33" s="54" t="n">
        <x:f>SUMIFS('Task Plan'!$AD$8:$AD$85,'Task Plan'!$D$8:$D$85,$A33)</x:f>
        <x:v>3</x:v>
      </x:c>
      <x:c r="T33" s="9" t="n">
        <x:f>SUM(C33:S33)</x:f>
        <x:v>60.5</x:v>
      </x:c>
      <x:c r="U33" s="2" t="str">
        <x:f>IF(COUNTIFS('Task Plan'!$D$8:$D$85,$A33,'Task Plan'!$M$8:$M$85,"&lt;&gt;Scheduled")&gt;0,"Check tasks",IF(MIN(C36:S36)&lt;0,"Week overloaded",IF(OR(C33&gt;C34*$B$4,D33&gt;D34*$B$4,E33&gt;E34*$B$4,F33&gt;F34*$B$4,G33&gt;G34*$B$4,H33&gt;H34*$B$4,I33&gt;I34*$B$4,J33&gt;J34*$B$4,K33&gt;K34*$B$4,L33&gt;L34*$B$4,M33&gt;M34*$B$4,N33&gt;N34*$B$4,O33&gt;O34*$B$4,P33&gt;P34*$B$4,Q33&gt;Q34*$B$4,R33&gt;R34*$B$4,S33&gt;S34*$B$4),"Reserve reduced","Reserve available")))</x:f>
        <x:v>Reserve available</x:v>
      </x:c>
    </x:row>
    <x:row r="34">
      <x:c r="A34" s="28" t="str">
        <x:v>Tester 1</x:v>
      </x:c>
      <x:c r="B34" s="2" t="str">
        <x:v>Available days</x:v>
      </x:c>
      <x:c r="C34" s="54" t="n">
        <x:f>MAX(0,SUMIFS(Calendar!$C$16:$C$134,Calendar!$A$16:$A$134,"&gt;="&amp;C$17,Calendar!$A$16:$A$134,"&lt;="&amp;C$17+4)-C35)</x:f>
        <x:v>5</x:v>
      </x:c>
      <x:c r="D34" s="54" t="n">
        <x:f>MAX(0,SUMIFS(Calendar!$C$16:$C$134,Calendar!$A$16:$A$134,"&gt;="&amp;D$17,Calendar!$A$16:$A$134,"&lt;="&amp;D$17+4)-D35)</x:f>
        <x:v>5</x:v>
      </x:c>
      <x:c r="E34" s="54" t="n">
        <x:f>MAX(0,SUMIFS(Calendar!$C$16:$C$134,Calendar!$A$16:$A$134,"&gt;="&amp;E$17,Calendar!$A$16:$A$134,"&lt;="&amp;E$17+4)-E35)</x:f>
        <x:v>5</x:v>
      </x:c>
      <x:c r="F34" s="54" t="n">
        <x:f>MAX(0,SUMIFS(Calendar!$C$16:$C$134,Calendar!$A$16:$A$134,"&gt;="&amp;F$17,Calendar!$A$16:$A$134,"&lt;="&amp;F$17+4)-F35)</x:f>
        <x:v>5</x:v>
      </x:c>
      <x:c r="G34" s="54" t="n">
        <x:f>MAX(0,SUMIFS(Calendar!$C$16:$C$134,Calendar!$A$16:$A$134,"&gt;="&amp;G$17,Calendar!$A$16:$A$134,"&lt;="&amp;G$17+4)-G35)</x:f>
        <x:v>5</x:v>
      </x:c>
      <x:c r="H34" s="54" t="n">
        <x:f>MAX(0,SUMIFS(Calendar!$C$16:$C$134,Calendar!$A$16:$A$134,"&gt;="&amp;H$17,Calendar!$A$16:$A$134,"&lt;="&amp;H$17+4)-H35)</x:f>
        <x:v>5</x:v>
      </x:c>
      <x:c r="I34" s="54" t="n">
        <x:f>MAX(0,SUMIFS(Calendar!$C$16:$C$134,Calendar!$A$16:$A$134,"&gt;="&amp;I$17,Calendar!$A$16:$A$134,"&lt;="&amp;I$17+4)-I35)</x:f>
        <x:v>5</x:v>
      </x:c>
      <x:c r="J34" s="54" t="n">
        <x:f>MAX(0,SUMIFS(Calendar!$C$16:$C$134,Calendar!$A$16:$A$134,"&gt;="&amp;J$17,Calendar!$A$16:$A$134,"&lt;="&amp;J$17+4)-J35)</x:f>
        <x:v>5</x:v>
      </x:c>
      <x:c r="K34" s="54" t="n">
        <x:f>MAX(0,SUMIFS(Calendar!$C$16:$C$134,Calendar!$A$16:$A$134,"&gt;="&amp;K$17,Calendar!$A$16:$A$134,"&lt;="&amp;K$17+4)-K35)</x:f>
        <x:v>5</x:v>
      </x:c>
      <x:c r="L34" s="54" t="n">
        <x:f>MAX(0,SUMIFS(Calendar!$C$16:$C$134,Calendar!$A$16:$A$134,"&gt;="&amp;L$17,Calendar!$A$16:$A$134,"&lt;="&amp;L$17+4)-L35)</x:f>
        <x:v>5</x:v>
      </x:c>
      <x:c r="M34" s="54" t="n">
        <x:f>MAX(0,SUMIFS(Calendar!$C$16:$C$134,Calendar!$A$16:$A$134,"&gt;="&amp;M$17,Calendar!$A$16:$A$134,"&lt;="&amp;M$17+4)-M35)</x:f>
        <x:v>5</x:v>
      </x:c>
      <x:c r="N34" s="54" t="n">
        <x:f>MAX(0,SUMIFS(Calendar!$C$16:$C$134,Calendar!$A$16:$A$134,"&gt;="&amp;N$17,Calendar!$A$16:$A$134,"&lt;="&amp;N$17+4)-N35)</x:f>
        <x:v>5</x:v>
      </x:c>
      <x:c r="O34" s="54" t="n">
        <x:f>MAX(0,SUMIFS(Calendar!$C$16:$C$134,Calendar!$A$16:$A$134,"&gt;="&amp;O$17,Calendar!$A$16:$A$134,"&lt;="&amp;O$17+4)-O35)</x:f>
        <x:v>5</x:v>
      </x:c>
      <x:c r="P34" s="54" t="n">
        <x:f>MAX(0,SUMIFS(Calendar!$C$16:$C$134,Calendar!$A$16:$A$134,"&gt;="&amp;P$17,Calendar!$A$16:$A$134,"&lt;="&amp;P$17+4)-P35)</x:f>
        <x:v>2</x:v>
      </x:c>
      <x:c r="Q34" s="54" t="n">
        <x:f>MAX(0,SUMIFS(Calendar!$C$16:$C$134,Calendar!$A$16:$A$134,"&gt;="&amp;Q$17,Calendar!$A$16:$A$134,"&lt;="&amp;Q$17+4)-Q35)</x:f>
        <x:v>0</x:v>
      </x:c>
      <x:c r="R34" s="54" t="n">
        <x:f>MAX(0,SUMIFS(Calendar!$C$16:$C$134,Calendar!$A$16:$A$134,"&gt;="&amp;R$17,Calendar!$A$16:$A$134,"&lt;="&amp;R$17+4)-R35)</x:f>
        <x:v>5</x:v>
      </x:c>
      <x:c r="S34" s="54" t="n">
        <x:f>MAX(0,SUMIFS(Calendar!$C$16:$C$134,Calendar!$A$16:$A$134,"&gt;="&amp;S$17,Calendar!$A$16:$A$134,"&lt;="&amp;S$17+4)-S35)</x:f>
        <x:v>5</x:v>
      </x:c>
      <x:c r="T34" s="9" t="n">
        <x:f>SUM(C34:S34)</x:f>
        <x:v>77</x:v>
      </x:c>
      <x:c r="U34" s="2"/>
    </x:row>
    <x:row r="35">
      <x:c r="A35" s="28" t="str">
        <x:v>Tester 1</x:v>
      </x:c>
      <x:c r="B35" s="2" t="str">
        <x:v>Extra leave (input)</x:v>
      </x:c>
      <x:c r="C35" s="55" t="n">
        <x:v>0</x:v>
      </x:c>
      <x:c r="D35" s="55" t="n">
        <x:v>0</x:v>
      </x:c>
      <x:c r="E35" s="55" t="n">
        <x:v>0</x:v>
      </x:c>
      <x:c r="F35" s="55" t="n">
        <x:v>0</x:v>
      </x:c>
      <x:c r="G35" s="55" t="n">
        <x:v>0</x:v>
      </x:c>
      <x:c r="H35" s="55" t="n">
        <x:v>0</x:v>
      </x:c>
      <x:c r="I35" s="55" t="n">
        <x:v>0</x:v>
      </x:c>
      <x:c r="J35" s="55" t="n">
        <x:v>0</x:v>
      </x:c>
      <x:c r="K35" s="55" t="n">
        <x:v>0</x:v>
      </x:c>
      <x:c r="L35" s="55" t="n">
        <x:v>0</x:v>
      </x:c>
      <x:c r="M35" s="55" t="n">
        <x:v>0</x:v>
      </x:c>
      <x:c r="N35" s="55" t="n">
        <x:v>0</x:v>
      </x:c>
      <x:c r="O35" s="55" t="n">
        <x:v>0</x:v>
      </x:c>
      <x:c r="P35" s="55" t="n">
        <x:v>0</x:v>
      </x:c>
      <x:c r="Q35" s="55" t="n">
        <x:v>0</x:v>
      </x:c>
      <x:c r="R35" s="55" t="n">
        <x:v>0</x:v>
      </x:c>
      <x:c r="S35" s="55" t="n">
        <x:v>0</x:v>
      </x:c>
      <x:c r="T35" s="9" t="n">
        <x:f>SUM(C35:S35)</x:f>
        <x:v>0</x:v>
      </x:c>
      <x:c r="U35" s="2"/>
    </x:row>
    <x:row r="36">
      <x:c r="A36" s="28" t="str">
        <x:v>Tester 1</x:v>
      </x:c>
      <x:c r="B36" s="2" t="str">
        <x:v>Unassigned days</x:v>
      </x:c>
      <x:c r="C36" s="54" t="n">
        <x:f>C34-C33</x:f>
        <x:v>1</x:v>
      </x:c>
      <x:c r="D36" s="54" t="n">
        <x:f>D34-D33</x:f>
        <x:v>1</x:v>
      </x:c>
      <x:c r="E36" s="54" t="n">
        <x:f>E34-E33</x:f>
        <x:v>1</x:v>
      </x:c>
      <x:c r="F36" s="54" t="n">
        <x:f>F34-F33</x:f>
        <x:v>1</x:v>
      </x:c>
      <x:c r="G36" s="54" t="n">
        <x:f>G34-G33</x:f>
        <x:v>1</x:v>
      </x:c>
      <x:c r="H36" s="54" t="n">
        <x:f>H34-H33</x:f>
        <x:v>1</x:v>
      </x:c>
      <x:c r="I36" s="54" t="n">
        <x:f>I34-I33</x:f>
        <x:v>1</x:v>
      </x:c>
      <x:c r="J36" s="54" t="n">
        <x:f>J34-J33</x:f>
        <x:v>1</x:v>
      </x:c>
      <x:c r="K36" s="54" t="n">
        <x:f>K34-K33</x:f>
        <x:v>1</x:v>
      </x:c>
      <x:c r="L36" s="54" t="n">
        <x:f>L34-L33</x:f>
        <x:v>1</x:v>
      </x:c>
      <x:c r="M36" s="54" t="n">
        <x:f>M34-M33</x:f>
        <x:v>1</x:v>
      </x:c>
      <x:c r="N36" s="54" t="n">
        <x:f>N34-N33</x:f>
        <x:v>1</x:v>
      </x:c>
      <x:c r="O36" s="54" t="n">
        <x:f>O34-O33</x:f>
        <x:v>1</x:v>
      </x:c>
      <x:c r="P36" s="54" t="n">
        <x:f>P34-P33</x:f>
        <x:v>0.5</x:v>
      </x:c>
      <x:c r="Q36" s="54" t="n">
        <x:f>Q34-Q33</x:f>
        <x:v>0</x:v>
      </x:c>
      <x:c r="R36" s="54" t="n">
        <x:f>R34-R33</x:f>
        <x:v>1</x:v>
      </x:c>
      <x:c r="S36" s="54" t="n">
        <x:f>S34-S33</x:f>
        <x:v>2</x:v>
      </x:c>
      <x:c r="T36" s="9" t="n">
        <x:f>SUM(C36:S36)</x:f>
        <x:v>16.5</x:v>
      </x:c>
      <x:c r="U36" s="2"/>
    </x:row>
    <x:row r="37">
      <x:c r="A37" s="2"/>
      <x:c r="B37" s="2"/>
      <x:c r="C37" s="54"/>
      <x:c r="D37" s="54"/>
      <x:c r="E37" s="54"/>
      <x:c r="F37" s="54"/>
      <x:c r="G37" s="54"/>
      <x:c r="H37" s="54"/>
      <x:c r="I37" s="54"/>
      <x:c r="J37" s="54"/>
      <x:c r="K37" s="54"/>
      <x:c r="L37" s="54"/>
      <x:c r="M37" s="54"/>
      <x:c r="N37" s="54"/>
      <x:c r="O37" s="54"/>
      <x:c r="P37" s="54"/>
      <x:c r="Q37" s="54"/>
      <x:c r="R37" s="54"/>
      <x:c r="S37" s="54"/>
      <x:c r="T37" s="9"/>
      <x:c r="U37" s="2"/>
    </x:row>
    <x:row r="38">
      <x:c r="A38" s="30" t="str">
        <x:v>Tester 2</x:v>
      </x:c>
      <x:c r="B38" s="2" t="str">
        <x:v>Scheduled days</x:v>
      </x:c>
      <x:c r="C38" s="54" t="n">
        <x:f>SUMIFS('Task Plan'!$N$8:$N$85,'Task Plan'!$D$8:$D$85,$A38)</x:f>
        <x:v>4</x:v>
      </x:c>
      <x:c r="D38" s="54" t="n">
        <x:f>SUMIFS('Task Plan'!$O$8:$O$85,'Task Plan'!$D$8:$D$85,$A38)</x:f>
        <x:v>4</x:v>
      </x:c>
      <x:c r="E38" s="54" t="n">
        <x:f>SUMIFS('Task Plan'!$P$8:$P$85,'Task Plan'!$D$8:$D$85,$A38)</x:f>
        <x:v>4</x:v>
      </x:c>
      <x:c r="F38" s="54" t="n">
        <x:f>SUMIFS('Task Plan'!$Q$8:$Q$85,'Task Plan'!$D$8:$D$85,$A38)</x:f>
        <x:v>4</x:v>
      </x:c>
      <x:c r="G38" s="54" t="n">
        <x:f>SUMIFS('Task Plan'!$R$8:$R$85,'Task Plan'!$D$8:$D$85,$A38)</x:f>
        <x:v>4</x:v>
      </x:c>
      <x:c r="H38" s="54" t="n">
        <x:f>SUMIFS('Task Plan'!$S$8:$S$85,'Task Plan'!$D$8:$D$85,$A38)</x:f>
        <x:v>4</x:v>
      </x:c>
      <x:c r="I38" s="54" t="n">
        <x:f>SUMIFS('Task Plan'!$T$8:$T$85,'Task Plan'!$D$8:$D$85,$A38)</x:f>
        <x:v>4</x:v>
      </x:c>
      <x:c r="J38" s="54" t="n">
        <x:f>SUMIFS('Task Plan'!$U$8:$U$85,'Task Plan'!$D$8:$D$85,$A38)</x:f>
        <x:v>4</x:v>
      </x:c>
      <x:c r="K38" s="54" t="n">
        <x:f>SUMIFS('Task Plan'!$V$8:$V$85,'Task Plan'!$D$8:$D$85,$A38)</x:f>
        <x:v>4</x:v>
      </x:c>
      <x:c r="L38" s="54" t="n">
        <x:f>SUMIFS('Task Plan'!$W$8:$W$85,'Task Plan'!$D$8:$D$85,$A38)</x:f>
        <x:v>4</x:v>
      </x:c>
      <x:c r="M38" s="54" t="n">
        <x:f>SUMIFS('Task Plan'!$X$8:$X$85,'Task Plan'!$D$8:$D$85,$A38)</x:f>
        <x:v>4</x:v>
      </x:c>
      <x:c r="N38" s="54" t="n">
        <x:f>SUMIFS('Task Plan'!$Y$8:$Y$85,'Task Plan'!$D$8:$D$85,$A38)</x:f>
        <x:v>4</x:v>
      </x:c>
      <x:c r="O38" s="54" t="n">
        <x:f>SUMIFS('Task Plan'!$Z$8:$Z$85,'Task Plan'!$D$8:$D$85,$A38)</x:f>
        <x:v>4</x:v>
      </x:c>
      <x:c r="P38" s="54" t="n">
        <x:f>SUMIFS('Task Plan'!$AA$8:$AA$85,'Task Plan'!$D$8:$D$85,$A38)</x:f>
        <x:v>1.5</x:v>
      </x:c>
      <x:c r="Q38" s="54" t="n">
        <x:f>SUMIFS('Task Plan'!$AB$8:$AB$85,'Task Plan'!$D$8:$D$85,$A38)</x:f>
        <x:v>0</x:v>
      </x:c>
      <x:c r="R38" s="54" t="n">
        <x:f>SUMIFS('Task Plan'!$AC$8:$AC$85,'Task Plan'!$D$8:$D$85,$A38)</x:f>
        <x:v>4</x:v>
      </x:c>
      <x:c r="S38" s="54" t="n">
        <x:f>SUMIFS('Task Plan'!$AD$8:$AD$85,'Task Plan'!$D$8:$D$85,$A38)</x:f>
        <x:v>3</x:v>
      </x:c>
      <x:c r="T38" s="9" t="n">
        <x:f>SUM(C38:S38)</x:f>
        <x:v>60.5</x:v>
      </x:c>
      <x:c r="U38" s="2" t="str">
        <x:f>IF(COUNTIFS('Task Plan'!$D$8:$D$85,$A38,'Task Plan'!$M$8:$M$85,"&lt;&gt;Scheduled")&gt;0,"Check tasks",IF(MIN(C41:S41)&lt;0,"Week overloaded",IF(OR(C38&gt;C39*$B$4,D38&gt;D39*$B$4,E38&gt;E39*$B$4,F38&gt;F39*$B$4,G38&gt;G39*$B$4,H38&gt;H39*$B$4,I38&gt;I39*$B$4,J38&gt;J39*$B$4,K38&gt;K39*$B$4,L38&gt;L39*$B$4,M38&gt;M39*$B$4,N38&gt;N39*$B$4,O38&gt;O39*$B$4,P38&gt;P39*$B$4,Q38&gt;Q39*$B$4,R38&gt;R39*$B$4,S38&gt;S39*$B$4),"Reserve reduced","Reserve available")))</x:f>
        <x:v>Reserve available</x:v>
      </x:c>
    </x:row>
    <x:row r="39">
      <x:c r="A39" s="30" t="str">
        <x:v>Tester 2</x:v>
      </x:c>
      <x:c r="B39" s="2" t="str">
        <x:v>Available days</x:v>
      </x:c>
      <x:c r="C39" s="54" t="n">
        <x:f>MAX(0,SUMIFS(Calendar!$C$16:$C$134,Calendar!$A$16:$A$134,"&gt;="&amp;C$17,Calendar!$A$16:$A$134,"&lt;="&amp;C$17+4)-C40)</x:f>
        <x:v>5</x:v>
      </x:c>
      <x:c r="D39" s="54" t="n">
        <x:f>MAX(0,SUMIFS(Calendar!$C$16:$C$134,Calendar!$A$16:$A$134,"&gt;="&amp;D$17,Calendar!$A$16:$A$134,"&lt;="&amp;D$17+4)-D40)</x:f>
        <x:v>5</x:v>
      </x:c>
      <x:c r="E39" s="54" t="n">
        <x:f>MAX(0,SUMIFS(Calendar!$C$16:$C$134,Calendar!$A$16:$A$134,"&gt;="&amp;E$17,Calendar!$A$16:$A$134,"&lt;="&amp;E$17+4)-E40)</x:f>
        <x:v>5</x:v>
      </x:c>
      <x:c r="F39" s="54" t="n">
        <x:f>MAX(0,SUMIFS(Calendar!$C$16:$C$134,Calendar!$A$16:$A$134,"&gt;="&amp;F$17,Calendar!$A$16:$A$134,"&lt;="&amp;F$17+4)-F40)</x:f>
        <x:v>5</x:v>
      </x:c>
      <x:c r="G39" s="54" t="n">
        <x:f>MAX(0,SUMIFS(Calendar!$C$16:$C$134,Calendar!$A$16:$A$134,"&gt;="&amp;G$17,Calendar!$A$16:$A$134,"&lt;="&amp;G$17+4)-G40)</x:f>
        <x:v>5</x:v>
      </x:c>
      <x:c r="H39" s="54" t="n">
        <x:f>MAX(0,SUMIFS(Calendar!$C$16:$C$134,Calendar!$A$16:$A$134,"&gt;="&amp;H$17,Calendar!$A$16:$A$134,"&lt;="&amp;H$17+4)-H40)</x:f>
        <x:v>5</x:v>
      </x:c>
      <x:c r="I39" s="54" t="n">
        <x:f>MAX(0,SUMIFS(Calendar!$C$16:$C$134,Calendar!$A$16:$A$134,"&gt;="&amp;I$17,Calendar!$A$16:$A$134,"&lt;="&amp;I$17+4)-I40)</x:f>
        <x:v>5</x:v>
      </x:c>
      <x:c r="J39" s="54" t="n">
        <x:f>MAX(0,SUMIFS(Calendar!$C$16:$C$134,Calendar!$A$16:$A$134,"&gt;="&amp;J$17,Calendar!$A$16:$A$134,"&lt;="&amp;J$17+4)-J40)</x:f>
        <x:v>5</x:v>
      </x:c>
      <x:c r="K39" s="54" t="n">
        <x:f>MAX(0,SUMIFS(Calendar!$C$16:$C$134,Calendar!$A$16:$A$134,"&gt;="&amp;K$17,Calendar!$A$16:$A$134,"&lt;="&amp;K$17+4)-K40)</x:f>
        <x:v>5</x:v>
      </x:c>
      <x:c r="L39" s="54" t="n">
        <x:f>MAX(0,SUMIFS(Calendar!$C$16:$C$134,Calendar!$A$16:$A$134,"&gt;="&amp;L$17,Calendar!$A$16:$A$134,"&lt;="&amp;L$17+4)-L40)</x:f>
        <x:v>5</x:v>
      </x:c>
      <x:c r="M39" s="54" t="n">
        <x:f>MAX(0,SUMIFS(Calendar!$C$16:$C$134,Calendar!$A$16:$A$134,"&gt;="&amp;M$17,Calendar!$A$16:$A$134,"&lt;="&amp;M$17+4)-M40)</x:f>
        <x:v>5</x:v>
      </x:c>
      <x:c r="N39" s="54" t="n">
        <x:f>MAX(0,SUMIFS(Calendar!$C$16:$C$134,Calendar!$A$16:$A$134,"&gt;="&amp;N$17,Calendar!$A$16:$A$134,"&lt;="&amp;N$17+4)-N40)</x:f>
        <x:v>5</x:v>
      </x:c>
      <x:c r="O39" s="54" t="n">
        <x:f>MAX(0,SUMIFS(Calendar!$C$16:$C$134,Calendar!$A$16:$A$134,"&gt;="&amp;O$17,Calendar!$A$16:$A$134,"&lt;="&amp;O$17+4)-O40)</x:f>
        <x:v>5</x:v>
      </x:c>
      <x:c r="P39" s="54" t="n">
        <x:f>MAX(0,SUMIFS(Calendar!$C$16:$C$134,Calendar!$A$16:$A$134,"&gt;="&amp;P$17,Calendar!$A$16:$A$134,"&lt;="&amp;P$17+4)-P40)</x:f>
        <x:v>2</x:v>
      </x:c>
      <x:c r="Q39" s="54" t="n">
        <x:f>MAX(0,SUMIFS(Calendar!$C$16:$C$134,Calendar!$A$16:$A$134,"&gt;="&amp;Q$17,Calendar!$A$16:$A$134,"&lt;="&amp;Q$17+4)-Q40)</x:f>
        <x:v>0</x:v>
      </x:c>
      <x:c r="R39" s="54" t="n">
        <x:f>MAX(0,SUMIFS(Calendar!$C$16:$C$134,Calendar!$A$16:$A$134,"&gt;="&amp;R$17,Calendar!$A$16:$A$134,"&lt;="&amp;R$17+4)-R40)</x:f>
        <x:v>5</x:v>
      </x:c>
      <x:c r="S39" s="54" t="n">
        <x:f>MAX(0,SUMIFS(Calendar!$C$16:$C$134,Calendar!$A$16:$A$134,"&gt;="&amp;S$17,Calendar!$A$16:$A$134,"&lt;="&amp;S$17+4)-S40)</x:f>
        <x:v>5</x:v>
      </x:c>
      <x:c r="T39" s="9" t="n">
        <x:f>SUM(C39:S39)</x:f>
        <x:v>77</x:v>
      </x:c>
      <x:c r="U39" s="2"/>
    </x:row>
    <x:row r="40">
      <x:c r="A40" s="30" t="str">
        <x:v>Tester 2</x:v>
      </x:c>
      <x:c r="B40" s="2" t="str">
        <x:v>Extra leave (input)</x:v>
      </x:c>
      <x:c r="C40" s="55" t="n">
        <x:v>0</x:v>
      </x:c>
      <x:c r="D40" s="55" t="n">
        <x:v>0</x:v>
      </x:c>
      <x:c r="E40" s="55" t="n">
        <x:v>0</x:v>
      </x:c>
      <x:c r="F40" s="55" t="n">
        <x:v>0</x:v>
      </x:c>
      <x:c r="G40" s="55" t="n">
        <x:v>0</x:v>
      </x:c>
      <x:c r="H40" s="55" t="n">
        <x:v>0</x:v>
      </x:c>
      <x:c r="I40" s="55" t="n">
        <x:v>0</x:v>
      </x:c>
      <x:c r="J40" s="55" t="n">
        <x:v>0</x:v>
      </x:c>
      <x:c r="K40" s="55" t="n">
        <x:v>0</x:v>
      </x:c>
      <x:c r="L40" s="55" t="n">
        <x:v>0</x:v>
      </x:c>
      <x:c r="M40" s="55" t="n">
        <x:v>0</x:v>
      </x:c>
      <x:c r="N40" s="55" t="n">
        <x:v>0</x:v>
      </x:c>
      <x:c r="O40" s="55" t="n">
        <x:v>0</x:v>
      </x:c>
      <x:c r="P40" s="55" t="n">
        <x:v>0</x:v>
      </x:c>
      <x:c r="Q40" s="55" t="n">
        <x:v>0</x:v>
      </x:c>
      <x:c r="R40" s="55" t="n">
        <x:v>0</x:v>
      </x:c>
      <x:c r="S40" s="55" t="n">
        <x:v>0</x:v>
      </x:c>
      <x:c r="T40" s="9" t="n">
        <x:f>SUM(C40:S40)</x:f>
        <x:v>0</x:v>
      </x:c>
      <x:c r="U40" s="2"/>
    </x:row>
    <x:row r="41">
      <x:c r="A41" s="30" t="str">
        <x:v>Tester 2</x:v>
      </x:c>
      <x:c r="B41" s="2" t="str">
        <x:v>Unassigned days</x:v>
      </x:c>
      <x:c r="C41" s="54" t="n">
        <x:f>C39-C38</x:f>
        <x:v>1</x:v>
      </x:c>
      <x:c r="D41" s="54" t="n">
        <x:f>D39-D38</x:f>
        <x:v>1</x:v>
      </x:c>
      <x:c r="E41" s="54" t="n">
        <x:f>E39-E38</x:f>
        <x:v>1</x:v>
      </x:c>
      <x:c r="F41" s="54" t="n">
        <x:f>F39-F38</x:f>
        <x:v>1</x:v>
      </x:c>
      <x:c r="G41" s="54" t="n">
        <x:f>G39-G38</x:f>
        <x:v>1</x:v>
      </x:c>
      <x:c r="H41" s="54" t="n">
        <x:f>H39-H38</x:f>
        <x:v>1</x:v>
      </x:c>
      <x:c r="I41" s="54" t="n">
        <x:f>I39-I38</x:f>
        <x:v>1</x:v>
      </x:c>
      <x:c r="J41" s="54" t="n">
        <x:f>J39-J38</x:f>
        <x:v>1</x:v>
      </x:c>
      <x:c r="K41" s="54" t="n">
        <x:f>K39-K38</x:f>
        <x:v>1</x:v>
      </x:c>
      <x:c r="L41" s="54" t="n">
        <x:f>L39-L38</x:f>
        <x:v>1</x:v>
      </x:c>
      <x:c r="M41" s="54" t="n">
        <x:f>M39-M38</x:f>
        <x:v>1</x:v>
      </x:c>
      <x:c r="N41" s="54" t="n">
        <x:f>N39-N38</x:f>
        <x:v>1</x:v>
      </x:c>
      <x:c r="O41" s="54" t="n">
        <x:f>O39-O38</x:f>
        <x:v>1</x:v>
      </x:c>
      <x:c r="P41" s="54" t="n">
        <x:f>P39-P38</x:f>
        <x:v>0.5</x:v>
      </x:c>
      <x:c r="Q41" s="54" t="n">
        <x:f>Q39-Q38</x:f>
        <x:v>0</x:v>
      </x:c>
      <x:c r="R41" s="54" t="n">
        <x:f>R39-R38</x:f>
        <x:v>1</x:v>
      </x:c>
      <x:c r="S41" s="54" t="n">
        <x:f>S39-S38</x:f>
        <x:v>2</x:v>
      </x:c>
      <x:c r="T41" s="9" t="n">
        <x:f>SUM(C41:S41)</x:f>
        <x:v>16.5</x:v>
      </x:c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 ht="26" customHeight="1">
      <x:c r="A44" s="32" t="str">
        <x:v>Responsibility split and handoffs</x:v>
      </x:c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32"/>
      <x:c r="U44" s="32"/>
    </x:row>
    <x:row r="45" ht="34" customHeight="1">
      <x:c r="A45" s="2" t="str">
        <x:v>Dev 1</x:v>
      </x:c>
      <x:c r="B45" s="2" t="str">
        <x:v>API and Portal</x:v>
      </x:c>
      <x:c r="C45" s="43" t="str">
        <x:v>Own user-facing API, front-end integration, Case/Open Items, approval and Playbook Studio. Own API/Portal CI/CD, health probes, replicas and request tracing.</x:v>
      </x:c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</x:row>
    <x:row r="46" ht="34" customHeight="1">
      <x:c r="A46" s="2" t="str">
        <x:v>Dev 2</x:v>
      </x:c>
      <x:c r="B46" s="2" t="str">
        <x:v>Worker and Azure</x:v>
      </x:c>
      <x:c r="C46" s="43" t="str">
        <x:v>Own Worker, PostgreSQL, Blob, Graph, Foundry adapters, persistent jobs and sending. Own Worker CI/CD, scaling, backlog telemetry, database recovery and alerts.</x:v>
      </x:c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</x:row>
    <x:row r="47" ht="34" customHeight="1">
      <x:c r="A47" s="2" t="str">
        <x:v>DS</x:v>
      </x:c>
      <x:c r="B47" s="2" t="str">
        <x:v>Model quality</x:v>
      </x:c>
      <x:c r="C47" s="43" t="str">
        <x:v>Own prompts, schemas, examples, Playbook generation, model choice and error analysis. No base-model weight training is assumed.</x:v>
      </x:c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</x:row>
    <x:row r="48" ht="34" customHeight="1">
      <x:c r="A48" s="2" t="str">
        <x:v>Tester 1</x:v>
      </x:c>
      <x:c r="B48" s="2" t="str">
        <x:v>Technical QA</x:v>
      </x:c>
      <x:c r="C48" s="43" t="str">
        <x:v>Own API automation, permissions, CI execution, concurrency, idempotency, crash/failover tests, sender reconciliation and rollback verification.</x:v>
      </x:c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</x:row>
    <x:row r="49" ht="34" customHeight="1">
      <x:c r="A49" s="2" t="str">
        <x:v>Tester 2</x:v>
      </x:c>
      <x:c r="B49" s="2" t="str">
        <x:v>Business and quality QA</x:v>
      </x:c>
      <x:c r="C49" s="43" t="str">
        <x:v>Own user-story acceptance, annotation, holdout custody/execution, Local/Regional scenarios, UAT, training and business sign-off coordination.</x:v>
      </x:c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 ht="26" customHeight="1">
      <x:c r="A52" s="32" t="str">
        <x:v>Release gates: evidence and approval remain pending until executed</x:v>
      </x:c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32"/>
      <x:c r="U52" s="32"/>
    </x:row>
    <x:row r="53" ht="34" customHeight="1">
      <x:c r="A53" s="13" t="str">
        <x:v>Gate</x:v>
      </x:c>
      <x:c r="B53" s="13" t="str">
        <x:v>Milestone</x:v>
      </x:c>
      <x:c r="C53" s="13" t="str">
        <x:v>Week</x:v>
      </x:c>
      <x:c r="D53" s="13" t="str">
        <x:v>Review date</x:v>
      </x:c>
      <x:c r="E53" s="13" t="str">
        <x:v>Owner</x:v>
      </x:c>
      <x:c r="F53" s="13" t="str">
        <x:v>Evidence</x:v>
      </x:c>
      <x:c r="G53" s="13" t="str">
        <x:v>Decision</x:v>
      </x:c>
      <x:c r="H53" s="13" t="str">
        <x:v>Exit criteria</x:v>
      </x:c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</x:row>
    <x:row r="54" ht="43" customHeight="1">
      <x:c r="A54" s="2" t="str">
        <x:v>G1</x:v>
      </x:c>
      <x:c r="B54" s="43" t="str">
        <x:v>Identity and platform connected</x:v>
      </x:c>
      <x:c r="C54" s="2" t="n">
        <x:v>2</x:v>
      </x:c>
      <x:c r="D54" s="14" t="n">
        <x:f>INDEX(Calendar!$A$16:$A$134,MATCH(10,Calendar!$D$16:$D$134,0))</x:f>
        <x:v>46339</x:v>
      </x:c>
      <x:c r="E54" s="2" t="str">
        <x:v>Dev 2</x:v>
      </x:c>
      <x:c r="F54" s="47" t="str">
        <x:v>Not run</x:v>
      </x:c>
      <x:c r="G54" s="47" t="str">
        <x:v>Pending</x:v>
      </x:c>
      <x:c r="H54" s="43" t="str">
        <x:v>SSO, Graph renewal and Foundry smoke pass; denied scopes are tested.</x:v>
      </x:c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</x:row>
    <x:row r="55" ht="43" customHeight="1">
      <x:c r="A55" s="2" t="str">
        <x:v>G2</x:v>
      </x:c>
      <x:c r="B55" s="43" t="str">
        <x:v>Real-mail Triage working</x:v>
      </x:c>
      <x:c r="C55" s="2" t="n">
        <x:v>5</x:v>
      </x:c>
      <x:c r="D55" s="14" t="n">
        <x:f>INDEX(Calendar!$A$16:$A$134,MATCH(25,Calendar!$D$16:$D$134,0))</x:f>
        <x:v>46360</x:v>
      </x:c>
      <x:c r="E55" s="2" t="str">
        <x:v>Dev 2</x:v>
      </x:c>
      <x:c r="F55" s="47" t="str">
        <x:v>Not run</x:v>
      </x:c>
      <x:c r="G55" s="47" t="str">
        <x:v>Pending</x:v>
      </x:c>
      <x:c r="H55" s="43" t="str">
        <x:v>Mail sync, explainable suggestions and human create/link/ignore complete.</x:v>
      </x:c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</x:row>
    <x:row r="56" ht="43" customHeight="1">
      <x:c r="A56" s="2" t="str">
        <x:v>G3</x:v>
      </x:c>
      <x:c r="B56" s="43" t="str">
        <x:v>Approve-and-send end to end</x:v>
      </x:c>
      <x:c r="C56" s="2" t="n">
        <x:v>6</x:v>
      </x:c>
      <x:c r="D56" s="14" t="n">
        <x:f>INDEX(Calendar!$A$16:$A$134,MATCH(30,Calendar!$D$16:$D$134,0))</x:f>
        <x:v>46367</x:v>
      </x:c>
      <x:c r="E56" s="2" t="str">
        <x:v>Dev 1</x:v>
      </x:c>
      <x:c r="F56" s="47" t="str">
        <x:v>Not run</x:v>
      </x:c>
      <x:c r="G56" s="47" t="str">
        <x:v>Pending</x:v>
      </x:c>
      <x:c r="H56" s="43" t="str">
        <x:v>Real test mail reaches Case, draft, AM approval and send; duplicate approval is safe.</x:v>
      </x:c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</x:row>
    <x:row r="57" ht="43" customHeight="1">
      <x:c r="A57" s="2" t="str">
        <x:v>G4</x:v>
      </x:c>
      <x:c r="B57" s="43" t="str">
        <x:v>Launch features frozen</x:v>
      </x:c>
      <x:c r="C57" s="2" t="n">
        <x:v>9</x:v>
      </x:c>
      <x:c r="D57" s="14" t="n">
        <x:f>INDEX(Calendar!$A$16:$A$134,MATCH(45,Calendar!$D$16:$D$134,0))</x:f>
        <x:v>46388</x:v>
      </x:c>
      <x:c r="E57" s="2" t="str">
        <x:v>Dev 1</x:v>
      </x:c>
      <x:c r="F57" s="47" t="str">
        <x:v>Not run</x:v>
      </x:c>
      <x:c r="G57" s="47" t="str">
        <x:v>Pending</x:v>
      </x:c>
      <x:c r="H57" s="43" t="str">
        <x:v>Launch scenarios, regional views, open items, overview and bounded Playbook Studio complete.</x:v>
      </x:c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</x:row>
    <x:row r="58" ht="43" customHeight="1">
      <x:c r="A58" s="2" t="str">
        <x:v>G5</x:v>
      </x:c>
      <x:c r="B58" s="43" t="str">
        <x:v>Independent evaluation / RC</x:v>
      </x:c>
      <x:c r="C58" s="2" t="n">
        <x:v>11</x:v>
      </x:c>
      <x:c r="D58" s="14" t="n">
        <x:f>INDEX(Calendar!$A$16:$A$134,MATCH(55,Calendar!$D$16:$D$134,0))</x:f>
        <x:v>46402</x:v>
      </x:c>
      <x:c r="E58" s="2" t="str">
        <x:v>DS</x:v>
      </x:c>
      <x:c r="F58" s="47" t="str">
        <x:v>Not run</x:v>
      </x:c>
      <x:c r="G58" s="47" t="str">
        <x:v>Pending</x:v>
      </x:c>
      <x:c r="H58" s="43" t="str">
        <x:v>Frozen model/prompt candidate meets pre-agreed metrics on independently held-out data.</x:v>
      </x:c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</x:row>
    <x:row r="59" ht="43" customHeight="1">
      <x:c r="A59" s="2" t="str">
        <x:v>G6</x:v>
      </x:c>
      <x:c r="B59" s="43" t="str">
        <x:v>Pilot UAT accepted</x:v>
      </x:c>
      <x:c r="C59" s="2" t="n">
        <x:v>13</x:v>
      </x:c>
      <x:c r="D59" s="14" t="n">
        <x:f>INDEX(Calendar!$A$16:$A$134,MATCH(65,Calendar!$D$16:$D$134,0))</x:f>
        <x:v>46416</x:v>
      </x:c>
      <x:c r="E59" s="2" t="str">
        <x:v>Tester 2</x:v>
      </x:c>
      <x:c r="F59" s="47" t="str">
        <x:v>Not run</x:v>
      </x:c>
      <x:c r="G59" s="47" t="str">
        <x:v>Pending</x:v>
      </x:c>
      <x:c r="H59" s="43" t="str">
        <x:v>Business owner accepts scope and model quality; critical UAT issues are closed.</x:v>
      </x:c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</x:row>
    <x:row r="60" ht="43" customHeight="1">
      <x:c r="A60" s="2" t="str">
        <x:v>G7</x:v>
      </x:c>
      <x:c r="B60" s="43" t="str">
        <x:v>Pre-holiday release checkpoint</x:v>
      </x:c>
      <x:c r="C60" s="2" t="n">
        <x:v>14</x:v>
      </x:c>
      <x:c r="D60" s="14" t="n">
        <x:f>INDEX(Calendar!$A$16:$A$134,MATCH(67,Calendar!$D$16:$D$134,0))</x:f>
        <x:v>46420</x:v>
      </x:c>
      <x:c r="E60" s="2" t="str">
        <x:v>Dev 1</x:v>
      </x:c>
      <x:c r="F60" s="47" t="str">
        <x:v>Not run</x:v>
      </x:c>
      <x:c r="G60" s="47" t="str">
        <x:v>Pending</x:v>
      </x:c>
      <x:c r="H60" s="43" t="str">
        <x:v>Artifacts, configuration, backups and rollback guidance are frozen by Feb 2.</x:v>
      </x:c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</x:row>
    <x:row r="61" ht="43" customHeight="1">
      <x:c r="A61" s="2" t="str">
        <x:v>G8</x:v>
      </x:c>
      <x:c r="B61" s="43" t="str">
        <x:v>Post-holiday Go / No-Go</x:v>
      </x:c>
      <x:c r="C61" s="2" t="n">
        <x:v>16</x:v>
      </x:c>
      <x:c r="D61" s="14" t="n">
        <x:f>INDEX(Calendar!$A$16:$A$134,MATCH(72,Calendar!$D$16:$D$134,0))</x:f>
        <x:v>46437</x:v>
      </x:c>
      <x:c r="E61" s="2" t="str">
        <x:v>Tester 1</x:v>
      </x:c>
      <x:c r="F61" s="47" t="str">
        <x:v>Not run</x:v>
      </x:c>
      <x:c r="G61" s="47" t="str">
        <x:v>Pending</x:v>
      </x:c>
      <x:c r="H61" s="43" t="str">
        <x:v>Full regression after leave; P0/P1 zero; permissions, sends, recovery and rollback pass.</x:v>
      </x:c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</x:row>
    <x:row r="62" ht="43" customHeight="1">
      <x:c r="A62" s="2" t="str">
        <x:v>G9</x:v>
      </x:c>
      <x:c r="B62" s="43" t="str">
        <x:v>Production release</x:v>
      </x:c>
      <x:c r="C62" s="2" t="n">
        <x:v>17</x:v>
      </x:c>
      <x:c r="D62" s="14" t="n">
        <x:f>'Delivery Timeline'!H4</x:f>
        <x:v>46441</x:v>
      </x:c>
      <x:c r="E62" s="2" t="str">
        <x:v>Dev 2</x:v>
      </x:c>
      <x:c r="F62" s="47" t="str">
        <x:v>Not run</x:v>
      </x:c>
      <x:c r="G62" s="47" t="str">
        <x:v>Pending</x:v>
      </x:c>
      <x:c r="H62" s="43" t="str">
        <x:v>Suggested Feb 23 window: controlled rollout, production smoke and recovery readiness.</x:v>
      </x:c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</x:row>
    <x:row r="63" ht="43" customHeight="1">
      <x:c r="A63" s="2" t="str">
        <x:v>G10</x:v>
      </x:c>
      <x:c r="B63" s="43" t="str">
        <x:v>Care and handover complete</x:v>
      </x:c>
      <x:c r="C63" s="2" t="n">
        <x:v>17</x:v>
      </x:c>
      <x:c r="D63" s="14" t="n">
        <x:f>INDEX(Calendar!$A$16:$A$134,MATCH(77,Calendar!$D$16:$D$134,0))</x:f>
        <x:v>46444</x:v>
      </x:c>
      <x:c r="E63" s="2" t="str">
        <x:v>Dev 1</x:v>
      </x:c>
      <x:c r="F63" s="47" t="str">
        <x:v>Not run</x:v>
      </x:c>
      <x:c r="G63" s="47" t="str">
        <x:v>Pending</x:v>
      </x:c>
      <x:c r="H63" s="43" t="str">
        <x:v>Observe through Feb 26; first business records, alerts and support handover accepted.</x:v>
      </x:c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 ht="26" customHeight="1">
      <x:c r="A66" s="32" t="str">
        <x:v>Scope, quality criteria and planning assumptions</x:v>
      </x:c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32"/>
      <x:c r="U66" s="32"/>
    </x:row>
    <x:row r="67" ht="35" customHeight="1">
      <x:c r="A67" s="43" t="str">
        <x:v>Scope</x:v>
      </x:c>
      <x:c r="B67" s="2"/>
      <x:c r="C67" s="43" t="str">
        <x:v>Two Java services, Next.js Portal, Graph and Foundry. Start with 2–3 frequent Playbook types and AM-approved automatic sending.</x:v>
      </x:c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</x:row>
    <x:row r="68" ht="35" customHeight="1">
      <x:c r="A68" s="43" t="str">
        <x:v>Capacity</x:v>
      </x:c>
      <x:c r="B68" s="2"/>
      <x:c r="C68" s="43" t="str">
        <x:v>77 working days per resource after Lunar New Year leave. Plan around 80% utilization; individual extra leave reduces capacity and raises warnings.</x:v>
      </x:c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</x:row>
    <x:row r="69" ht="35" customHeight="1">
      <x:c r="A69" s="43" t="str">
        <x:v>Cost basis</x:v>
      </x:c>
      <x:c r="B69" s="2"/>
      <x:c r="C69" s="43" t="str">
        <x:v>USD 360 per scheduled person-day, editable for each person above. Task costs sum the numeric weekly Gantt allocations. Unassigned reserve and leave are not charged.</x:v>
      </x:c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</x:row>
    <x:row r="70" ht="35" customHeight="1">
      <x:c r="A70" s="43" t="str">
        <x:v>Excluded costs</x:v>
      </x:c>
      <x:c r="B70" s="2"/>
      <x:c r="C70" s="43" t="str">
        <x:v>External IT/business-owner support, Azure hosting/storage, model tokens, taxes and employer overhead are not estimated.</x:v>
      </x:c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</x:row>
    <x:row r="71" ht="35" customHeight="1">
      <x:c r="A71" s="43" t="str">
        <x:v>Workday scheduling</x:v>
      </x:c>
      <x:c r="B71" s="2"/>
      <x:c r="C71" s="43" t="str">
        <x:v>Start WD is an index in Calendar. Window WD is elapsed working time. Effort days are allocated evenly within that window; dependency checks flag manual replan needs.</x:v>
      </x:c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</x:row>
    <x:row r="72" ht="35" customHeight="1">
      <x:c r="A72" s="43" t="str">
        <x:v>Holiday changes</x:v>
      </x:c>
      <x:c r="B72" s="2"/>
      <x:c r="C72" s="43" t="str">
        <x:v>Changing shared leave dates shifts working-day-based task dates. Individual extra leave flags overload; it does not automatically reassign or move work.</x:v>
      </x:c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</x:row>
    <x:row r="73" ht="35" customHeight="1">
      <x:c r="A73" s="43" t="str">
        <x:v>External dependencies</x:v>
      </x:c>
      <x:c r="B73" s="2"/>
      <x:c r="C73" s="43" t="str">
        <x:v>E01/E02 must finish in W1. E03 must finish before preproduction. The five-person team does not absorb unestimated IT or business-owner delivery.</x:v>
      </x:c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</x:row>
    <x:row r="74" ht="35" customHeight="1">
      <x:c r="A74" s="43" t="str">
        <x:v>Evaluation</x:v>
      </x:c>
      <x:c r="B74" s="2"/>
      <x:c r="C74" s="43" t="str">
        <x:v>Start with an authorized de-identified corpus, suggested 300–500 threads. Split by thread/Case, e.g. 60% tuning, 20% dev, 20% holdout.</x:v>
      </x:c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</x:row>
    <x:row r="75" ht="35" customHeight="1">
      <x:c r="A75" s="43" t="str">
        <x:v>Quality targets</x:v>
      </x:c>
      <x:c r="B75" s="2"/>
      <x:c r="C75" s="43" t="str">
        <x:v>Confirm in W1–2: actionable recall at least 95%, matching precision at least 98%, and AM draft acceptance at least 80%. Report sample sizes and error classes.</x:v>
      </x:c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</x:row>
    <x:row r="76" ht="35" customHeight="1">
      <x:c r="A76" s="43" t="str">
        <x:v>Critical errors</x:v>
      </x:c>
      <x:c r="B76" s="2"/>
      <x:c r="C76" s="43" t="str">
        <x:v>No critical fabricated claims, wrong recipients or unauthorized disclosure in acceptance samples. This is bounded evidence, not a guarantee of zero production risk.</x:v>
      </x:c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</x:row>
    <x:row r="77" ht="35" customHeight="1">
      <x:c r="A77" s="43" t="str">
        <x:v>Model changes</x:v>
      </x:c>
      <x:c r="B77" s="2"/>
      <x:c r="C77" s="43" t="str">
        <x:v>Prompt/schema/Playbook tuning comes first. Frozen-candidate evaluation is independent; holdout answers must not become tuning data. Changes require affected re-evaluation.</x:v>
      </x:c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</x:row>
    <x:row r="78" ht="35" customHeight="1">
      <x:c r="A78" s="43" t="str">
        <x:v>Shipping controls</x:v>
      </x:c>
      <x:c r="B78" s="2"/>
      <x:c r="C78" s="43" t="str">
        <x:v>P0/P1 zero, critical negative tests executed, send idempotency/reconciliation qualified, backup/restore and rollback rehearsed, and business sign-off recorded.</x:v>
      </x:c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</x:row>
    <x:row r="79" ht="35" customHeight="1">
      <x:c r="A79" s="43" t="str">
        <x:v>Deferred</x:v>
      </x:c>
      <x:c r="B79" s="2"/>
      <x:c r="C79" s="43" t="str">
        <x:v>Deep Agents, model-weight fine-tuning, CRM write-back, AI Search, arbitrary attachment OCR, automatic Case closure and cross-region DR.</x:v>
      </x:c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</x:row>
    <x:row r="80" ht="35" customHeight="1">
      <x:c r="A80" s="43" t="str">
        <x:v>Approval UX</x:v>
      </x:c>
      <x:c r="B80" s="2"/>
      <x:c r="C80" s="43" t="str">
        <x:v>Generate draft, AM edits, Approve &amp; Send, Worker sends automatically. Keep the actual approved payload and send job; no revision-management UI.</x:v>
      </x:c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</x:row>
    <x:row r="81" ht="35" customHeight="1">
      <x:c r="A81" s="43" t="str">
        <x:v>Shared operations</x:v>
      </x:c>
      <x:c r="B81" s="2"/>
      <x:c r="C81" s="43" t="str">
        <x:v>Dev 1 owns API/Portal CI/CD, probes, replicas and request telemetry. Dev 2 owns Worker CI/CD, scaling, database migration/recovery and integration telemetry.</x:v>
      </x:c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</x:row>
    <x:row r="82" ht="35" customHeight="1">
      <x:c r="A82" s="43" t="str">
        <x:v>Codex</x:v>
      </x:c>
      <x:c r="B82" s="2"/>
      <x:c r="C82" s="43" t="str">
        <x:v>Use coding assistance to deliver testable slices earlier. Developers still own integration/review; independent testing and quality evaluation are not reduced.</x:v>
      </x:c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</x:row>
    <x:row r="83" ht="35" customHeight="1">
      <x:c r="A83" s="43" t="str">
        <x:v>User inputs</x:v>
      </x:c>
      <x:c r="B83" s="2"/>
      <x:c r="C83" s="43" t="str">
        <x:v>Start Nov 2, 2026. Finish by Feb 26, 2027. Lunar New Year leave Feb 3–12 confirmed. Christmas/New Year weekdays are available for tasks.</x:v>
      </x:c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</x:row>
    <x:row r="84" ht="35" customHeight="1">
      <x:c r="A84" s="43" t="str">
        <x:v>Architecture</x:v>
      </x:c>
      <x:c r="B84" s="2"/>
      <x:c r="C84" s="43" t="str">
        <x:v>Source: the agreed Java API/Worker design. https://github.com/realAaronWu/aam/tree/main/docs/architecture/diagrams</x:v>
      </x:c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</x:sheetData>
  <x:mergeCells>
    <x:mergeCell ref="C45:U45"/>
    <x:mergeCell ref="C46:U46"/>
    <x:mergeCell ref="C47:U47"/>
    <x:mergeCell ref="C48:U48"/>
    <x:mergeCell ref="C49:U49"/>
    <x:mergeCell ref="H53:U53"/>
    <x:mergeCell ref="H54:U54"/>
    <x:mergeCell ref="H55:U55"/>
    <x:mergeCell ref="H56:U56"/>
    <x:mergeCell ref="H57:U57"/>
    <x:mergeCell ref="H58:U58"/>
    <x:mergeCell ref="H59:U59"/>
    <x:mergeCell ref="H60:U60"/>
    <x:mergeCell ref="H61:U61"/>
    <x:mergeCell ref="H62:U62"/>
    <x:mergeCell ref="H63:U63"/>
    <x:mergeCell ref="C67:U67"/>
    <x:mergeCell ref="C68:U68"/>
    <x:mergeCell ref="C69:U69"/>
    <x:mergeCell ref="C70:U70"/>
    <x:mergeCell ref="C71:U71"/>
    <x:mergeCell ref="C72:U72"/>
    <x:mergeCell ref="C73:U73"/>
    <x:mergeCell ref="C74:U74"/>
    <x:mergeCell ref="C75:U75"/>
    <x:mergeCell ref="C76:U76"/>
    <x:mergeCell ref="C77:U77"/>
    <x:mergeCell ref="C78:U78"/>
    <x:mergeCell ref="C79:U79"/>
    <x:mergeCell ref="C80:U80"/>
    <x:mergeCell ref="C81:U81"/>
    <x:mergeCell ref="C82:U82"/>
    <x:mergeCell ref="C83:U83"/>
    <x:mergeCell ref="C84:U84"/>
  </x:mergeCells>
  <x:conditionalFormatting sqref="C18:S18">
    <x:cfRule type="expression" dxfId="29" priority="1">
      <x:formula>C18&gt;C19</x:formula>
    </x:cfRule>
    <x:cfRule type="expression" dxfId="30" priority="2">
      <x:formula>C18&gt;C19*$B$4</x:formula>
    </x:cfRule>
  </x:conditionalFormatting>
  <x:conditionalFormatting sqref="C18:S21">
    <x:cfRule type="expression" dxfId="31" priority="3">
      <x:formula>AND(SUMIFS(Calendar!$C$16:$C$134,Calendar!$A$16:$A$134,"&gt;="&amp;C$17,Calendar!$A$16:$A$134,"&lt;="&amp;C$17+4)=0,C18=0)</x:formula>
    </x:cfRule>
  </x:conditionalFormatting>
  <x:conditionalFormatting sqref="C23:S23">
    <x:cfRule type="expression" dxfId="32" priority="4">
      <x:formula>C23&gt;C24</x:formula>
    </x:cfRule>
    <x:cfRule type="expression" dxfId="33" priority="5">
      <x:formula>C23&gt;C24*$B$4</x:formula>
    </x:cfRule>
  </x:conditionalFormatting>
  <x:conditionalFormatting sqref="C23:S26">
    <x:cfRule type="expression" dxfId="34" priority="6">
      <x:formula>AND(SUMIFS(Calendar!$C$16:$C$134,Calendar!$A$16:$A$134,"&gt;="&amp;C$17,Calendar!$A$16:$A$134,"&lt;="&amp;C$17+4)=0,C23=0)</x:formula>
    </x:cfRule>
  </x:conditionalFormatting>
  <x:conditionalFormatting sqref="C28:S28">
    <x:cfRule type="expression" dxfId="35" priority="7">
      <x:formula>C28&gt;C29</x:formula>
    </x:cfRule>
    <x:cfRule type="expression" dxfId="36" priority="8">
      <x:formula>C28&gt;C29*$B$4</x:formula>
    </x:cfRule>
  </x:conditionalFormatting>
  <x:conditionalFormatting sqref="C28:S31">
    <x:cfRule type="expression" dxfId="37" priority="9">
      <x:formula>AND(SUMIFS(Calendar!$C$16:$C$134,Calendar!$A$16:$A$134,"&gt;="&amp;C$17,Calendar!$A$16:$A$134,"&lt;="&amp;C$17+4)=0,C28=0)</x:formula>
    </x:cfRule>
  </x:conditionalFormatting>
  <x:conditionalFormatting sqref="C33:S33">
    <x:cfRule type="expression" dxfId="38" priority="10">
      <x:formula>C33&gt;C34</x:formula>
    </x:cfRule>
    <x:cfRule type="expression" dxfId="39" priority="11">
      <x:formula>C33&gt;C34*$B$4</x:formula>
    </x:cfRule>
  </x:conditionalFormatting>
  <x:conditionalFormatting sqref="C33:S36">
    <x:cfRule type="expression" dxfId="40" priority="12">
      <x:formula>AND(SUMIFS(Calendar!$C$16:$C$134,Calendar!$A$16:$A$134,"&gt;="&amp;C$17,Calendar!$A$16:$A$134,"&lt;="&amp;C$17+4)=0,C33=0)</x:formula>
    </x:cfRule>
  </x:conditionalFormatting>
  <x:conditionalFormatting sqref="C38:S38">
    <x:cfRule type="expression" dxfId="41" priority="13">
      <x:formula>C38&gt;C39</x:formula>
    </x:cfRule>
    <x:cfRule type="expression" dxfId="42" priority="14">
      <x:formula>C38&gt;C39*$B$4</x:formula>
    </x:cfRule>
  </x:conditionalFormatting>
  <x:conditionalFormatting sqref="C38:S41">
    <x:cfRule type="expression" dxfId="43" priority="15">
      <x:formula>AND(SUMIFS(Calendar!$C$16:$C$134,Calendar!$A$16:$A$134,"&gt;="&amp;C$17,Calendar!$A$16:$A$134,"&lt;="&amp;C$17+4)=0,C38=0)</x:formula>
    </x:cfRule>
  </x:conditionalFormatting>
  <x:dataValidations count="7">
    <x:dataValidation type="decimal" operator="between" sqref="C20:S20">
      <x:formula1>0</x:formula1>
      <x:formula2>5</x:formula2>
    </x:dataValidation>
    <x:dataValidation type="decimal" operator="between" sqref="C25:S25">
      <x:formula1>0</x:formula1>
      <x:formula2>5</x:formula2>
    </x:dataValidation>
    <x:dataValidation type="decimal" operator="between" sqref="C30:S30">
      <x:formula1>0</x:formula1>
      <x:formula2>5</x:formula2>
    </x:dataValidation>
    <x:dataValidation type="decimal" operator="between" sqref="C35:S35">
      <x:formula1>0</x:formula1>
      <x:formula2>5</x:formula2>
    </x:dataValidation>
    <x:dataValidation type="decimal" operator="between" sqref="C40:S40">
      <x:formula1>0</x:formula1>
      <x:formula2>5</x:formula2>
    </x:dataValidation>
    <x:dataValidation type="list" sqref="F54:F63">
      <x:formula1>"Not run,Pass,Fail"</x:formula1>
    </x:dataValidation>
    <x:dataValidation type="list" sqref="G54:G63">
      <x:formula1>"Pending,Go,No-go"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4A3B8"/>
  </x:sheetPr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25" hidden="0" customWidth="1"/>
    <x:col min="5" max="5" width="17" hidden="0" customWidth="1"/>
    <x:col min="6" max="6" width="61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Working Calendar and Holiday Inputs</x:v>
      </x:c>
      <x:c r="B2" s="2"/>
      <x:c r="C2" s="2"/>
      <x:c r="D2" s="2"/>
      <x:c r="E2" s="2"/>
      <x:c r="F2" s="2"/>
    </x:row>
    <x:row r="3">
      <x:c r="A3" s="4"/>
      <x:c r="B3" s="4"/>
      <x:c r="C3" s="4"/>
      <x:c r="D3" s="4"/>
      <x:c r="E3" s="4"/>
      <x:c r="F3" s="4"/>
    </x:row>
    <x:row r="4" ht="34" customHeight="1">
      <x:c r="A4" s="13" t="str">
        <x:v>Leave period</x:v>
      </x:c>
      <x:c r="B4" s="13" t="str">
        <x:v>From</x:v>
      </x:c>
      <x:c r="C4" s="13" t="str">
        <x:v>Through</x:v>
      </x:c>
      <x:c r="D4" s="13" t="str">
        <x:v>Planning basis</x:v>
      </x:c>
      <x:c r="E4" s="2"/>
      <x:c r="F4" s="2"/>
    </x:row>
    <x:row r="5">
      <x:c r="A5" s="2" t="str">
        <x:v>Additional leave</x:v>
      </x:c>
      <x:c r="B5" s="7"/>
      <x:c r="C5" s="7"/>
      <x:c r="D5" s="2" t="str">
        <x:v>Optional; inactive while blank</x:v>
      </x:c>
      <x:c r="E5" s="2"/>
      <x:c r="F5" s="2"/>
    </x:row>
    <x:row r="6">
      <x:c r="A6" s="2" t="str">
        <x:v>Lunar New Year</x:v>
      </x:c>
      <x:c r="B6" s="7" t="d">
        <x:v>2027-02-03T00:00:00.000Z</x:v>
      </x:c>
      <x:c r="C6" s="7" t="d">
        <x:v>2027-02-12T00:00:00.000Z</x:v>
      </x:c>
      <x:c r="D6" s="2" t="str">
        <x:v>User-confirmed dates</x:v>
      </x:c>
      <x:c r="E6" s="2"/>
      <x:c r="F6" s="2"/>
    </x:row>
    <x:row r="7">
      <x:c r="A7" s="2"/>
      <x:c r="B7" s="2"/>
      <x:c r="C7" s="2"/>
      <x:c r="D7" s="2"/>
      <x:c r="E7" s="2"/>
      <x:c r="F7" s="2"/>
    </x:row>
    <x:row r="8">
      <x:c r="A8" s="2" t="str">
        <x:v>Calendar weeks</x:v>
      </x:c>
      <x:c r="B8" s="2" t="n">
        <x:v>17</x:v>
      </x:c>
      <x:c r="C8" s="2"/>
      <x:c r="D8" s="2"/>
      <x:c r="E8" s="2"/>
      <x:c r="F8" s="2"/>
    </x:row>
    <x:row r="9">
      <x:c r="A9" s="2" t="str">
        <x:v>Available workdays</x:v>
      </x:c>
      <x:c r="B9" s="2" t="n">
        <x:f>SUM(C16:C134)</x:f>
        <x:v>77</x:v>
      </x:c>
      <x:c r="C9" s="2"/>
      <x:c r="D9" s="2"/>
      <x:c r="E9" s="2"/>
      <x:c r="F9" s="2"/>
    </x:row>
    <x:row r="10">
      <x:c r="A10" s="2" t="str">
        <x:v>Weekdays excluded</x:v>
      </x:c>
      <x:c r="B10" s="2" t="n">
        <x:f>SUMPRODUCT(--(B16:B134&lt;&gt;"Sat"),--(B16:B134&lt;&gt;"Sun"))-B9</x:f>
        <x:v>8</x:v>
      </x:c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>
      <x:c r="A12" s="2" t="str">
        <x:v>Dates are inclusive. Weekends and Feb 3–12 are excluded. Christmas and New Year weekdays are available for tasks.</x:v>
      </x:c>
      <x:c r="B12" s="2"/>
      <x:c r="C12" s="2"/>
      <x:c r="D12" s="2"/>
      <x:c r="E12" s="2"/>
      <x:c r="F12" s="2"/>
    </x:row>
    <x:row r="13">
      <x:c r="A13" s="2" t="str">
        <x:v>These are project leave assumptions, not an official public-holiday calendar. Individual extra leave is entered in Team and Gates.</x:v>
      </x:c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 ht="34" customHeight="1">
      <x:c r="A15" s="13" t="str">
        <x:v>Date</x:v>
      </x:c>
      <x:c r="B15" s="13" t="str">
        <x:v>Day</x:v>
      </x:c>
      <x:c r="C15" s="13" t="str">
        <x:v>Workday flag</x:v>
      </x:c>
      <x:c r="D15" s="13" t="str">
        <x:v>Workday index</x:v>
      </x:c>
      <x:c r="E15" s="13" t="str">
        <x:v>Calendar week</x:v>
      </x:c>
      <x:c r="F15" s="13" t="str">
        <x:v>Day status</x:v>
      </x:c>
    </x:row>
    <x:row r="16" ht="23" customHeight="1">
      <x:c r="A16" s="5" t="n">
        <x:f>'Delivery Timeline'!$B$4+0</x:f>
        <x:v>46328</x:v>
      </x:c>
      <x:c r="B16" s="2" t="str">
        <x:f>CHOOSE(WEEKDAY(A16,2),"Mon","Tue","Wed","Thu","Fri","Sat","Sun")</x:f>
        <x:v>Mon</x:v>
      </x:c>
      <x:c r="C16" s="2" t="n">
        <x:f>IF(WEEKDAY(A16,2)&gt;5,0,IF(OR(AND(COUNT($B$5:$C$5)=2,A16&gt;=$B$5,A16&lt;=$C$5),AND(A16&gt;=$B$6,A16&lt;=$C$6)),0,1))</x:f>
        <x:v>1</x:v>
      </x:c>
      <x:c r="D16" s="2" t="n">
        <x:f>IF(C16=1,SUM($C$16:C16),"")</x:f>
        <x:v>1</x:v>
      </x:c>
      <x:c r="E16" s="2" t="n">
        <x:f>INT((A16-'Delivery Timeline'!$B$4)/7)+1</x:f>
        <x:v>1</x:v>
      </x:c>
      <x:c r="F16" s="2" t="str">
        <x:f>IF(AND(COUNT($B$5:$C$5)=2,A16&gt;=$B$5,A16&lt;=$C$5),"Additional leave",IF(AND(A16&gt;=$B$6,A16&lt;=$C$6),"Lunar New Year leave",IF(C16=1,"Working day","Weekend")))</x:f>
        <x:v>Working day</x:v>
      </x:c>
    </x:row>
    <x:row r="17" ht="23" customHeight="1">
      <x:c r="A17" s="5" t="n">
        <x:f>'Delivery Timeline'!$B$4+1</x:f>
        <x:v>46329</x:v>
      </x:c>
      <x:c r="B17" s="2" t="str">
        <x:f>CHOOSE(WEEKDAY(A17,2),"Mon","Tue","Wed","Thu","Fri","Sat","Sun")</x:f>
        <x:v>Tue</x:v>
      </x:c>
      <x:c r="C17" s="2" t="n">
        <x:f>IF(WEEKDAY(A17,2)&gt;5,0,IF(OR(AND(COUNT($B$5:$C$5)=2,A17&gt;=$B$5,A17&lt;=$C$5),AND(A17&gt;=$B$6,A17&lt;=$C$6)),0,1))</x:f>
        <x:v>1</x:v>
      </x:c>
      <x:c r="D17" s="2" t="n">
        <x:f>IF(C17=1,SUM($C$16:C17),"")</x:f>
        <x:v>2</x:v>
      </x:c>
      <x:c r="E17" s="2" t="n">
        <x:f>INT((A17-'Delivery Timeline'!$B$4)/7)+1</x:f>
        <x:v>1</x:v>
      </x:c>
      <x:c r="F17" s="2" t="str">
        <x:f>IF(AND(COUNT($B$5:$C$5)=2,A17&gt;=$B$5,A17&lt;=$C$5),"Additional leave",IF(AND(A17&gt;=$B$6,A17&lt;=$C$6),"Lunar New Year leave",IF(C17=1,"Working day","Weekend")))</x:f>
        <x:v>Working day</x:v>
      </x:c>
    </x:row>
    <x:row r="18" ht="23" customHeight="1">
      <x:c r="A18" s="5" t="n">
        <x:f>'Delivery Timeline'!$B$4+2</x:f>
        <x:v>46330</x:v>
      </x:c>
      <x:c r="B18" s="2" t="str">
        <x:f>CHOOSE(WEEKDAY(A18,2),"Mon","Tue","Wed","Thu","Fri","Sat","Sun")</x:f>
        <x:v>Wed</x:v>
      </x:c>
      <x:c r="C18" s="2" t="n">
        <x:f>IF(WEEKDAY(A18,2)&gt;5,0,IF(OR(AND(COUNT($B$5:$C$5)=2,A18&gt;=$B$5,A18&lt;=$C$5),AND(A18&gt;=$B$6,A18&lt;=$C$6)),0,1))</x:f>
        <x:v>1</x:v>
      </x:c>
      <x:c r="D18" s="2" t="n">
        <x:f>IF(C18=1,SUM($C$16:C18),"")</x:f>
        <x:v>3</x:v>
      </x:c>
      <x:c r="E18" s="2" t="n">
        <x:f>INT((A18-'Delivery Timeline'!$B$4)/7)+1</x:f>
        <x:v>1</x:v>
      </x:c>
      <x:c r="F18" s="2" t="str">
        <x:f>IF(AND(COUNT($B$5:$C$5)=2,A18&gt;=$B$5,A18&lt;=$C$5),"Additional leave",IF(AND(A18&gt;=$B$6,A18&lt;=$C$6),"Lunar New Year leave",IF(C18=1,"Working day","Weekend")))</x:f>
        <x:v>Working day</x:v>
      </x:c>
    </x:row>
    <x:row r="19" ht="23" customHeight="1">
      <x:c r="A19" s="5" t="n">
        <x:f>'Delivery Timeline'!$B$4+3</x:f>
        <x:v>46331</x:v>
      </x:c>
      <x:c r="B19" s="2" t="str">
        <x:f>CHOOSE(WEEKDAY(A19,2),"Mon","Tue","Wed","Thu","Fri","Sat","Sun")</x:f>
        <x:v>Thu</x:v>
      </x:c>
      <x:c r="C19" s="2" t="n">
        <x:f>IF(WEEKDAY(A19,2)&gt;5,0,IF(OR(AND(COUNT($B$5:$C$5)=2,A19&gt;=$B$5,A19&lt;=$C$5),AND(A19&gt;=$B$6,A19&lt;=$C$6)),0,1))</x:f>
        <x:v>1</x:v>
      </x:c>
      <x:c r="D19" s="2" t="n">
        <x:f>IF(C19=1,SUM($C$16:C19),"")</x:f>
        <x:v>4</x:v>
      </x:c>
      <x:c r="E19" s="2" t="n">
        <x:f>INT((A19-'Delivery Timeline'!$B$4)/7)+1</x:f>
        <x:v>1</x:v>
      </x:c>
      <x:c r="F19" s="2" t="str">
        <x:f>IF(AND(COUNT($B$5:$C$5)=2,A19&gt;=$B$5,A19&lt;=$C$5),"Additional leave",IF(AND(A19&gt;=$B$6,A19&lt;=$C$6),"Lunar New Year leave",IF(C19=1,"Working day","Weekend")))</x:f>
        <x:v>Working day</x:v>
      </x:c>
    </x:row>
    <x:row r="20" ht="23" customHeight="1">
      <x:c r="A20" s="5" t="n">
        <x:f>'Delivery Timeline'!$B$4+4</x:f>
        <x:v>46332</x:v>
      </x:c>
      <x:c r="B20" s="2" t="str">
        <x:f>CHOOSE(WEEKDAY(A20,2),"Mon","Tue","Wed","Thu","Fri","Sat","Sun")</x:f>
        <x:v>Fri</x:v>
      </x:c>
      <x:c r="C20" s="2" t="n">
        <x:f>IF(WEEKDAY(A20,2)&gt;5,0,IF(OR(AND(COUNT($B$5:$C$5)=2,A20&gt;=$B$5,A20&lt;=$C$5),AND(A20&gt;=$B$6,A20&lt;=$C$6)),0,1))</x:f>
        <x:v>1</x:v>
      </x:c>
      <x:c r="D20" s="2" t="n">
        <x:f>IF(C20=1,SUM($C$16:C20),"")</x:f>
        <x:v>5</x:v>
      </x:c>
      <x:c r="E20" s="2" t="n">
        <x:f>INT((A20-'Delivery Timeline'!$B$4)/7)+1</x:f>
        <x:v>1</x:v>
      </x:c>
      <x:c r="F20" s="2" t="str">
        <x:f>IF(AND(COUNT($B$5:$C$5)=2,A20&gt;=$B$5,A20&lt;=$C$5),"Additional leave",IF(AND(A20&gt;=$B$6,A20&lt;=$C$6),"Lunar New Year leave",IF(C20=1,"Working day","Weekend")))</x:f>
        <x:v>Working day</x:v>
      </x:c>
    </x:row>
    <x:row r="21" ht="23" customHeight="1">
      <x:c r="A21" s="5" t="n">
        <x:f>'Delivery Timeline'!$B$4+5</x:f>
        <x:v>46333</x:v>
      </x:c>
      <x:c r="B21" s="2" t="str">
        <x:f>CHOOSE(WEEKDAY(A21,2),"Mon","Tue","Wed","Thu","Fri","Sat","Sun")</x:f>
        <x:v>Sat</x:v>
      </x:c>
      <x:c r="C21" s="2" t="n">
        <x:f>IF(WEEKDAY(A21,2)&gt;5,0,IF(OR(AND(COUNT($B$5:$C$5)=2,A21&gt;=$B$5,A21&lt;=$C$5),AND(A21&gt;=$B$6,A21&lt;=$C$6)),0,1))</x:f>
        <x:v>0</x:v>
      </x:c>
      <x:c r="D21" s="2" t="str">
        <x:f>IF(C21=1,SUM($C$16:C21),"")</x:f>
      </x:c>
      <x:c r="E21" s="2" t="n">
        <x:f>INT((A21-'Delivery Timeline'!$B$4)/7)+1</x:f>
        <x:v>1</x:v>
      </x:c>
      <x:c r="F21" s="2" t="str">
        <x:f>IF(AND(COUNT($B$5:$C$5)=2,A21&gt;=$B$5,A21&lt;=$C$5),"Additional leave",IF(AND(A21&gt;=$B$6,A21&lt;=$C$6),"Lunar New Year leave",IF(C21=1,"Working day","Weekend")))</x:f>
        <x:v>Weekend</x:v>
      </x:c>
    </x:row>
    <x:row r="22" ht="23" customHeight="1">
      <x:c r="A22" s="5" t="n">
        <x:f>'Delivery Timeline'!$B$4+6</x:f>
        <x:v>46334</x:v>
      </x:c>
      <x:c r="B22" s="2" t="str">
        <x:f>CHOOSE(WEEKDAY(A22,2),"Mon","Tue","Wed","Thu","Fri","Sat","Sun")</x:f>
        <x:v>Sun</x:v>
      </x:c>
      <x:c r="C22" s="2" t="n">
        <x:f>IF(WEEKDAY(A22,2)&gt;5,0,IF(OR(AND(COUNT($B$5:$C$5)=2,A22&gt;=$B$5,A22&lt;=$C$5),AND(A22&gt;=$B$6,A22&lt;=$C$6)),0,1))</x:f>
        <x:v>0</x:v>
      </x:c>
      <x:c r="D22" s="2" t="str">
        <x:f>IF(C22=1,SUM($C$16:C22),"")</x:f>
      </x:c>
      <x:c r="E22" s="2" t="n">
        <x:f>INT((A22-'Delivery Timeline'!$B$4)/7)+1</x:f>
        <x:v>1</x:v>
      </x:c>
      <x:c r="F22" s="2" t="str">
        <x:f>IF(AND(COUNT($B$5:$C$5)=2,A22&gt;=$B$5,A22&lt;=$C$5),"Additional leave",IF(AND(A22&gt;=$B$6,A22&lt;=$C$6),"Lunar New Year leave",IF(C22=1,"Working day","Weekend")))</x:f>
        <x:v>Weekend</x:v>
      </x:c>
    </x:row>
    <x:row r="23" ht="23" customHeight="1">
      <x:c r="A23" s="5" t="n">
        <x:f>'Delivery Timeline'!$B$4+7</x:f>
        <x:v>46335</x:v>
      </x:c>
      <x:c r="B23" s="2" t="str">
        <x:f>CHOOSE(WEEKDAY(A23,2),"Mon","Tue","Wed","Thu","Fri","Sat","Sun")</x:f>
        <x:v>Mon</x:v>
      </x:c>
      <x:c r="C23" s="2" t="n">
        <x:f>IF(WEEKDAY(A23,2)&gt;5,0,IF(OR(AND(COUNT($B$5:$C$5)=2,A23&gt;=$B$5,A23&lt;=$C$5),AND(A23&gt;=$B$6,A23&lt;=$C$6)),0,1))</x:f>
        <x:v>1</x:v>
      </x:c>
      <x:c r="D23" s="2" t="n">
        <x:f>IF(C23=1,SUM($C$16:C23),"")</x:f>
        <x:v>6</x:v>
      </x:c>
      <x:c r="E23" s="2" t="n">
        <x:f>INT((A23-'Delivery Timeline'!$B$4)/7)+1</x:f>
        <x:v>2</x:v>
      </x:c>
      <x:c r="F23" s="2" t="str">
        <x:f>IF(AND(COUNT($B$5:$C$5)=2,A23&gt;=$B$5,A23&lt;=$C$5),"Additional leave",IF(AND(A23&gt;=$B$6,A23&lt;=$C$6),"Lunar New Year leave",IF(C23=1,"Working day","Weekend")))</x:f>
        <x:v>Working day</x:v>
      </x:c>
    </x:row>
    <x:row r="24" ht="23" customHeight="1">
      <x:c r="A24" s="5" t="n">
        <x:f>'Delivery Timeline'!$B$4+8</x:f>
        <x:v>46336</x:v>
      </x:c>
      <x:c r="B24" s="2" t="str">
        <x:f>CHOOSE(WEEKDAY(A24,2),"Mon","Tue","Wed","Thu","Fri","Sat","Sun")</x:f>
        <x:v>Tue</x:v>
      </x:c>
      <x:c r="C24" s="2" t="n">
        <x:f>IF(WEEKDAY(A24,2)&gt;5,0,IF(OR(AND(COUNT($B$5:$C$5)=2,A24&gt;=$B$5,A24&lt;=$C$5),AND(A24&gt;=$B$6,A24&lt;=$C$6)),0,1))</x:f>
        <x:v>1</x:v>
      </x:c>
      <x:c r="D24" s="2" t="n">
        <x:f>IF(C24=1,SUM($C$16:C24),"")</x:f>
        <x:v>7</x:v>
      </x:c>
      <x:c r="E24" s="2" t="n">
        <x:f>INT((A24-'Delivery Timeline'!$B$4)/7)+1</x:f>
        <x:v>2</x:v>
      </x:c>
      <x:c r="F24" s="2" t="str">
        <x:f>IF(AND(COUNT($B$5:$C$5)=2,A24&gt;=$B$5,A24&lt;=$C$5),"Additional leave",IF(AND(A24&gt;=$B$6,A24&lt;=$C$6),"Lunar New Year leave",IF(C24=1,"Working day","Weekend")))</x:f>
        <x:v>Working day</x:v>
      </x:c>
    </x:row>
    <x:row r="25" ht="23" customHeight="1">
      <x:c r="A25" s="5" t="n">
        <x:f>'Delivery Timeline'!$B$4+9</x:f>
        <x:v>46337</x:v>
      </x:c>
      <x:c r="B25" s="2" t="str">
        <x:f>CHOOSE(WEEKDAY(A25,2),"Mon","Tue","Wed","Thu","Fri","Sat","Sun")</x:f>
        <x:v>Wed</x:v>
      </x:c>
      <x:c r="C25" s="2" t="n">
        <x:f>IF(WEEKDAY(A25,2)&gt;5,0,IF(OR(AND(COUNT($B$5:$C$5)=2,A25&gt;=$B$5,A25&lt;=$C$5),AND(A25&gt;=$B$6,A25&lt;=$C$6)),0,1))</x:f>
        <x:v>1</x:v>
      </x:c>
      <x:c r="D25" s="2" t="n">
        <x:f>IF(C25=1,SUM($C$16:C25),"")</x:f>
        <x:v>8</x:v>
      </x:c>
      <x:c r="E25" s="2" t="n">
        <x:f>INT((A25-'Delivery Timeline'!$B$4)/7)+1</x:f>
        <x:v>2</x:v>
      </x:c>
      <x:c r="F25" s="2" t="str">
        <x:f>IF(AND(COUNT($B$5:$C$5)=2,A25&gt;=$B$5,A25&lt;=$C$5),"Additional leave",IF(AND(A25&gt;=$B$6,A25&lt;=$C$6),"Lunar New Year leave",IF(C25=1,"Working day","Weekend")))</x:f>
        <x:v>Working day</x:v>
      </x:c>
    </x:row>
    <x:row r="26" ht="23" customHeight="1">
      <x:c r="A26" s="5" t="n">
        <x:f>'Delivery Timeline'!$B$4+10</x:f>
        <x:v>46338</x:v>
      </x:c>
      <x:c r="B26" s="2" t="str">
        <x:f>CHOOSE(WEEKDAY(A26,2),"Mon","Tue","Wed","Thu","Fri","Sat","Sun")</x:f>
        <x:v>Thu</x:v>
      </x:c>
      <x:c r="C26" s="2" t="n">
        <x:f>IF(WEEKDAY(A26,2)&gt;5,0,IF(OR(AND(COUNT($B$5:$C$5)=2,A26&gt;=$B$5,A26&lt;=$C$5),AND(A26&gt;=$B$6,A26&lt;=$C$6)),0,1))</x:f>
        <x:v>1</x:v>
      </x:c>
      <x:c r="D26" s="2" t="n">
        <x:f>IF(C26=1,SUM($C$16:C26),"")</x:f>
        <x:v>9</x:v>
      </x:c>
      <x:c r="E26" s="2" t="n">
        <x:f>INT((A26-'Delivery Timeline'!$B$4)/7)+1</x:f>
        <x:v>2</x:v>
      </x:c>
      <x:c r="F26" s="2" t="str">
        <x:f>IF(AND(COUNT($B$5:$C$5)=2,A26&gt;=$B$5,A26&lt;=$C$5),"Additional leave",IF(AND(A26&gt;=$B$6,A26&lt;=$C$6),"Lunar New Year leave",IF(C26=1,"Working day","Weekend")))</x:f>
        <x:v>Working day</x:v>
      </x:c>
    </x:row>
    <x:row r="27" ht="23" customHeight="1">
      <x:c r="A27" s="5" t="n">
        <x:f>'Delivery Timeline'!$B$4+11</x:f>
        <x:v>46339</x:v>
      </x:c>
      <x:c r="B27" s="2" t="str">
        <x:f>CHOOSE(WEEKDAY(A27,2),"Mon","Tue","Wed","Thu","Fri","Sat","Sun")</x:f>
        <x:v>Fri</x:v>
      </x:c>
      <x:c r="C27" s="2" t="n">
        <x:f>IF(WEEKDAY(A27,2)&gt;5,0,IF(OR(AND(COUNT($B$5:$C$5)=2,A27&gt;=$B$5,A27&lt;=$C$5),AND(A27&gt;=$B$6,A27&lt;=$C$6)),0,1))</x:f>
        <x:v>1</x:v>
      </x:c>
      <x:c r="D27" s="2" t="n">
        <x:f>IF(C27=1,SUM($C$16:C27),"")</x:f>
        <x:v>10</x:v>
      </x:c>
      <x:c r="E27" s="2" t="n">
        <x:f>INT((A27-'Delivery Timeline'!$B$4)/7)+1</x:f>
        <x:v>2</x:v>
      </x:c>
      <x:c r="F27" s="2" t="str">
        <x:f>IF(AND(COUNT($B$5:$C$5)=2,A27&gt;=$B$5,A27&lt;=$C$5),"Additional leave",IF(AND(A27&gt;=$B$6,A27&lt;=$C$6),"Lunar New Year leave",IF(C27=1,"Working day","Weekend")))</x:f>
        <x:v>Working day</x:v>
      </x:c>
    </x:row>
    <x:row r="28" ht="23" customHeight="1">
      <x:c r="A28" s="5" t="n">
        <x:f>'Delivery Timeline'!$B$4+12</x:f>
        <x:v>46340</x:v>
      </x:c>
      <x:c r="B28" s="2" t="str">
        <x:f>CHOOSE(WEEKDAY(A28,2),"Mon","Tue","Wed","Thu","Fri","Sat","Sun")</x:f>
        <x:v>Sat</x:v>
      </x:c>
      <x:c r="C28" s="2" t="n">
        <x:f>IF(WEEKDAY(A28,2)&gt;5,0,IF(OR(AND(COUNT($B$5:$C$5)=2,A28&gt;=$B$5,A28&lt;=$C$5),AND(A28&gt;=$B$6,A28&lt;=$C$6)),0,1))</x:f>
        <x:v>0</x:v>
      </x:c>
      <x:c r="D28" s="2" t="str">
        <x:f>IF(C28=1,SUM($C$16:C28),"")</x:f>
      </x:c>
      <x:c r="E28" s="2" t="n">
        <x:f>INT((A28-'Delivery Timeline'!$B$4)/7)+1</x:f>
        <x:v>2</x:v>
      </x:c>
      <x:c r="F28" s="2" t="str">
        <x:f>IF(AND(COUNT($B$5:$C$5)=2,A28&gt;=$B$5,A28&lt;=$C$5),"Additional leave",IF(AND(A28&gt;=$B$6,A28&lt;=$C$6),"Lunar New Year leave",IF(C28=1,"Working day","Weekend")))</x:f>
        <x:v>Weekend</x:v>
      </x:c>
    </x:row>
    <x:row r="29" ht="23" customHeight="1">
      <x:c r="A29" s="5" t="n">
        <x:f>'Delivery Timeline'!$B$4+13</x:f>
        <x:v>46341</x:v>
      </x:c>
      <x:c r="B29" s="2" t="str">
        <x:f>CHOOSE(WEEKDAY(A29,2),"Mon","Tue","Wed","Thu","Fri","Sat","Sun")</x:f>
        <x:v>Sun</x:v>
      </x:c>
      <x:c r="C29" s="2" t="n">
        <x:f>IF(WEEKDAY(A29,2)&gt;5,0,IF(OR(AND(COUNT($B$5:$C$5)=2,A29&gt;=$B$5,A29&lt;=$C$5),AND(A29&gt;=$B$6,A29&lt;=$C$6)),0,1))</x:f>
        <x:v>0</x:v>
      </x:c>
      <x:c r="D29" s="2" t="str">
        <x:f>IF(C29=1,SUM($C$16:C29),"")</x:f>
      </x:c>
      <x:c r="E29" s="2" t="n">
        <x:f>INT((A29-'Delivery Timeline'!$B$4)/7)+1</x:f>
        <x:v>2</x:v>
      </x:c>
      <x:c r="F29" s="2" t="str">
        <x:f>IF(AND(COUNT($B$5:$C$5)=2,A29&gt;=$B$5,A29&lt;=$C$5),"Additional leave",IF(AND(A29&gt;=$B$6,A29&lt;=$C$6),"Lunar New Year leave",IF(C29=1,"Working day","Weekend")))</x:f>
        <x:v>Weekend</x:v>
      </x:c>
    </x:row>
    <x:row r="30" ht="23" customHeight="1">
      <x:c r="A30" s="5" t="n">
        <x:f>'Delivery Timeline'!$B$4+14</x:f>
        <x:v>46342</x:v>
      </x:c>
      <x:c r="B30" s="2" t="str">
        <x:f>CHOOSE(WEEKDAY(A30,2),"Mon","Tue","Wed","Thu","Fri","Sat","Sun")</x:f>
        <x:v>Mon</x:v>
      </x:c>
      <x:c r="C30" s="2" t="n">
        <x:f>IF(WEEKDAY(A30,2)&gt;5,0,IF(OR(AND(COUNT($B$5:$C$5)=2,A30&gt;=$B$5,A30&lt;=$C$5),AND(A30&gt;=$B$6,A30&lt;=$C$6)),0,1))</x:f>
        <x:v>1</x:v>
      </x:c>
      <x:c r="D30" s="2" t="n">
        <x:f>IF(C30=1,SUM($C$16:C30),"")</x:f>
        <x:v>11</x:v>
      </x:c>
      <x:c r="E30" s="2" t="n">
        <x:f>INT((A30-'Delivery Timeline'!$B$4)/7)+1</x:f>
        <x:v>3</x:v>
      </x:c>
      <x:c r="F30" s="2" t="str">
        <x:f>IF(AND(COUNT($B$5:$C$5)=2,A30&gt;=$B$5,A30&lt;=$C$5),"Additional leave",IF(AND(A30&gt;=$B$6,A30&lt;=$C$6),"Lunar New Year leave",IF(C30=1,"Working day","Weekend")))</x:f>
        <x:v>Working day</x:v>
      </x:c>
    </x:row>
    <x:row r="31" ht="23" customHeight="1">
      <x:c r="A31" s="5" t="n">
        <x:f>'Delivery Timeline'!$B$4+15</x:f>
        <x:v>46343</x:v>
      </x:c>
      <x:c r="B31" s="2" t="str">
        <x:f>CHOOSE(WEEKDAY(A31,2),"Mon","Tue","Wed","Thu","Fri","Sat","Sun")</x:f>
        <x:v>Tue</x:v>
      </x:c>
      <x:c r="C31" s="2" t="n">
        <x:f>IF(WEEKDAY(A31,2)&gt;5,0,IF(OR(AND(COUNT($B$5:$C$5)=2,A31&gt;=$B$5,A31&lt;=$C$5),AND(A31&gt;=$B$6,A31&lt;=$C$6)),0,1))</x:f>
        <x:v>1</x:v>
      </x:c>
      <x:c r="D31" s="2" t="n">
        <x:f>IF(C31=1,SUM($C$16:C31),"")</x:f>
        <x:v>12</x:v>
      </x:c>
      <x:c r="E31" s="2" t="n">
        <x:f>INT((A31-'Delivery Timeline'!$B$4)/7)+1</x:f>
        <x:v>3</x:v>
      </x:c>
      <x:c r="F31" s="2" t="str">
        <x:f>IF(AND(COUNT($B$5:$C$5)=2,A31&gt;=$B$5,A31&lt;=$C$5),"Additional leave",IF(AND(A31&gt;=$B$6,A31&lt;=$C$6),"Lunar New Year leave",IF(C31=1,"Working day","Weekend")))</x:f>
        <x:v>Working day</x:v>
      </x:c>
    </x:row>
    <x:row r="32" ht="23" customHeight="1">
      <x:c r="A32" s="5" t="n">
        <x:f>'Delivery Timeline'!$B$4+16</x:f>
        <x:v>46344</x:v>
      </x:c>
      <x:c r="B32" s="2" t="str">
        <x:f>CHOOSE(WEEKDAY(A32,2),"Mon","Tue","Wed","Thu","Fri","Sat","Sun")</x:f>
        <x:v>Wed</x:v>
      </x:c>
      <x:c r="C32" s="2" t="n">
        <x:f>IF(WEEKDAY(A32,2)&gt;5,0,IF(OR(AND(COUNT($B$5:$C$5)=2,A32&gt;=$B$5,A32&lt;=$C$5),AND(A32&gt;=$B$6,A32&lt;=$C$6)),0,1))</x:f>
        <x:v>1</x:v>
      </x:c>
      <x:c r="D32" s="2" t="n">
        <x:f>IF(C32=1,SUM($C$16:C32),"")</x:f>
        <x:v>13</x:v>
      </x:c>
      <x:c r="E32" s="2" t="n">
        <x:f>INT((A32-'Delivery Timeline'!$B$4)/7)+1</x:f>
        <x:v>3</x:v>
      </x:c>
      <x:c r="F32" s="2" t="str">
        <x:f>IF(AND(COUNT($B$5:$C$5)=2,A32&gt;=$B$5,A32&lt;=$C$5),"Additional leave",IF(AND(A32&gt;=$B$6,A32&lt;=$C$6),"Lunar New Year leave",IF(C32=1,"Working day","Weekend")))</x:f>
        <x:v>Working day</x:v>
      </x:c>
    </x:row>
    <x:row r="33" ht="23" customHeight="1">
      <x:c r="A33" s="5" t="n">
        <x:f>'Delivery Timeline'!$B$4+17</x:f>
        <x:v>46345</x:v>
      </x:c>
      <x:c r="B33" s="2" t="str">
        <x:f>CHOOSE(WEEKDAY(A33,2),"Mon","Tue","Wed","Thu","Fri","Sat","Sun")</x:f>
        <x:v>Thu</x:v>
      </x:c>
      <x:c r="C33" s="2" t="n">
        <x:f>IF(WEEKDAY(A33,2)&gt;5,0,IF(OR(AND(COUNT($B$5:$C$5)=2,A33&gt;=$B$5,A33&lt;=$C$5),AND(A33&gt;=$B$6,A33&lt;=$C$6)),0,1))</x:f>
        <x:v>1</x:v>
      </x:c>
      <x:c r="D33" s="2" t="n">
        <x:f>IF(C33=1,SUM($C$16:C33),"")</x:f>
        <x:v>14</x:v>
      </x:c>
      <x:c r="E33" s="2" t="n">
        <x:f>INT((A33-'Delivery Timeline'!$B$4)/7)+1</x:f>
        <x:v>3</x:v>
      </x:c>
      <x:c r="F33" s="2" t="str">
        <x:f>IF(AND(COUNT($B$5:$C$5)=2,A33&gt;=$B$5,A33&lt;=$C$5),"Additional leave",IF(AND(A33&gt;=$B$6,A33&lt;=$C$6),"Lunar New Year leave",IF(C33=1,"Working day","Weekend")))</x:f>
        <x:v>Working day</x:v>
      </x:c>
    </x:row>
    <x:row r="34" ht="23" customHeight="1">
      <x:c r="A34" s="5" t="n">
        <x:f>'Delivery Timeline'!$B$4+18</x:f>
        <x:v>46346</x:v>
      </x:c>
      <x:c r="B34" s="2" t="str">
        <x:f>CHOOSE(WEEKDAY(A34,2),"Mon","Tue","Wed","Thu","Fri","Sat","Sun")</x:f>
        <x:v>Fri</x:v>
      </x:c>
      <x:c r="C34" s="2" t="n">
        <x:f>IF(WEEKDAY(A34,2)&gt;5,0,IF(OR(AND(COUNT($B$5:$C$5)=2,A34&gt;=$B$5,A34&lt;=$C$5),AND(A34&gt;=$B$6,A34&lt;=$C$6)),0,1))</x:f>
        <x:v>1</x:v>
      </x:c>
      <x:c r="D34" s="2" t="n">
        <x:f>IF(C34=1,SUM($C$16:C34),"")</x:f>
        <x:v>15</x:v>
      </x:c>
      <x:c r="E34" s="2" t="n">
        <x:f>INT((A34-'Delivery Timeline'!$B$4)/7)+1</x:f>
        <x:v>3</x:v>
      </x:c>
      <x:c r="F34" s="2" t="str">
        <x:f>IF(AND(COUNT($B$5:$C$5)=2,A34&gt;=$B$5,A34&lt;=$C$5),"Additional leave",IF(AND(A34&gt;=$B$6,A34&lt;=$C$6),"Lunar New Year leave",IF(C34=1,"Working day","Weekend")))</x:f>
        <x:v>Working day</x:v>
      </x:c>
    </x:row>
    <x:row r="35" ht="23" customHeight="1">
      <x:c r="A35" s="5" t="n">
        <x:f>'Delivery Timeline'!$B$4+19</x:f>
        <x:v>46347</x:v>
      </x:c>
      <x:c r="B35" s="2" t="str">
        <x:f>CHOOSE(WEEKDAY(A35,2),"Mon","Tue","Wed","Thu","Fri","Sat","Sun")</x:f>
        <x:v>Sat</x:v>
      </x:c>
      <x:c r="C35" s="2" t="n">
        <x:f>IF(WEEKDAY(A35,2)&gt;5,0,IF(OR(AND(COUNT($B$5:$C$5)=2,A35&gt;=$B$5,A35&lt;=$C$5),AND(A35&gt;=$B$6,A35&lt;=$C$6)),0,1))</x:f>
        <x:v>0</x:v>
      </x:c>
      <x:c r="D35" s="2" t="str">
        <x:f>IF(C35=1,SUM($C$16:C35),"")</x:f>
      </x:c>
      <x:c r="E35" s="2" t="n">
        <x:f>INT((A35-'Delivery Timeline'!$B$4)/7)+1</x:f>
        <x:v>3</x:v>
      </x:c>
      <x:c r="F35" s="2" t="str">
        <x:f>IF(AND(COUNT($B$5:$C$5)=2,A35&gt;=$B$5,A35&lt;=$C$5),"Additional leave",IF(AND(A35&gt;=$B$6,A35&lt;=$C$6),"Lunar New Year leave",IF(C35=1,"Working day","Weekend")))</x:f>
        <x:v>Weekend</x:v>
      </x:c>
    </x:row>
    <x:row r="36" ht="23" customHeight="1">
      <x:c r="A36" s="5" t="n">
        <x:f>'Delivery Timeline'!$B$4+20</x:f>
        <x:v>46348</x:v>
      </x:c>
      <x:c r="B36" s="2" t="str">
        <x:f>CHOOSE(WEEKDAY(A36,2),"Mon","Tue","Wed","Thu","Fri","Sat","Sun")</x:f>
        <x:v>Sun</x:v>
      </x:c>
      <x:c r="C36" s="2" t="n">
        <x:f>IF(WEEKDAY(A36,2)&gt;5,0,IF(OR(AND(COUNT($B$5:$C$5)=2,A36&gt;=$B$5,A36&lt;=$C$5),AND(A36&gt;=$B$6,A36&lt;=$C$6)),0,1))</x:f>
        <x:v>0</x:v>
      </x:c>
      <x:c r="D36" s="2" t="str">
        <x:f>IF(C36=1,SUM($C$16:C36),"")</x:f>
      </x:c>
      <x:c r="E36" s="2" t="n">
        <x:f>INT((A36-'Delivery Timeline'!$B$4)/7)+1</x:f>
        <x:v>3</x:v>
      </x:c>
      <x:c r="F36" s="2" t="str">
        <x:f>IF(AND(COUNT($B$5:$C$5)=2,A36&gt;=$B$5,A36&lt;=$C$5),"Additional leave",IF(AND(A36&gt;=$B$6,A36&lt;=$C$6),"Lunar New Year leave",IF(C36=1,"Working day","Weekend")))</x:f>
        <x:v>Weekend</x:v>
      </x:c>
    </x:row>
    <x:row r="37" ht="23" customHeight="1">
      <x:c r="A37" s="5" t="n">
        <x:f>'Delivery Timeline'!$B$4+21</x:f>
        <x:v>46349</x:v>
      </x:c>
      <x:c r="B37" s="2" t="str">
        <x:f>CHOOSE(WEEKDAY(A37,2),"Mon","Tue","Wed","Thu","Fri","Sat","Sun")</x:f>
        <x:v>Mon</x:v>
      </x:c>
      <x:c r="C37" s="2" t="n">
        <x:f>IF(WEEKDAY(A37,2)&gt;5,0,IF(OR(AND(COUNT($B$5:$C$5)=2,A37&gt;=$B$5,A37&lt;=$C$5),AND(A37&gt;=$B$6,A37&lt;=$C$6)),0,1))</x:f>
        <x:v>1</x:v>
      </x:c>
      <x:c r="D37" s="2" t="n">
        <x:f>IF(C37=1,SUM($C$16:C37),"")</x:f>
        <x:v>16</x:v>
      </x:c>
      <x:c r="E37" s="2" t="n">
        <x:f>INT((A37-'Delivery Timeline'!$B$4)/7)+1</x:f>
        <x:v>4</x:v>
      </x:c>
      <x:c r="F37" s="2" t="str">
        <x:f>IF(AND(COUNT($B$5:$C$5)=2,A37&gt;=$B$5,A37&lt;=$C$5),"Additional leave",IF(AND(A37&gt;=$B$6,A37&lt;=$C$6),"Lunar New Year leave",IF(C37=1,"Working day","Weekend")))</x:f>
        <x:v>Working day</x:v>
      </x:c>
    </x:row>
    <x:row r="38" ht="23" customHeight="1">
      <x:c r="A38" s="5" t="n">
        <x:f>'Delivery Timeline'!$B$4+22</x:f>
        <x:v>46350</x:v>
      </x:c>
      <x:c r="B38" s="2" t="str">
        <x:f>CHOOSE(WEEKDAY(A38,2),"Mon","Tue","Wed","Thu","Fri","Sat","Sun")</x:f>
        <x:v>Tue</x:v>
      </x:c>
      <x:c r="C38" s="2" t="n">
        <x:f>IF(WEEKDAY(A38,2)&gt;5,0,IF(OR(AND(COUNT($B$5:$C$5)=2,A38&gt;=$B$5,A38&lt;=$C$5),AND(A38&gt;=$B$6,A38&lt;=$C$6)),0,1))</x:f>
        <x:v>1</x:v>
      </x:c>
      <x:c r="D38" s="2" t="n">
        <x:f>IF(C38=1,SUM($C$16:C38),"")</x:f>
        <x:v>17</x:v>
      </x:c>
      <x:c r="E38" s="2" t="n">
        <x:f>INT((A38-'Delivery Timeline'!$B$4)/7)+1</x:f>
        <x:v>4</x:v>
      </x:c>
      <x:c r="F38" s="2" t="str">
        <x:f>IF(AND(COUNT($B$5:$C$5)=2,A38&gt;=$B$5,A38&lt;=$C$5),"Additional leave",IF(AND(A38&gt;=$B$6,A38&lt;=$C$6),"Lunar New Year leave",IF(C38=1,"Working day","Weekend")))</x:f>
        <x:v>Working day</x:v>
      </x:c>
    </x:row>
    <x:row r="39" ht="23" customHeight="1">
      <x:c r="A39" s="5" t="n">
        <x:f>'Delivery Timeline'!$B$4+23</x:f>
        <x:v>46351</x:v>
      </x:c>
      <x:c r="B39" s="2" t="str">
        <x:f>CHOOSE(WEEKDAY(A39,2),"Mon","Tue","Wed","Thu","Fri","Sat","Sun")</x:f>
        <x:v>Wed</x:v>
      </x:c>
      <x:c r="C39" s="2" t="n">
        <x:f>IF(WEEKDAY(A39,2)&gt;5,0,IF(OR(AND(COUNT($B$5:$C$5)=2,A39&gt;=$B$5,A39&lt;=$C$5),AND(A39&gt;=$B$6,A39&lt;=$C$6)),0,1))</x:f>
        <x:v>1</x:v>
      </x:c>
      <x:c r="D39" s="2" t="n">
        <x:f>IF(C39=1,SUM($C$16:C39),"")</x:f>
        <x:v>18</x:v>
      </x:c>
      <x:c r="E39" s="2" t="n">
        <x:f>INT((A39-'Delivery Timeline'!$B$4)/7)+1</x:f>
        <x:v>4</x:v>
      </x:c>
      <x:c r="F39" s="2" t="str">
        <x:f>IF(AND(COUNT($B$5:$C$5)=2,A39&gt;=$B$5,A39&lt;=$C$5),"Additional leave",IF(AND(A39&gt;=$B$6,A39&lt;=$C$6),"Lunar New Year leave",IF(C39=1,"Working day","Weekend")))</x:f>
        <x:v>Working day</x:v>
      </x:c>
    </x:row>
    <x:row r="40" ht="23" customHeight="1">
      <x:c r="A40" s="5" t="n">
        <x:f>'Delivery Timeline'!$B$4+24</x:f>
        <x:v>46352</x:v>
      </x:c>
      <x:c r="B40" s="2" t="str">
        <x:f>CHOOSE(WEEKDAY(A40,2),"Mon","Tue","Wed","Thu","Fri","Sat","Sun")</x:f>
        <x:v>Thu</x:v>
      </x:c>
      <x:c r="C40" s="2" t="n">
        <x:f>IF(WEEKDAY(A40,2)&gt;5,0,IF(OR(AND(COUNT($B$5:$C$5)=2,A40&gt;=$B$5,A40&lt;=$C$5),AND(A40&gt;=$B$6,A40&lt;=$C$6)),0,1))</x:f>
        <x:v>1</x:v>
      </x:c>
      <x:c r="D40" s="2" t="n">
        <x:f>IF(C40=1,SUM($C$16:C40),"")</x:f>
        <x:v>19</x:v>
      </x:c>
      <x:c r="E40" s="2" t="n">
        <x:f>INT((A40-'Delivery Timeline'!$B$4)/7)+1</x:f>
        <x:v>4</x:v>
      </x:c>
      <x:c r="F40" s="2" t="str">
        <x:f>IF(AND(COUNT($B$5:$C$5)=2,A40&gt;=$B$5,A40&lt;=$C$5),"Additional leave",IF(AND(A40&gt;=$B$6,A40&lt;=$C$6),"Lunar New Year leave",IF(C40=1,"Working day","Weekend")))</x:f>
        <x:v>Working day</x:v>
      </x:c>
    </x:row>
    <x:row r="41" ht="23" customHeight="1">
      <x:c r="A41" s="5" t="n">
        <x:f>'Delivery Timeline'!$B$4+25</x:f>
        <x:v>46353</x:v>
      </x:c>
      <x:c r="B41" s="2" t="str">
        <x:f>CHOOSE(WEEKDAY(A41,2),"Mon","Tue","Wed","Thu","Fri","Sat","Sun")</x:f>
        <x:v>Fri</x:v>
      </x:c>
      <x:c r="C41" s="2" t="n">
        <x:f>IF(WEEKDAY(A41,2)&gt;5,0,IF(OR(AND(COUNT($B$5:$C$5)=2,A41&gt;=$B$5,A41&lt;=$C$5),AND(A41&gt;=$B$6,A41&lt;=$C$6)),0,1))</x:f>
        <x:v>1</x:v>
      </x:c>
      <x:c r="D41" s="2" t="n">
        <x:f>IF(C41=1,SUM($C$16:C41),"")</x:f>
        <x:v>20</x:v>
      </x:c>
      <x:c r="E41" s="2" t="n">
        <x:f>INT((A41-'Delivery Timeline'!$B$4)/7)+1</x:f>
        <x:v>4</x:v>
      </x:c>
      <x:c r="F41" s="2" t="str">
        <x:f>IF(AND(COUNT($B$5:$C$5)=2,A41&gt;=$B$5,A41&lt;=$C$5),"Additional leave",IF(AND(A41&gt;=$B$6,A41&lt;=$C$6),"Lunar New Year leave",IF(C41=1,"Working day","Weekend")))</x:f>
        <x:v>Working day</x:v>
      </x:c>
    </x:row>
    <x:row r="42" ht="23" customHeight="1">
      <x:c r="A42" s="5" t="n">
        <x:f>'Delivery Timeline'!$B$4+26</x:f>
        <x:v>46354</x:v>
      </x:c>
      <x:c r="B42" s="2" t="str">
        <x:f>CHOOSE(WEEKDAY(A42,2),"Mon","Tue","Wed","Thu","Fri","Sat","Sun")</x:f>
        <x:v>Sat</x:v>
      </x:c>
      <x:c r="C42" s="2" t="n">
        <x:f>IF(WEEKDAY(A42,2)&gt;5,0,IF(OR(AND(COUNT($B$5:$C$5)=2,A42&gt;=$B$5,A42&lt;=$C$5),AND(A42&gt;=$B$6,A42&lt;=$C$6)),0,1))</x:f>
        <x:v>0</x:v>
      </x:c>
      <x:c r="D42" s="2" t="str">
        <x:f>IF(C42=1,SUM($C$16:C42),"")</x:f>
      </x:c>
      <x:c r="E42" s="2" t="n">
        <x:f>INT((A42-'Delivery Timeline'!$B$4)/7)+1</x:f>
        <x:v>4</x:v>
      </x:c>
      <x:c r="F42" s="2" t="str">
        <x:f>IF(AND(COUNT($B$5:$C$5)=2,A42&gt;=$B$5,A42&lt;=$C$5),"Additional leave",IF(AND(A42&gt;=$B$6,A42&lt;=$C$6),"Lunar New Year leave",IF(C42=1,"Working day","Weekend")))</x:f>
        <x:v>Weekend</x:v>
      </x:c>
    </x:row>
    <x:row r="43" ht="23" customHeight="1">
      <x:c r="A43" s="5" t="n">
        <x:f>'Delivery Timeline'!$B$4+27</x:f>
        <x:v>46355</x:v>
      </x:c>
      <x:c r="B43" s="2" t="str">
        <x:f>CHOOSE(WEEKDAY(A43,2),"Mon","Tue","Wed","Thu","Fri","Sat","Sun")</x:f>
        <x:v>Sun</x:v>
      </x:c>
      <x:c r="C43" s="2" t="n">
        <x:f>IF(WEEKDAY(A43,2)&gt;5,0,IF(OR(AND(COUNT($B$5:$C$5)=2,A43&gt;=$B$5,A43&lt;=$C$5),AND(A43&gt;=$B$6,A43&lt;=$C$6)),0,1))</x:f>
        <x:v>0</x:v>
      </x:c>
      <x:c r="D43" s="2" t="str">
        <x:f>IF(C43=1,SUM($C$16:C43),"")</x:f>
      </x:c>
      <x:c r="E43" s="2" t="n">
        <x:f>INT((A43-'Delivery Timeline'!$B$4)/7)+1</x:f>
        <x:v>4</x:v>
      </x:c>
      <x:c r="F43" s="2" t="str">
        <x:f>IF(AND(COUNT($B$5:$C$5)=2,A43&gt;=$B$5,A43&lt;=$C$5),"Additional leave",IF(AND(A43&gt;=$B$6,A43&lt;=$C$6),"Lunar New Year leave",IF(C43=1,"Working day","Weekend")))</x:f>
        <x:v>Weekend</x:v>
      </x:c>
    </x:row>
    <x:row r="44" ht="23" customHeight="1">
      <x:c r="A44" s="5" t="n">
        <x:f>'Delivery Timeline'!$B$4+28</x:f>
        <x:v>46356</x:v>
      </x:c>
      <x:c r="B44" s="2" t="str">
        <x:f>CHOOSE(WEEKDAY(A44,2),"Mon","Tue","Wed","Thu","Fri","Sat","Sun")</x:f>
        <x:v>Mon</x:v>
      </x:c>
      <x:c r="C44" s="2" t="n">
        <x:f>IF(WEEKDAY(A44,2)&gt;5,0,IF(OR(AND(COUNT($B$5:$C$5)=2,A44&gt;=$B$5,A44&lt;=$C$5),AND(A44&gt;=$B$6,A44&lt;=$C$6)),0,1))</x:f>
        <x:v>1</x:v>
      </x:c>
      <x:c r="D44" s="2" t="n">
        <x:f>IF(C44=1,SUM($C$16:C44),"")</x:f>
        <x:v>21</x:v>
      </x:c>
      <x:c r="E44" s="2" t="n">
        <x:f>INT((A44-'Delivery Timeline'!$B$4)/7)+1</x:f>
        <x:v>5</x:v>
      </x:c>
      <x:c r="F44" s="2" t="str">
        <x:f>IF(AND(COUNT($B$5:$C$5)=2,A44&gt;=$B$5,A44&lt;=$C$5),"Additional leave",IF(AND(A44&gt;=$B$6,A44&lt;=$C$6),"Lunar New Year leave",IF(C44=1,"Working day","Weekend")))</x:f>
        <x:v>Working day</x:v>
      </x:c>
    </x:row>
    <x:row r="45" ht="23" customHeight="1">
      <x:c r="A45" s="5" t="n">
        <x:f>'Delivery Timeline'!$B$4+29</x:f>
        <x:v>46357</x:v>
      </x:c>
      <x:c r="B45" s="2" t="str">
        <x:f>CHOOSE(WEEKDAY(A45,2),"Mon","Tue","Wed","Thu","Fri","Sat","Sun")</x:f>
        <x:v>Tue</x:v>
      </x:c>
      <x:c r="C45" s="2" t="n">
        <x:f>IF(WEEKDAY(A45,2)&gt;5,0,IF(OR(AND(COUNT($B$5:$C$5)=2,A45&gt;=$B$5,A45&lt;=$C$5),AND(A45&gt;=$B$6,A45&lt;=$C$6)),0,1))</x:f>
        <x:v>1</x:v>
      </x:c>
      <x:c r="D45" s="2" t="n">
        <x:f>IF(C45=1,SUM($C$16:C45),"")</x:f>
        <x:v>22</x:v>
      </x:c>
      <x:c r="E45" s="2" t="n">
        <x:f>INT((A45-'Delivery Timeline'!$B$4)/7)+1</x:f>
        <x:v>5</x:v>
      </x:c>
      <x:c r="F45" s="2" t="str">
        <x:f>IF(AND(COUNT($B$5:$C$5)=2,A45&gt;=$B$5,A45&lt;=$C$5),"Additional leave",IF(AND(A45&gt;=$B$6,A45&lt;=$C$6),"Lunar New Year leave",IF(C45=1,"Working day","Weekend")))</x:f>
        <x:v>Working day</x:v>
      </x:c>
    </x:row>
    <x:row r="46" ht="23" customHeight="1">
      <x:c r="A46" s="5" t="n">
        <x:f>'Delivery Timeline'!$B$4+30</x:f>
        <x:v>46358</x:v>
      </x:c>
      <x:c r="B46" s="2" t="str">
        <x:f>CHOOSE(WEEKDAY(A46,2),"Mon","Tue","Wed","Thu","Fri","Sat","Sun")</x:f>
        <x:v>Wed</x:v>
      </x:c>
      <x:c r="C46" s="2" t="n">
        <x:f>IF(WEEKDAY(A46,2)&gt;5,0,IF(OR(AND(COUNT($B$5:$C$5)=2,A46&gt;=$B$5,A46&lt;=$C$5),AND(A46&gt;=$B$6,A46&lt;=$C$6)),0,1))</x:f>
        <x:v>1</x:v>
      </x:c>
      <x:c r="D46" s="2" t="n">
        <x:f>IF(C46=1,SUM($C$16:C46),"")</x:f>
        <x:v>23</x:v>
      </x:c>
      <x:c r="E46" s="2" t="n">
        <x:f>INT((A46-'Delivery Timeline'!$B$4)/7)+1</x:f>
        <x:v>5</x:v>
      </x:c>
      <x:c r="F46" s="2" t="str">
        <x:f>IF(AND(COUNT($B$5:$C$5)=2,A46&gt;=$B$5,A46&lt;=$C$5),"Additional leave",IF(AND(A46&gt;=$B$6,A46&lt;=$C$6),"Lunar New Year leave",IF(C46=1,"Working day","Weekend")))</x:f>
        <x:v>Working day</x:v>
      </x:c>
    </x:row>
    <x:row r="47" ht="23" customHeight="1">
      <x:c r="A47" s="5" t="n">
        <x:f>'Delivery Timeline'!$B$4+31</x:f>
        <x:v>46359</x:v>
      </x:c>
      <x:c r="B47" s="2" t="str">
        <x:f>CHOOSE(WEEKDAY(A47,2),"Mon","Tue","Wed","Thu","Fri","Sat","Sun")</x:f>
        <x:v>Thu</x:v>
      </x:c>
      <x:c r="C47" s="2" t="n">
        <x:f>IF(WEEKDAY(A47,2)&gt;5,0,IF(OR(AND(COUNT($B$5:$C$5)=2,A47&gt;=$B$5,A47&lt;=$C$5),AND(A47&gt;=$B$6,A47&lt;=$C$6)),0,1))</x:f>
        <x:v>1</x:v>
      </x:c>
      <x:c r="D47" s="2" t="n">
        <x:f>IF(C47=1,SUM($C$16:C47),"")</x:f>
        <x:v>24</x:v>
      </x:c>
      <x:c r="E47" s="2" t="n">
        <x:f>INT((A47-'Delivery Timeline'!$B$4)/7)+1</x:f>
        <x:v>5</x:v>
      </x:c>
      <x:c r="F47" s="2" t="str">
        <x:f>IF(AND(COUNT($B$5:$C$5)=2,A47&gt;=$B$5,A47&lt;=$C$5),"Additional leave",IF(AND(A47&gt;=$B$6,A47&lt;=$C$6),"Lunar New Year leave",IF(C47=1,"Working day","Weekend")))</x:f>
        <x:v>Working day</x:v>
      </x:c>
    </x:row>
    <x:row r="48" ht="23" customHeight="1">
      <x:c r="A48" s="5" t="n">
        <x:f>'Delivery Timeline'!$B$4+32</x:f>
        <x:v>46360</x:v>
      </x:c>
      <x:c r="B48" s="2" t="str">
        <x:f>CHOOSE(WEEKDAY(A48,2),"Mon","Tue","Wed","Thu","Fri","Sat","Sun")</x:f>
        <x:v>Fri</x:v>
      </x:c>
      <x:c r="C48" s="2" t="n">
        <x:f>IF(WEEKDAY(A48,2)&gt;5,0,IF(OR(AND(COUNT($B$5:$C$5)=2,A48&gt;=$B$5,A48&lt;=$C$5),AND(A48&gt;=$B$6,A48&lt;=$C$6)),0,1))</x:f>
        <x:v>1</x:v>
      </x:c>
      <x:c r="D48" s="2" t="n">
        <x:f>IF(C48=1,SUM($C$16:C48),"")</x:f>
        <x:v>25</x:v>
      </x:c>
      <x:c r="E48" s="2" t="n">
        <x:f>INT((A48-'Delivery Timeline'!$B$4)/7)+1</x:f>
        <x:v>5</x:v>
      </x:c>
      <x:c r="F48" s="2" t="str">
        <x:f>IF(AND(COUNT($B$5:$C$5)=2,A48&gt;=$B$5,A48&lt;=$C$5),"Additional leave",IF(AND(A48&gt;=$B$6,A48&lt;=$C$6),"Lunar New Year leave",IF(C48=1,"Working day","Weekend")))</x:f>
        <x:v>Working day</x:v>
      </x:c>
    </x:row>
    <x:row r="49" ht="23" customHeight="1">
      <x:c r="A49" s="5" t="n">
        <x:f>'Delivery Timeline'!$B$4+33</x:f>
        <x:v>46361</x:v>
      </x:c>
      <x:c r="B49" s="2" t="str">
        <x:f>CHOOSE(WEEKDAY(A49,2),"Mon","Tue","Wed","Thu","Fri","Sat","Sun")</x:f>
        <x:v>Sat</x:v>
      </x:c>
      <x:c r="C49" s="2" t="n">
        <x:f>IF(WEEKDAY(A49,2)&gt;5,0,IF(OR(AND(COUNT($B$5:$C$5)=2,A49&gt;=$B$5,A49&lt;=$C$5),AND(A49&gt;=$B$6,A49&lt;=$C$6)),0,1))</x:f>
        <x:v>0</x:v>
      </x:c>
      <x:c r="D49" s="2" t="str">
        <x:f>IF(C49=1,SUM($C$16:C49),"")</x:f>
      </x:c>
      <x:c r="E49" s="2" t="n">
        <x:f>INT((A49-'Delivery Timeline'!$B$4)/7)+1</x:f>
        <x:v>5</x:v>
      </x:c>
      <x:c r="F49" s="2" t="str">
        <x:f>IF(AND(COUNT($B$5:$C$5)=2,A49&gt;=$B$5,A49&lt;=$C$5),"Additional leave",IF(AND(A49&gt;=$B$6,A49&lt;=$C$6),"Lunar New Year leave",IF(C49=1,"Working day","Weekend")))</x:f>
        <x:v>Weekend</x:v>
      </x:c>
    </x:row>
    <x:row r="50" ht="23" customHeight="1">
      <x:c r="A50" s="5" t="n">
        <x:f>'Delivery Timeline'!$B$4+34</x:f>
        <x:v>46362</x:v>
      </x:c>
      <x:c r="B50" s="2" t="str">
        <x:f>CHOOSE(WEEKDAY(A50,2),"Mon","Tue","Wed","Thu","Fri","Sat","Sun")</x:f>
        <x:v>Sun</x:v>
      </x:c>
      <x:c r="C50" s="2" t="n">
        <x:f>IF(WEEKDAY(A50,2)&gt;5,0,IF(OR(AND(COUNT($B$5:$C$5)=2,A50&gt;=$B$5,A50&lt;=$C$5),AND(A50&gt;=$B$6,A50&lt;=$C$6)),0,1))</x:f>
        <x:v>0</x:v>
      </x:c>
      <x:c r="D50" s="2" t="str">
        <x:f>IF(C50=1,SUM($C$16:C50),"")</x:f>
      </x:c>
      <x:c r="E50" s="2" t="n">
        <x:f>INT((A50-'Delivery Timeline'!$B$4)/7)+1</x:f>
        <x:v>5</x:v>
      </x:c>
      <x:c r="F50" s="2" t="str">
        <x:f>IF(AND(COUNT($B$5:$C$5)=2,A50&gt;=$B$5,A50&lt;=$C$5),"Additional leave",IF(AND(A50&gt;=$B$6,A50&lt;=$C$6),"Lunar New Year leave",IF(C50=1,"Working day","Weekend")))</x:f>
        <x:v>Weekend</x:v>
      </x:c>
    </x:row>
    <x:row r="51" ht="23" customHeight="1">
      <x:c r="A51" s="5" t="n">
        <x:f>'Delivery Timeline'!$B$4+35</x:f>
        <x:v>46363</x:v>
      </x:c>
      <x:c r="B51" s="2" t="str">
        <x:f>CHOOSE(WEEKDAY(A51,2),"Mon","Tue","Wed","Thu","Fri","Sat","Sun")</x:f>
        <x:v>Mon</x:v>
      </x:c>
      <x:c r="C51" s="2" t="n">
        <x:f>IF(WEEKDAY(A51,2)&gt;5,0,IF(OR(AND(COUNT($B$5:$C$5)=2,A51&gt;=$B$5,A51&lt;=$C$5),AND(A51&gt;=$B$6,A51&lt;=$C$6)),0,1))</x:f>
        <x:v>1</x:v>
      </x:c>
      <x:c r="D51" s="2" t="n">
        <x:f>IF(C51=1,SUM($C$16:C51),"")</x:f>
        <x:v>26</x:v>
      </x:c>
      <x:c r="E51" s="2" t="n">
        <x:f>INT((A51-'Delivery Timeline'!$B$4)/7)+1</x:f>
        <x:v>6</x:v>
      </x:c>
      <x:c r="F51" s="2" t="str">
        <x:f>IF(AND(COUNT($B$5:$C$5)=2,A51&gt;=$B$5,A51&lt;=$C$5),"Additional leave",IF(AND(A51&gt;=$B$6,A51&lt;=$C$6),"Lunar New Year leave",IF(C51=1,"Working day","Weekend")))</x:f>
        <x:v>Working day</x:v>
      </x:c>
    </x:row>
    <x:row r="52" ht="23" customHeight="1">
      <x:c r="A52" s="5" t="n">
        <x:f>'Delivery Timeline'!$B$4+36</x:f>
        <x:v>46364</x:v>
      </x:c>
      <x:c r="B52" s="2" t="str">
        <x:f>CHOOSE(WEEKDAY(A52,2),"Mon","Tue","Wed","Thu","Fri","Sat","Sun")</x:f>
        <x:v>Tue</x:v>
      </x:c>
      <x:c r="C52" s="2" t="n">
        <x:f>IF(WEEKDAY(A52,2)&gt;5,0,IF(OR(AND(COUNT($B$5:$C$5)=2,A52&gt;=$B$5,A52&lt;=$C$5),AND(A52&gt;=$B$6,A52&lt;=$C$6)),0,1))</x:f>
        <x:v>1</x:v>
      </x:c>
      <x:c r="D52" s="2" t="n">
        <x:f>IF(C52=1,SUM($C$16:C52),"")</x:f>
        <x:v>27</x:v>
      </x:c>
      <x:c r="E52" s="2" t="n">
        <x:f>INT((A52-'Delivery Timeline'!$B$4)/7)+1</x:f>
        <x:v>6</x:v>
      </x:c>
      <x:c r="F52" s="2" t="str">
        <x:f>IF(AND(COUNT($B$5:$C$5)=2,A52&gt;=$B$5,A52&lt;=$C$5),"Additional leave",IF(AND(A52&gt;=$B$6,A52&lt;=$C$6),"Lunar New Year leave",IF(C52=1,"Working day","Weekend")))</x:f>
        <x:v>Working day</x:v>
      </x:c>
    </x:row>
    <x:row r="53" ht="23" customHeight="1">
      <x:c r="A53" s="5" t="n">
        <x:f>'Delivery Timeline'!$B$4+37</x:f>
        <x:v>46365</x:v>
      </x:c>
      <x:c r="B53" s="2" t="str">
        <x:f>CHOOSE(WEEKDAY(A53,2),"Mon","Tue","Wed","Thu","Fri","Sat","Sun")</x:f>
        <x:v>Wed</x:v>
      </x:c>
      <x:c r="C53" s="2" t="n">
        <x:f>IF(WEEKDAY(A53,2)&gt;5,0,IF(OR(AND(COUNT($B$5:$C$5)=2,A53&gt;=$B$5,A53&lt;=$C$5),AND(A53&gt;=$B$6,A53&lt;=$C$6)),0,1))</x:f>
        <x:v>1</x:v>
      </x:c>
      <x:c r="D53" s="2" t="n">
        <x:f>IF(C53=1,SUM($C$16:C53),"")</x:f>
        <x:v>28</x:v>
      </x:c>
      <x:c r="E53" s="2" t="n">
        <x:f>INT((A53-'Delivery Timeline'!$B$4)/7)+1</x:f>
        <x:v>6</x:v>
      </x:c>
      <x:c r="F53" s="2" t="str">
        <x:f>IF(AND(COUNT($B$5:$C$5)=2,A53&gt;=$B$5,A53&lt;=$C$5),"Additional leave",IF(AND(A53&gt;=$B$6,A53&lt;=$C$6),"Lunar New Year leave",IF(C53=1,"Working day","Weekend")))</x:f>
        <x:v>Working day</x:v>
      </x:c>
    </x:row>
    <x:row r="54" ht="23" customHeight="1">
      <x:c r="A54" s="5" t="n">
        <x:f>'Delivery Timeline'!$B$4+38</x:f>
        <x:v>46366</x:v>
      </x:c>
      <x:c r="B54" s="2" t="str">
        <x:f>CHOOSE(WEEKDAY(A54,2),"Mon","Tue","Wed","Thu","Fri","Sat","Sun")</x:f>
        <x:v>Thu</x:v>
      </x:c>
      <x:c r="C54" s="2" t="n">
        <x:f>IF(WEEKDAY(A54,2)&gt;5,0,IF(OR(AND(COUNT($B$5:$C$5)=2,A54&gt;=$B$5,A54&lt;=$C$5),AND(A54&gt;=$B$6,A54&lt;=$C$6)),0,1))</x:f>
        <x:v>1</x:v>
      </x:c>
      <x:c r="D54" s="2" t="n">
        <x:f>IF(C54=1,SUM($C$16:C54),"")</x:f>
        <x:v>29</x:v>
      </x:c>
      <x:c r="E54" s="2" t="n">
        <x:f>INT((A54-'Delivery Timeline'!$B$4)/7)+1</x:f>
        <x:v>6</x:v>
      </x:c>
      <x:c r="F54" s="2" t="str">
        <x:f>IF(AND(COUNT($B$5:$C$5)=2,A54&gt;=$B$5,A54&lt;=$C$5),"Additional leave",IF(AND(A54&gt;=$B$6,A54&lt;=$C$6),"Lunar New Year leave",IF(C54=1,"Working day","Weekend")))</x:f>
        <x:v>Working day</x:v>
      </x:c>
    </x:row>
    <x:row r="55" ht="23" customHeight="1">
      <x:c r="A55" s="5" t="n">
        <x:f>'Delivery Timeline'!$B$4+39</x:f>
        <x:v>46367</x:v>
      </x:c>
      <x:c r="B55" s="2" t="str">
        <x:f>CHOOSE(WEEKDAY(A55,2),"Mon","Tue","Wed","Thu","Fri","Sat","Sun")</x:f>
        <x:v>Fri</x:v>
      </x:c>
      <x:c r="C55" s="2" t="n">
        <x:f>IF(WEEKDAY(A55,2)&gt;5,0,IF(OR(AND(COUNT($B$5:$C$5)=2,A55&gt;=$B$5,A55&lt;=$C$5),AND(A55&gt;=$B$6,A55&lt;=$C$6)),0,1))</x:f>
        <x:v>1</x:v>
      </x:c>
      <x:c r="D55" s="2" t="n">
        <x:f>IF(C55=1,SUM($C$16:C55),"")</x:f>
        <x:v>30</x:v>
      </x:c>
      <x:c r="E55" s="2" t="n">
        <x:f>INT((A55-'Delivery Timeline'!$B$4)/7)+1</x:f>
        <x:v>6</x:v>
      </x:c>
      <x:c r="F55" s="2" t="str">
        <x:f>IF(AND(COUNT($B$5:$C$5)=2,A55&gt;=$B$5,A55&lt;=$C$5),"Additional leave",IF(AND(A55&gt;=$B$6,A55&lt;=$C$6),"Lunar New Year leave",IF(C55=1,"Working day","Weekend")))</x:f>
        <x:v>Working day</x:v>
      </x:c>
    </x:row>
    <x:row r="56" ht="23" customHeight="1">
      <x:c r="A56" s="5" t="n">
        <x:f>'Delivery Timeline'!$B$4+40</x:f>
        <x:v>46368</x:v>
      </x:c>
      <x:c r="B56" s="2" t="str">
        <x:f>CHOOSE(WEEKDAY(A56,2),"Mon","Tue","Wed","Thu","Fri","Sat","Sun")</x:f>
        <x:v>Sat</x:v>
      </x:c>
      <x:c r="C56" s="2" t="n">
        <x:f>IF(WEEKDAY(A56,2)&gt;5,0,IF(OR(AND(COUNT($B$5:$C$5)=2,A56&gt;=$B$5,A56&lt;=$C$5),AND(A56&gt;=$B$6,A56&lt;=$C$6)),0,1))</x:f>
        <x:v>0</x:v>
      </x:c>
      <x:c r="D56" s="2" t="str">
        <x:f>IF(C56=1,SUM($C$16:C56),"")</x:f>
      </x:c>
      <x:c r="E56" s="2" t="n">
        <x:f>INT((A56-'Delivery Timeline'!$B$4)/7)+1</x:f>
        <x:v>6</x:v>
      </x:c>
      <x:c r="F56" s="2" t="str">
        <x:f>IF(AND(COUNT($B$5:$C$5)=2,A56&gt;=$B$5,A56&lt;=$C$5),"Additional leave",IF(AND(A56&gt;=$B$6,A56&lt;=$C$6),"Lunar New Year leave",IF(C56=1,"Working day","Weekend")))</x:f>
        <x:v>Weekend</x:v>
      </x:c>
    </x:row>
    <x:row r="57" ht="23" customHeight="1">
      <x:c r="A57" s="5" t="n">
        <x:f>'Delivery Timeline'!$B$4+41</x:f>
        <x:v>46369</x:v>
      </x:c>
      <x:c r="B57" s="2" t="str">
        <x:f>CHOOSE(WEEKDAY(A57,2),"Mon","Tue","Wed","Thu","Fri","Sat","Sun")</x:f>
        <x:v>Sun</x:v>
      </x:c>
      <x:c r="C57" s="2" t="n">
        <x:f>IF(WEEKDAY(A57,2)&gt;5,0,IF(OR(AND(COUNT($B$5:$C$5)=2,A57&gt;=$B$5,A57&lt;=$C$5),AND(A57&gt;=$B$6,A57&lt;=$C$6)),0,1))</x:f>
        <x:v>0</x:v>
      </x:c>
      <x:c r="D57" s="2" t="str">
        <x:f>IF(C57=1,SUM($C$16:C57),"")</x:f>
      </x:c>
      <x:c r="E57" s="2" t="n">
        <x:f>INT((A57-'Delivery Timeline'!$B$4)/7)+1</x:f>
        <x:v>6</x:v>
      </x:c>
      <x:c r="F57" s="2" t="str">
        <x:f>IF(AND(COUNT($B$5:$C$5)=2,A57&gt;=$B$5,A57&lt;=$C$5),"Additional leave",IF(AND(A57&gt;=$B$6,A57&lt;=$C$6),"Lunar New Year leave",IF(C57=1,"Working day","Weekend")))</x:f>
        <x:v>Weekend</x:v>
      </x:c>
    </x:row>
    <x:row r="58" ht="23" customHeight="1">
      <x:c r="A58" s="5" t="n">
        <x:f>'Delivery Timeline'!$B$4+42</x:f>
        <x:v>46370</x:v>
      </x:c>
      <x:c r="B58" s="2" t="str">
        <x:f>CHOOSE(WEEKDAY(A58,2),"Mon","Tue","Wed","Thu","Fri","Sat","Sun")</x:f>
        <x:v>Mon</x:v>
      </x:c>
      <x:c r="C58" s="2" t="n">
        <x:f>IF(WEEKDAY(A58,2)&gt;5,0,IF(OR(AND(COUNT($B$5:$C$5)=2,A58&gt;=$B$5,A58&lt;=$C$5),AND(A58&gt;=$B$6,A58&lt;=$C$6)),0,1))</x:f>
        <x:v>1</x:v>
      </x:c>
      <x:c r="D58" s="2" t="n">
        <x:f>IF(C58=1,SUM($C$16:C58),"")</x:f>
        <x:v>31</x:v>
      </x:c>
      <x:c r="E58" s="2" t="n">
        <x:f>INT((A58-'Delivery Timeline'!$B$4)/7)+1</x:f>
        <x:v>7</x:v>
      </x:c>
      <x:c r="F58" s="2" t="str">
        <x:f>IF(AND(COUNT($B$5:$C$5)=2,A58&gt;=$B$5,A58&lt;=$C$5),"Additional leave",IF(AND(A58&gt;=$B$6,A58&lt;=$C$6),"Lunar New Year leave",IF(C58=1,"Working day","Weekend")))</x:f>
        <x:v>Working day</x:v>
      </x:c>
    </x:row>
    <x:row r="59" ht="23" customHeight="1">
      <x:c r="A59" s="5" t="n">
        <x:f>'Delivery Timeline'!$B$4+43</x:f>
        <x:v>46371</x:v>
      </x:c>
      <x:c r="B59" s="2" t="str">
        <x:f>CHOOSE(WEEKDAY(A59,2),"Mon","Tue","Wed","Thu","Fri","Sat","Sun")</x:f>
        <x:v>Tue</x:v>
      </x:c>
      <x:c r="C59" s="2" t="n">
        <x:f>IF(WEEKDAY(A59,2)&gt;5,0,IF(OR(AND(COUNT($B$5:$C$5)=2,A59&gt;=$B$5,A59&lt;=$C$5),AND(A59&gt;=$B$6,A59&lt;=$C$6)),0,1))</x:f>
        <x:v>1</x:v>
      </x:c>
      <x:c r="D59" s="2" t="n">
        <x:f>IF(C59=1,SUM($C$16:C59),"")</x:f>
        <x:v>32</x:v>
      </x:c>
      <x:c r="E59" s="2" t="n">
        <x:f>INT((A59-'Delivery Timeline'!$B$4)/7)+1</x:f>
        <x:v>7</x:v>
      </x:c>
      <x:c r="F59" s="2" t="str">
        <x:f>IF(AND(COUNT($B$5:$C$5)=2,A59&gt;=$B$5,A59&lt;=$C$5),"Additional leave",IF(AND(A59&gt;=$B$6,A59&lt;=$C$6),"Lunar New Year leave",IF(C59=1,"Working day","Weekend")))</x:f>
        <x:v>Working day</x:v>
      </x:c>
    </x:row>
    <x:row r="60" ht="23" customHeight="1">
      <x:c r="A60" s="5" t="n">
        <x:f>'Delivery Timeline'!$B$4+44</x:f>
        <x:v>46372</x:v>
      </x:c>
      <x:c r="B60" s="2" t="str">
        <x:f>CHOOSE(WEEKDAY(A60,2),"Mon","Tue","Wed","Thu","Fri","Sat","Sun")</x:f>
        <x:v>Wed</x:v>
      </x:c>
      <x:c r="C60" s="2" t="n">
        <x:f>IF(WEEKDAY(A60,2)&gt;5,0,IF(OR(AND(COUNT($B$5:$C$5)=2,A60&gt;=$B$5,A60&lt;=$C$5),AND(A60&gt;=$B$6,A60&lt;=$C$6)),0,1))</x:f>
        <x:v>1</x:v>
      </x:c>
      <x:c r="D60" s="2" t="n">
        <x:f>IF(C60=1,SUM($C$16:C60),"")</x:f>
        <x:v>33</x:v>
      </x:c>
      <x:c r="E60" s="2" t="n">
        <x:f>INT((A60-'Delivery Timeline'!$B$4)/7)+1</x:f>
        <x:v>7</x:v>
      </x:c>
      <x:c r="F60" s="2" t="str">
        <x:f>IF(AND(COUNT($B$5:$C$5)=2,A60&gt;=$B$5,A60&lt;=$C$5),"Additional leave",IF(AND(A60&gt;=$B$6,A60&lt;=$C$6),"Lunar New Year leave",IF(C60=1,"Working day","Weekend")))</x:f>
        <x:v>Working day</x:v>
      </x:c>
    </x:row>
    <x:row r="61" ht="23" customHeight="1">
      <x:c r="A61" s="5" t="n">
        <x:f>'Delivery Timeline'!$B$4+45</x:f>
        <x:v>46373</x:v>
      </x:c>
      <x:c r="B61" s="2" t="str">
        <x:f>CHOOSE(WEEKDAY(A61,2),"Mon","Tue","Wed","Thu","Fri","Sat","Sun")</x:f>
        <x:v>Thu</x:v>
      </x:c>
      <x:c r="C61" s="2" t="n">
        <x:f>IF(WEEKDAY(A61,2)&gt;5,0,IF(OR(AND(COUNT($B$5:$C$5)=2,A61&gt;=$B$5,A61&lt;=$C$5),AND(A61&gt;=$B$6,A61&lt;=$C$6)),0,1))</x:f>
        <x:v>1</x:v>
      </x:c>
      <x:c r="D61" s="2" t="n">
        <x:f>IF(C61=1,SUM($C$16:C61),"")</x:f>
        <x:v>34</x:v>
      </x:c>
      <x:c r="E61" s="2" t="n">
        <x:f>INT((A61-'Delivery Timeline'!$B$4)/7)+1</x:f>
        <x:v>7</x:v>
      </x:c>
      <x:c r="F61" s="2" t="str">
        <x:f>IF(AND(COUNT($B$5:$C$5)=2,A61&gt;=$B$5,A61&lt;=$C$5),"Additional leave",IF(AND(A61&gt;=$B$6,A61&lt;=$C$6),"Lunar New Year leave",IF(C61=1,"Working day","Weekend")))</x:f>
        <x:v>Working day</x:v>
      </x:c>
    </x:row>
    <x:row r="62" ht="23" customHeight="1">
      <x:c r="A62" s="5" t="n">
        <x:f>'Delivery Timeline'!$B$4+46</x:f>
        <x:v>46374</x:v>
      </x:c>
      <x:c r="B62" s="2" t="str">
        <x:f>CHOOSE(WEEKDAY(A62,2),"Mon","Tue","Wed","Thu","Fri","Sat","Sun")</x:f>
        <x:v>Fri</x:v>
      </x:c>
      <x:c r="C62" s="2" t="n">
        <x:f>IF(WEEKDAY(A62,2)&gt;5,0,IF(OR(AND(COUNT($B$5:$C$5)=2,A62&gt;=$B$5,A62&lt;=$C$5),AND(A62&gt;=$B$6,A62&lt;=$C$6)),0,1))</x:f>
        <x:v>1</x:v>
      </x:c>
      <x:c r="D62" s="2" t="n">
        <x:f>IF(C62=1,SUM($C$16:C62),"")</x:f>
        <x:v>35</x:v>
      </x:c>
      <x:c r="E62" s="2" t="n">
        <x:f>INT((A62-'Delivery Timeline'!$B$4)/7)+1</x:f>
        <x:v>7</x:v>
      </x:c>
      <x:c r="F62" s="2" t="str">
        <x:f>IF(AND(COUNT($B$5:$C$5)=2,A62&gt;=$B$5,A62&lt;=$C$5),"Additional leave",IF(AND(A62&gt;=$B$6,A62&lt;=$C$6),"Lunar New Year leave",IF(C62=1,"Working day","Weekend")))</x:f>
        <x:v>Working day</x:v>
      </x:c>
    </x:row>
    <x:row r="63" ht="23" customHeight="1">
      <x:c r="A63" s="5" t="n">
        <x:f>'Delivery Timeline'!$B$4+47</x:f>
        <x:v>46375</x:v>
      </x:c>
      <x:c r="B63" s="2" t="str">
        <x:f>CHOOSE(WEEKDAY(A63,2),"Mon","Tue","Wed","Thu","Fri","Sat","Sun")</x:f>
        <x:v>Sat</x:v>
      </x:c>
      <x:c r="C63" s="2" t="n">
        <x:f>IF(WEEKDAY(A63,2)&gt;5,0,IF(OR(AND(COUNT($B$5:$C$5)=2,A63&gt;=$B$5,A63&lt;=$C$5),AND(A63&gt;=$B$6,A63&lt;=$C$6)),0,1))</x:f>
        <x:v>0</x:v>
      </x:c>
      <x:c r="D63" s="2" t="str">
        <x:f>IF(C63=1,SUM($C$16:C63),"")</x:f>
      </x:c>
      <x:c r="E63" s="2" t="n">
        <x:f>INT((A63-'Delivery Timeline'!$B$4)/7)+1</x:f>
        <x:v>7</x:v>
      </x:c>
      <x:c r="F63" s="2" t="str">
        <x:f>IF(AND(COUNT($B$5:$C$5)=2,A63&gt;=$B$5,A63&lt;=$C$5),"Additional leave",IF(AND(A63&gt;=$B$6,A63&lt;=$C$6),"Lunar New Year leave",IF(C63=1,"Working day","Weekend")))</x:f>
        <x:v>Weekend</x:v>
      </x:c>
    </x:row>
    <x:row r="64" ht="23" customHeight="1">
      <x:c r="A64" s="5" t="n">
        <x:f>'Delivery Timeline'!$B$4+48</x:f>
        <x:v>46376</x:v>
      </x:c>
      <x:c r="B64" s="2" t="str">
        <x:f>CHOOSE(WEEKDAY(A64,2),"Mon","Tue","Wed","Thu","Fri","Sat","Sun")</x:f>
        <x:v>Sun</x:v>
      </x:c>
      <x:c r="C64" s="2" t="n">
        <x:f>IF(WEEKDAY(A64,2)&gt;5,0,IF(OR(AND(COUNT($B$5:$C$5)=2,A64&gt;=$B$5,A64&lt;=$C$5),AND(A64&gt;=$B$6,A64&lt;=$C$6)),0,1))</x:f>
        <x:v>0</x:v>
      </x:c>
      <x:c r="D64" s="2" t="str">
        <x:f>IF(C64=1,SUM($C$16:C64),"")</x:f>
      </x:c>
      <x:c r="E64" s="2" t="n">
        <x:f>INT((A64-'Delivery Timeline'!$B$4)/7)+1</x:f>
        <x:v>7</x:v>
      </x:c>
      <x:c r="F64" s="2" t="str">
        <x:f>IF(AND(COUNT($B$5:$C$5)=2,A64&gt;=$B$5,A64&lt;=$C$5),"Additional leave",IF(AND(A64&gt;=$B$6,A64&lt;=$C$6),"Lunar New Year leave",IF(C64=1,"Working day","Weekend")))</x:f>
        <x:v>Weekend</x:v>
      </x:c>
    </x:row>
    <x:row r="65" ht="23" customHeight="1">
      <x:c r="A65" s="5" t="n">
        <x:f>'Delivery Timeline'!$B$4+49</x:f>
        <x:v>46377</x:v>
      </x:c>
      <x:c r="B65" s="2" t="str">
        <x:f>CHOOSE(WEEKDAY(A65,2),"Mon","Tue","Wed","Thu","Fri","Sat","Sun")</x:f>
        <x:v>Mon</x:v>
      </x:c>
      <x:c r="C65" s="2" t="n">
        <x:f>IF(WEEKDAY(A65,2)&gt;5,0,IF(OR(AND(COUNT($B$5:$C$5)=2,A65&gt;=$B$5,A65&lt;=$C$5),AND(A65&gt;=$B$6,A65&lt;=$C$6)),0,1))</x:f>
        <x:v>1</x:v>
      </x:c>
      <x:c r="D65" s="2" t="n">
        <x:f>IF(C65=1,SUM($C$16:C65),"")</x:f>
        <x:v>36</x:v>
      </x:c>
      <x:c r="E65" s="2" t="n">
        <x:f>INT((A65-'Delivery Timeline'!$B$4)/7)+1</x:f>
        <x:v>8</x:v>
      </x:c>
      <x:c r="F65" s="2" t="str">
        <x:f>IF(AND(COUNT($B$5:$C$5)=2,A65&gt;=$B$5,A65&lt;=$C$5),"Additional leave",IF(AND(A65&gt;=$B$6,A65&lt;=$C$6),"Lunar New Year leave",IF(C65=1,"Working day","Weekend")))</x:f>
        <x:v>Working day</x:v>
      </x:c>
    </x:row>
    <x:row r="66" ht="23" customHeight="1">
      <x:c r="A66" s="5" t="n">
        <x:f>'Delivery Timeline'!$B$4+50</x:f>
        <x:v>46378</x:v>
      </x:c>
      <x:c r="B66" s="2" t="str">
        <x:f>CHOOSE(WEEKDAY(A66,2),"Mon","Tue","Wed","Thu","Fri","Sat","Sun")</x:f>
        <x:v>Tue</x:v>
      </x:c>
      <x:c r="C66" s="2" t="n">
        <x:f>IF(WEEKDAY(A66,2)&gt;5,0,IF(OR(AND(COUNT($B$5:$C$5)=2,A66&gt;=$B$5,A66&lt;=$C$5),AND(A66&gt;=$B$6,A66&lt;=$C$6)),0,1))</x:f>
        <x:v>1</x:v>
      </x:c>
      <x:c r="D66" s="2" t="n">
        <x:f>IF(C66=1,SUM($C$16:C66),"")</x:f>
        <x:v>37</x:v>
      </x:c>
      <x:c r="E66" s="2" t="n">
        <x:f>INT((A66-'Delivery Timeline'!$B$4)/7)+1</x:f>
        <x:v>8</x:v>
      </x:c>
      <x:c r="F66" s="2" t="str">
        <x:f>IF(AND(COUNT($B$5:$C$5)=2,A66&gt;=$B$5,A66&lt;=$C$5),"Additional leave",IF(AND(A66&gt;=$B$6,A66&lt;=$C$6),"Lunar New Year leave",IF(C66=1,"Working day","Weekend")))</x:f>
        <x:v>Working day</x:v>
      </x:c>
    </x:row>
    <x:row r="67" ht="23" customHeight="1">
      <x:c r="A67" s="5" t="n">
        <x:f>'Delivery Timeline'!$B$4+51</x:f>
        <x:v>46379</x:v>
      </x:c>
      <x:c r="B67" s="2" t="str">
        <x:f>CHOOSE(WEEKDAY(A67,2),"Mon","Tue","Wed","Thu","Fri","Sat","Sun")</x:f>
        <x:v>Wed</x:v>
      </x:c>
      <x:c r="C67" s="2" t="n">
        <x:f>IF(WEEKDAY(A67,2)&gt;5,0,IF(OR(AND(COUNT($B$5:$C$5)=2,A67&gt;=$B$5,A67&lt;=$C$5),AND(A67&gt;=$B$6,A67&lt;=$C$6)),0,1))</x:f>
        <x:v>1</x:v>
      </x:c>
      <x:c r="D67" s="2" t="n">
        <x:f>IF(C67=1,SUM($C$16:C67),"")</x:f>
        <x:v>38</x:v>
      </x:c>
      <x:c r="E67" s="2" t="n">
        <x:f>INT((A67-'Delivery Timeline'!$B$4)/7)+1</x:f>
        <x:v>8</x:v>
      </x:c>
      <x:c r="F67" s="2" t="str">
        <x:f>IF(AND(COUNT($B$5:$C$5)=2,A67&gt;=$B$5,A67&lt;=$C$5),"Additional leave",IF(AND(A67&gt;=$B$6,A67&lt;=$C$6),"Lunar New Year leave",IF(C67=1,"Working day","Weekend")))</x:f>
        <x:v>Working day</x:v>
      </x:c>
    </x:row>
    <x:row r="68" ht="23" customHeight="1">
      <x:c r="A68" s="5" t="n">
        <x:f>'Delivery Timeline'!$B$4+52</x:f>
        <x:v>46380</x:v>
      </x:c>
      <x:c r="B68" s="2" t="str">
        <x:f>CHOOSE(WEEKDAY(A68,2),"Mon","Tue","Wed","Thu","Fri","Sat","Sun")</x:f>
        <x:v>Thu</x:v>
      </x:c>
      <x:c r="C68" s="2" t="n">
        <x:f>IF(WEEKDAY(A68,2)&gt;5,0,IF(OR(AND(COUNT($B$5:$C$5)=2,A68&gt;=$B$5,A68&lt;=$C$5),AND(A68&gt;=$B$6,A68&lt;=$C$6)),0,1))</x:f>
        <x:v>1</x:v>
      </x:c>
      <x:c r="D68" s="2" t="n">
        <x:f>IF(C68=1,SUM($C$16:C68),"")</x:f>
        <x:v>39</x:v>
      </x:c>
      <x:c r="E68" s="2" t="n">
        <x:f>INT((A68-'Delivery Timeline'!$B$4)/7)+1</x:f>
        <x:v>8</x:v>
      </x:c>
      <x:c r="F68" s="2" t="str">
        <x:f>IF(AND(COUNT($B$5:$C$5)=2,A68&gt;=$B$5,A68&lt;=$C$5),"Additional leave",IF(AND(A68&gt;=$B$6,A68&lt;=$C$6),"Lunar New Year leave",IF(C68=1,"Working day","Weekend")))</x:f>
        <x:v>Working day</x:v>
      </x:c>
    </x:row>
    <x:row r="69" ht="23" customHeight="1">
      <x:c r="A69" s="5" t="n">
        <x:f>'Delivery Timeline'!$B$4+53</x:f>
        <x:v>46381</x:v>
      </x:c>
      <x:c r="B69" s="2" t="str">
        <x:f>CHOOSE(WEEKDAY(A69,2),"Mon","Tue","Wed","Thu","Fri","Sat","Sun")</x:f>
        <x:v>Fri</x:v>
      </x:c>
      <x:c r="C69" s="2" t="n">
        <x:f>IF(WEEKDAY(A69,2)&gt;5,0,IF(OR(AND(COUNT($B$5:$C$5)=2,A69&gt;=$B$5,A69&lt;=$C$5),AND(A69&gt;=$B$6,A69&lt;=$C$6)),0,1))</x:f>
        <x:v>1</x:v>
      </x:c>
      <x:c r="D69" s="2" t="n">
        <x:f>IF(C69=1,SUM($C$16:C69),"")</x:f>
        <x:v>40</x:v>
      </x:c>
      <x:c r="E69" s="2" t="n">
        <x:f>INT((A69-'Delivery Timeline'!$B$4)/7)+1</x:f>
        <x:v>8</x:v>
      </x:c>
      <x:c r="F69" s="2" t="str">
        <x:f>IF(AND(COUNT($B$5:$C$5)=2,A69&gt;=$B$5,A69&lt;=$C$5),"Additional leave",IF(AND(A69&gt;=$B$6,A69&lt;=$C$6),"Lunar New Year leave",IF(C69=1,"Working day","Weekend")))</x:f>
        <x:v>Working day</x:v>
      </x:c>
    </x:row>
    <x:row r="70" ht="23" customHeight="1">
      <x:c r="A70" s="5" t="n">
        <x:f>'Delivery Timeline'!$B$4+54</x:f>
        <x:v>46382</x:v>
      </x:c>
      <x:c r="B70" s="2" t="str">
        <x:f>CHOOSE(WEEKDAY(A70,2),"Mon","Tue","Wed","Thu","Fri","Sat","Sun")</x:f>
        <x:v>Sat</x:v>
      </x:c>
      <x:c r="C70" s="2" t="n">
        <x:f>IF(WEEKDAY(A70,2)&gt;5,0,IF(OR(AND(COUNT($B$5:$C$5)=2,A70&gt;=$B$5,A70&lt;=$C$5),AND(A70&gt;=$B$6,A70&lt;=$C$6)),0,1))</x:f>
        <x:v>0</x:v>
      </x:c>
      <x:c r="D70" s="2" t="str">
        <x:f>IF(C70=1,SUM($C$16:C70),"")</x:f>
      </x:c>
      <x:c r="E70" s="2" t="n">
        <x:f>INT((A70-'Delivery Timeline'!$B$4)/7)+1</x:f>
        <x:v>8</x:v>
      </x:c>
      <x:c r="F70" s="2" t="str">
        <x:f>IF(AND(COUNT($B$5:$C$5)=2,A70&gt;=$B$5,A70&lt;=$C$5),"Additional leave",IF(AND(A70&gt;=$B$6,A70&lt;=$C$6),"Lunar New Year leave",IF(C70=1,"Working day","Weekend")))</x:f>
        <x:v>Weekend</x:v>
      </x:c>
    </x:row>
    <x:row r="71" ht="23" customHeight="1">
      <x:c r="A71" s="5" t="n">
        <x:f>'Delivery Timeline'!$B$4+55</x:f>
        <x:v>46383</x:v>
      </x:c>
      <x:c r="B71" s="2" t="str">
        <x:f>CHOOSE(WEEKDAY(A71,2),"Mon","Tue","Wed","Thu","Fri","Sat","Sun")</x:f>
        <x:v>Sun</x:v>
      </x:c>
      <x:c r="C71" s="2" t="n">
        <x:f>IF(WEEKDAY(A71,2)&gt;5,0,IF(OR(AND(COUNT($B$5:$C$5)=2,A71&gt;=$B$5,A71&lt;=$C$5),AND(A71&gt;=$B$6,A71&lt;=$C$6)),0,1))</x:f>
        <x:v>0</x:v>
      </x:c>
      <x:c r="D71" s="2" t="str">
        <x:f>IF(C71=1,SUM($C$16:C71),"")</x:f>
      </x:c>
      <x:c r="E71" s="2" t="n">
        <x:f>INT((A71-'Delivery Timeline'!$B$4)/7)+1</x:f>
        <x:v>8</x:v>
      </x:c>
      <x:c r="F71" s="2" t="str">
        <x:f>IF(AND(COUNT($B$5:$C$5)=2,A71&gt;=$B$5,A71&lt;=$C$5),"Additional leave",IF(AND(A71&gt;=$B$6,A71&lt;=$C$6),"Lunar New Year leave",IF(C71=1,"Working day","Weekend")))</x:f>
        <x:v>Weekend</x:v>
      </x:c>
    </x:row>
    <x:row r="72" ht="23" customHeight="1">
      <x:c r="A72" s="5" t="n">
        <x:f>'Delivery Timeline'!$B$4+56</x:f>
        <x:v>46384</x:v>
      </x:c>
      <x:c r="B72" s="2" t="str">
        <x:f>CHOOSE(WEEKDAY(A72,2),"Mon","Tue","Wed","Thu","Fri","Sat","Sun")</x:f>
        <x:v>Mon</x:v>
      </x:c>
      <x:c r="C72" s="2" t="n">
        <x:f>IF(WEEKDAY(A72,2)&gt;5,0,IF(OR(AND(COUNT($B$5:$C$5)=2,A72&gt;=$B$5,A72&lt;=$C$5),AND(A72&gt;=$B$6,A72&lt;=$C$6)),0,1))</x:f>
        <x:v>1</x:v>
      </x:c>
      <x:c r="D72" s="2" t="n">
        <x:f>IF(C72=1,SUM($C$16:C72),"")</x:f>
        <x:v>41</x:v>
      </x:c>
      <x:c r="E72" s="2" t="n">
        <x:f>INT((A72-'Delivery Timeline'!$B$4)/7)+1</x:f>
        <x:v>9</x:v>
      </x:c>
      <x:c r="F72" s="2" t="str">
        <x:f>IF(AND(COUNT($B$5:$C$5)=2,A72&gt;=$B$5,A72&lt;=$C$5),"Additional leave",IF(AND(A72&gt;=$B$6,A72&lt;=$C$6),"Lunar New Year leave",IF(C72=1,"Working day","Weekend")))</x:f>
        <x:v>Working day</x:v>
      </x:c>
    </x:row>
    <x:row r="73" ht="23" customHeight="1">
      <x:c r="A73" s="5" t="n">
        <x:f>'Delivery Timeline'!$B$4+57</x:f>
        <x:v>46385</x:v>
      </x:c>
      <x:c r="B73" s="2" t="str">
        <x:f>CHOOSE(WEEKDAY(A73,2),"Mon","Tue","Wed","Thu","Fri","Sat","Sun")</x:f>
        <x:v>Tue</x:v>
      </x:c>
      <x:c r="C73" s="2" t="n">
        <x:f>IF(WEEKDAY(A73,2)&gt;5,0,IF(OR(AND(COUNT($B$5:$C$5)=2,A73&gt;=$B$5,A73&lt;=$C$5),AND(A73&gt;=$B$6,A73&lt;=$C$6)),0,1))</x:f>
        <x:v>1</x:v>
      </x:c>
      <x:c r="D73" s="2" t="n">
        <x:f>IF(C73=1,SUM($C$16:C73),"")</x:f>
        <x:v>42</x:v>
      </x:c>
      <x:c r="E73" s="2" t="n">
        <x:f>INT((A73-'Delivery Timeline'!$B$4)/7)+1</x:f>
        <x:v>9</x:v>
      </x:c>
      <x:c r="F73" s="2" t="str">
        <x:f>IF(AND(COUNT($B$5:$C$5)=2,A73&gt;=$B$5,A73&lt;=$C$5),"Additional leave",IF(AND(A73&gt;=$B$6,A73&lt;=$C$6),"Lunar New Year leave",IF(C73=1,"Working day","Weekend")))</x:f>
        <x:v>Working day</x:v>
      </x:c>
    </x:row>
    <x:row r="74" ht="23" customHeight="1">
      <x:c r="A74" s="5" t="n">
        <x:f>'Delivery Timeline'!$B$4+58</x:f>
        <x:v>46386</x:v>
      </x:c>
      <x:c r="B74" s="2" t="str">
        <x:f>CHOOSE(WEEKDAY(A74,2),"Mon","Tue","Wed","Thu","Fri","Sat","Sun")</x:f>
        <x:v>Wed</x:v>
      </x:c>
      <x:c r="C74" s="2" t="n">
        <x:f>IF(WEEKDAY(A74,2)&gt;5,0,IF(OR(AND(COUNT($B$5:$C$5)=2,A74&gt;=$B$5,A74&lt;=$C$5),AND(A74&gt;=$B$6,A74&lt;=$C$6)),0,1))</x:f>
        <x:v>1</x:v>
      </x:c>
      <x:c r="D74" s="2" t="n">
        <x:f>IF(C74=1,SUM($C$16:C74),"")</x:f>
        <x:v>43</x:v>
      </x:c>
      <x:c r="E74" s="2" t="n">
        <x:f>INT((A74-'Delivery Timeline'!$B$4)/7)+1</x:f>
        <x:v>9</x:v>
      </x:c>
      <x:c r="F74" s="2" t="str">
        <x:f>IF(AND(COUNT($B$5:$C$5)=2,A74&gt;=$B$5,A74&lt;=$C$5),"Additional leave",IF(AND(A74&gt;=$B$6,A74&lt;=$C$6),"Lunar New Year leave",IF(C74=1,"Working day","Weekend")))</x:f>
        <x:v>Working day</x:v>
      </x:c>
    </x:row>
    <x:row r="75" ht="23" customHeight="1">
      <x:c r="A75" s="5" t="n">
        <x:f>'Delivery Timeline'!$B$4+59</x:f>
        <x:v>46387</x:v>
      </x:c>
      <x:c r="B75" s="2" t="str">
        <x:f>CHOOSE(WEEKDAY(A75,2),"Mon","Tue","Wed","Thu","Fri","Sat","Sun")</x:f>
        <x:v>Thu</x:v>
      </x:c>
      <x:c r="C75" s="2" t="n">
        <x:f>IF(WEEKDAY(A75,2)&gt;5,0,IF(OR(AND(COUNT($B$5:$C$5)=2,A75&gt;=$B$5,A75&lt;=$C$5),AND(A75&gt;=$B$6,A75&lt;=$C$6)),0,1))</x:f>
        <x:v>1</x:v>
      </x:c>
      <x:c r="D75" s="2" t="n">
        <x:f>IF(C75=1,SUM($C$16:C75),"")</x:f>
        <x:v>44</x:v>
      </x:c>
      <x:c r="E75" s="2" t="n">
        <x:f>INT((A75-'Delivery Timeline'!$B$4)/7)+1</x:f>
        <x:v>9</x:v>
      </x:c>
      <x:c r="F75" s="2" t="str">
        <x:f>IF(AND(COUNT($B$5:$C$5)=2,A75&gt;=$B$5,A75&lt;=$C$5),"Additional leave",IF(AND(A75&gt;=$B$6,A75&lt;=$C$6),"Lunar New Year leave",IF(C75=1,"Working day","Weekend")))</x:f>
        <x:v>Working day</x:v>
      </x:c>
    </x:row>
    <x:row r="76" ht="23" customHeight="1">
      <x:c r="A76" s="5" t="n">
        <x:f>'Delivery Timeline'!$B$4+60</x:f>
        <x:v>46388</x:v>
      </x:c>
      <x:c r="B76" s="2" t="str">
        <x:f>CHOOSE(WEEKDAY(A76,2),"Mon","Tue","Wed","Thu","Fri","Sat","Sun")</x:f>
        <x:v>Fri</x:v>
      </x:c>
      <x:c r="C76" s="2" t="n">
        <x:f>IF(WEEKDAY(A76,2)&gt;5,0,IF(OR(AND(COUNT($B$5:$C$5)=2,A76&gt;=$B$5,A76&lt;=$C$5),AND(A76&gt;=$B$6,A76&lt;=$C$6)),0,1))</x:f>
        <x:v>1</x:v>
      </x:c>
      <x:c r="D76" s="2" t="n">
        <x:f>IF(C76=1,SUM($C$16:C76),"")</x:f>
        <x:v>45</x:v>
      </x:c>
      <x:c r="E76" s="2" t="n">
        <x:f>INT((A76-'Delivery Timeline'!$B$4)/7)+1</x:f>
        <x:v>9</x:v>
      </x:c>
      <x:c r="F76" s="2" t="str">
        <x:f>IF(AND(COUNT($B$5:$C$5)=2,A76&gt;=$B$5,A76&lt;=$C$5),"Additional leave",IF(AND(A76&gt;=$B$6,A76&lt;=$C$6),"Lunar New Year leave",IF(C76=1,"Working day","Weekend")))</x:f>
        <x:v>Working day</x:v>
      </x:c>
    </x:row>
    <x:row r="77" ht="23" customHeight="1">
      <x:c r="A77" s="5" t="n">
        <x:f>'Delivery Timeline'!$B$4+61</x:f>
        <x:v>46389</x:v>
      </x:c>
      <x:c r="B77" s="2" t="str">
        <x:f>CHOOSE(WEEKDAY(A77,2),"Mon","Tue","Wed","Thu","Fri","Sat","Sun")</x:f>
        <x:v>Sat</x:v>
      </x:c>
      <x:c r="C77" s="2" t="n">
        <x:f>IF(WEEKDAY(A77,2)&gt;5,0,IF(OR(AND(COUNT($B$5:$C$5)=2,A77&gt;=$B$5,A77&lt;=$C$5),AND(A77&gt;=$B$6,A77&lt;=$C$6)),0,1))</x:f>
        <x:v>0</x:v>
      </x:c>
      <x:c r="D77" s="2" t="str">
        <x:f>IF(C77=1,SUM($C$16:C77),"")</x:f>
      </x:c>
      <x:c r="E77" s="2" t="n">
        <x:f>INT((A77-'Delivery Timeline'!$B$4)/7)+1</x:f>
        <x:v>9</x:v>
      </x:c>
      <x:c r="F77" s="2" t="str">
        <x:f>IF(AND(COUNT($B$5:$C$5)=2,A77&gt;=$B$5,A77&lt;=$C$5),"Additional leave",IF(AND(A77&gt;=$B$6,A77&lt;=$C$6),"Lunar New Year leave",IF(C77=1,"Working day","Weekend")))</x:f>
        <x:v>Weekend</x:v>
      </x:c>
    </x:row>
    <x:row r="78" ht="23" customHeight="1">
      <x:c r="A78" s="5" t="n">
        <x:f>'Delivery Timeline'!$B$4+62</x:f>
        <x:v>46390</x:v>
      </x:c>
      <x:c r="B78" s="2" t="str">
        <x:f>CHOOSE(WEEKDAY(A78,2),"Mon","Tue","Wed","Thu","Fri","Sat","Sun")</x:f>
        <x:v>Sun</x:v>
      </x:c>
      <x:c r="C78" s="2" t="n">
        <x:f>IF(WEEKDAY(A78,2)&gt;5,0,IF(OR(AND(COUNT($B$5:$C$5)=2,A78&gt;=$B$5,A78&lt;=$C$5),AND(A78&gt;=$B$6,A78&lt;=$C$6)),0,1))</x:f>
        <x:v>0</x:v>
      </x:c>
      <x:c r="D78" s="2" t="str">
        <x:f>IF(C78=1,SUM($C$16:C78),"")</x:f>
      </x:c>
      <x:c r="E78" s="2" t="n">
        <x:f>INT((A78-'Delivery Timeline'!$B$4)/7)+1</x:f>
        <x:v>9</x:v>
      </x:c>
      <x:c r="F78" s="2" t="str">
        <x:f>IF(AND(COUNT($B$5:$C$5)=2,A78&gt;=$B$5,A78&lt;=$C$5),"Additional leave",IF(AND(A78&gt;=$B$6,A78&lt;=$C$6),"Lunar New Year leave",IF(C78=1,"Working day","Weekend")))</x:f>
        <x:v>Weekend</x:v>
      </x:c>
    </x:row>
    <x:row r="79" ht="23" customHeight="1">
      <x:c r="A79" s="5" t="n">
        <x:f>'Delivery Timeline'!$B$4+63</x:f>
        <x:v>46391</x:v>
      </x:c>
      <x:c r="B79" s="2" t="str">
        <x:f>CHOOSE(WEEKDAY(A79,2),"Mon","Tue","Wed","Thu","Fri","Sat","Sun")</x:f>
        <x:v>Mon</x:v>
      </x:c>
      <x:c r="C79" s="2" t="n">
        <x:f>IF(WEEKDAY(A79,2)&gt;5,0,IF(OR(AND(COUNT($B$5:$C$5)=2,A79&gt;=$B$5,A79&lt;=$C$5),AND(A79&gt;=$B$6,A79&lt;=$C$6)),0,1))</x:f>
        <x:v>1</x:v>
      </x:c>
      <x:c r="D79" s="2" t="n">
        <x:f>IF(C79=1,SUM($C$16:C79),"")</x:f>
        <x:v>46</x:v>
      </x:c>
      <x:c r="E79" s="2" t="n">
        <x:f>INT((A79-'Delivery Timeline'!$B$4)/7)+1</x:f>
        <x:v>10</x:v>
      </x:c>
      <x:c r="F79" s="2" t="str">
        <x:f>IF(AND(COUNT($B$5:$C$5)=2,A79&gt;=$B$5,A79&lt;=$C$5),"Additional leave",IF(AND(A79&gt;=$B$6,A79&lt;=$C$6),"Lunar New Year leave",IF(C79=1,"Working day","Weekend")))</x:f>
        <x:v>Working day</x:v>
      </x:c>
    </x:row>
    <x:row r="80" ht="23" customHeight="1">
      <x:c r="A80" s="5" t="n">
        <x:f>'Delivery Timeline'!$B$4+64</x:f>
        <x:v>46392</x:v>
      </x:c>
      <x:c r="B80" s="2" t="str">
        <x:f>CHOOSE(WEEKDAY(A80,2),"Mon","Tue","Wed","Thu","Fri","Sat","Sun")</x:f>
        <x:v>Tue</x:v>
      </x:c>
      <x:c r="C80" s="2" t="n">
        <x:f>IF(WEEKDAY(A80,2)&gt;5,0,IF(OR(AND(COUNT($B$5:$C$5)=2,A80&gt;=$B$5,A80&lt;=$C$5),AND(A80&gt;=$B$6,A80&lt;=$C$6)),0,1))</x:f>
        <x:v>1</x:v>
      </x:c>
      <x:c r="D80" s="2" t="n">
        <x:f>IF(C80=1,SUM($C$16:C80),"")</x:f>
        <x:v>47</x:v>
      </x:c>
      <x:c r="E80" s="2" t="n">
        <x:f>INT((A80-'Delivery Timeline'!$B$4)/7)+1</x:f>
        <x:v>10</x:v>
      </x:c>
      <x:c r="F80" s="2" t="str">
        <x:f>IF(AND(COUNT($B$5:$C$5)=2,A80&gt;=$B$5,A80&lt;=$C$5),"Additional leave",IF(AND(A80&gt;=$B$6,A80&lt;=$C$6),"Lunar New Year leave",IF(C80=1,"Working day","Weekend")))</x:f>
        <x:v>Working day</x:v>
      </x:c>
    </x:row>
    <x:row r="81" ht="23" customHeight="1">
      <x:c r="A81" s="5" t="n">
        <x:f>'Delivery Timeline'!$B$4+65</x:f>
        <x:v>46393</x:v>
      </x:c>
      <x:c r="B81" s="2" t="str">
        <x:f>CHOOSE(WEEKDAY(A81,2),"Mon","Tue","Wed","Thu","Fri","Sat","Sun")</x:f>
        <x:v>Wed</x:v>
      </x:c>
      <x:c r="C81" s="2" t="n">
        <x:f>IF(WEEKDAY(A81,2)&gt;5,0,IF(OR(AND(COUNT($B$5:$C$5)=2,A81&gt;=$B$5,A81&lt;=$C$5),AND(A81&gt;=$B$6,A81&lt;=$C$6)),0,1))</x:f>
        <x:v>1</x:v>
      </x:c>
      <x:c r="D81" s="2" t="n">
        <x:f>IF(C81=1,SUM($C$16:C81),"")</x:f>
        <x:v>48</x:v>
      </x:c>
      <x:c r="E81" s="2" t="n">
        <x:f>INT((A81-'Delivery Timeline'!$B$4)/7)+1</x:f>
        <x:v>10</x:v>
      </x:c>
      <x:c r="F81" s="2" t="str">
        <x:f>IF(AND(COUNT($B$5:$C$5)=2,A81&gt;=$B$5,A81&lt;=$C$5),"Additional leave",IF(AND(A81&gt;=$B$6,A81&lt;=$C$6),"Lunar New Year leave",IF(C81=1,"Working day","Weekend")))</x:f>
        <x:v>Working day</x:v>
      </x:c>
    </x:row>
    <x:row r="82" ht="23" customHeight="1">
      <x:c r="A82" s="5" t="n">
        <x:f>'Delivery Timeline'!$B$4+66</x:f>
        <x:v>46394</x:v>
      </x:c>
      <x:c r="B82" s="2" t="str">
        <x:f>CHOOSE(WEEKDAY(A82,2),"Mon","Tue","Wed","Thu","Fri","Sat","Sun")</x:f>
        <x:v>Thu</x:v>
      </x:c>
      <x:c r="C82" s="2" t="n">
        <x:f>IF(WEEKDAY(A82,2)&gt;5,0,IF(OR(AND(COUNT($B$5:$C$5)=2,A82&gt;=$B$5,A82&lt;=$C$5),AND(A82&gt;=$B$6,A82&lt;=$C$6)),0,1))</x:f>
        <x:v>1</x:v>
      </x:c>
      <x:c r="D82" s="2" t="n">
        <x:f>IF(C82=1,SUM($C$16:C82),"")</x:f>
        <x:v>49</x:v>
      </x:c>
      <x:c r="E82" s="2" t="n">
        <x:f>INT((A82-'Delivery Timeline'!$B$4)/7)+1</x:f>
        <x:v>10</x:v>
      </x:c>
      <x:c r="F82" s="2" t="str">
        <x:f>IF(AND(COUNT($B$5:$C$5)=2,A82&gt;=$B$5,A82&lt;=$C$5),"Additional leave",IF(AND(A82&gt;=$B$6,A82&lt;=$C$6),"Lunar New Year leave",IF(C82=1,"Working day","Weekend")))</x:f>
        <x:v>Working day</x:v>
      </x:c>
    </x:row>
    <x:row r="83" ht="23" customHeight="1">
      <x:c r="A83" s="5" t="n">
        <x:f>'Delivery Timeline'!$B$4+67</x:f>
        <x:v>46395</x:v>
      </x:c>
      <x:c r="B83" s="2" t="str">
        <x:f>CHOOSE(WEEKDAY(A83,2),"Mon","Tue","Wed","Thu","Fri","Sat","Sun")</x:f>
        <x:v>Fri</x:v>
      </x:c>
      <x:c r="C83" s="2" t="n">
        <x:f>IF(WEEKDAY(A83,2)&gt;5,0,IF(OR(AND(COUNT($B$5:$C$5)=2,A83&gt;=$B$5,A83&lt;=$C$5),AND(A83&gt;=$B$6,A83&lt;=$C$6)),0,1))</x:f>
        <x:v>1</x:v>
      </x:c>
      <x:c r="D83" s="2" t="n">
        <x:f>IF(C83=1,SUM($C$16:C83),"")</x:f>
        <x:v>50</x:v>
      </x:c>
      <x:c r="E83" s="2" t="n">
        <x:f>INT((A83-'Delivery Timeline'!$B$4)/7)+1</x:f>
        <x:v>10</x:v>
      </x:c>
      <x:c r="F83" s="2" t="str">
        <x:f>IF(AND(COUNT($B$5:$C$5)=2,A83&gt;=$B$5,A83&lt;=$C$5),"Additional leave",IF(AND(A83&gt;=$B$6,A83&lt;=$C$6),"Lunar New Year leave",IF(C83=1,"Working day","Weekend")))</x:f>
        <x:v>Working day</x:v>
      </x:c>
    </x:row>
    <x:row r="84" ht="23" customHeight="1">
      <x:c r="A84" s="5" t="n">
        <x:f>'Delivery Timeline'!$B$4+68</x:f>
        <x:v>46396</x:v>
      </x:c>
      <x:c r="B84" s="2" t="str">
        <x:f>CHOOSE(WEEKDAY(A84,2),"Mon","Tue","Wed","Thu","Fri","Sat","Sun")</x:f>
        <x:v>Sat</x:v>
      </x:c>
      <x:c r="C84" s="2" t="n">
        <x:f>IF(WEEKDAY(A84,2)&gt;5,0,IF(OR(AND(COUNT($B$5:$C$5)=2,A84&gt;=$B$5,A84&lt;=$C$5),AND(A84&gt;=$B$6,A84&lt;=$C$6)),0,1))</x:f>
        <x:v>0</x:v>
      </x:c>
      <x:c r="D84" s="2" t="str">
        <x:f>IF(C84=1,SUM($C$16:C84),"")</x:f>
      </x:c>
      <x:c r="E84" s="2" t="n">
        <x:f>INT((A84-'Delivery Timeline'!$B$4)/7)+1</x:f>
        <x:v>10</x:v>
      </x:c>
      <x:c r="F84" s="2" t="str">
        <x:f>IF(AND(COUNT($B$5:$C$5)=2,A84&gt;=$B$5,A84&lt;=$C$5),"Additional leave",IF(AND(A84&gt;=$B$6,A84&lt;=$C$6),"Lunar New Year leave",IF(C84=1,"Working day","Weekend")))</x:f>
        <x:v>Weekend</x:v>
      </x:c>
    </x:row>
    <x:row r="85" ht="23" customHeight="1">
      <x:c r="A85" s="5" t="n">
        <x:f>'Delivery Timeline'!$B$4+69</x:f>
        <x:v>46397</x:v>
      </x:c>
      <x:c r="B85" s="2" t="str">
        <x:f>CHOOSE(WEEKDAY(A85,2),"Mon","Tue","Wed","Thu","Fri","Sat","Sun")</x:f>
        <x:v>Sun</x:v>
      </x:c>
      <x:c r="C85" s="2" t="n">
        <x:f>IF(WEEKDAY(A85,2)&gt;5,0,IF(OR(AND(COUNT($B$5:$C$5)=2,A85&gt;=$B$5,A85&lt;=$C$5),AND(A85&gt;=$B$6,A85&lt;=$C$6)),0,1))</x:f>
        <x:v>0</x:v>
      </x:c>
      <x:c r="D85" s="2" t="str">
        <x:f>IF(C85=1,SUM($C$16:C85),"")</x:f>
      </x:c>
      <x:c r="E85" s="2" t="n">
        <x:f>INT((A85-'Delivery Timeline'!$B$4)/7)+1</x:f>
        <x:v>10</x:v>
      </x:c>
      <x:c r="F85" s="2" t="str">
        <x:f>IF(AND(COUNT($B$5:$C$5)=2,A85&gt;=$B$5,A85&lt;=$C$5),"Additional leave",IF(AND(A85&gt;=$B$6,A85&lt;=$C$6),"Lunar New Year leave",IF(C85=1,"Working day","Weekend")))</x:f>
        <x:v>Weekend</x:v>
      </x:c>
    </x:row>
    <x:row r="86" ht="23" customHeight="1">
      <x:c r="A86" s="5" t="n">
        <x:f>'Delivery Timeline'!$B$4+70</x:f>
        <x:v>46398</x:v>
      </x:c>
      <x:c r="B86" s="2" t="str">
        <x:f>CHOOSE(WEEKDAY(A86,2),"Mon","Tue","Wed","Thu","Fri","Sat","Sun")</x:f>
        <x:v>Mon</x:v>
      </x:c>
      <x:c r="C86" s="2" t="n">
        <x:f>IF(WEEKDAY(A86,2)&gt;5,0,IF(OR(AND(COUNT($B$5:$C$5)=2,A86&gt;=$B$5,A86&lt;=$C$5),AND(A86&gt;=$B$6,A86&lt;=$C$6)),0,1))</x:f>
        <x:v>1</x:v>
      </x:c>
      <x:c r="D86" s="2" t="n">
        <x:f>IF(C86=1,SUM($C$16:C86),"")</x:f>
        <x:v>51</x:v>
      </x:c>
      <x:c r="E86" s="2" t="n">
        <x:f>INT((A86-'Delivery Timeline'!$B$4)/7)+1</x:f>
        <x:v>11</x:v>
      </x:c>
      <x:c r="F86" s="2" t="str">
        <x:f>IF(AND(COUNT($B$5:$C$5)=2,A86&gt;=$B$5,A86&lt;=$C$5),"Additional leave",IF(AND(A86&gt;=$B$6,A86&lt;=$C$6),"Lunar New Year leave",IF(C86=1,"Working day","Weekend")))</x:f>
        <x:v>Working day</x:v>
      </x:c>
    </x:row>
    <x:row r="87" ht="23" customHeight="1">
      <x:c r="A87" s="5" t="n">
        <x:f>'Delivery Timeline'!$B$4+71</x:f>
        <x:v>46399</x:v>
      </x:c>
      <x:c r="B87" s="2" t="str">
        <x:f>CHOOSE(WEEKDAY(A87,2),"Mon","Tue","Wed","Thu","Fri","Sat","Sun")</x:f>
        <x:v>Tue</x:v>
      </x:c>
      <x:c r="C87" s="2" t="n">
        <x:f>IF(WEEKDAY(A87,2)&gt;5,0,IF(OR(AND(COUNT($B$5:$C$5)=2,A87&gt;=$B$5,A87&lt;=$C$5),AND(A87&gt;=$B$6,A87&lt;=$C$6)),0,1))</x:f>
        <x:v>1</x:v>
      </x:c>
      <x:c r="D87" s="2" t="n">
        <x:f>IF(C87=1,SUM($C$16:C87),"")</x:f>
        <x:v>52</x:v>
      </x:c>
      <x:c r="E87" s="2" t="n">
        <x:f>INT((A87-'Delivery Timeline'!$B$4)/7)+1</x:f>
        <x:v>11</x:v>
      </x:c>
      <x:c r="F87" s="2" t="str">
        <x:f>IF(AND(COUNT($B$5:$C$5)=2,A87&gt;=$B$5,A87&lt;=$C$5),"Additional leave",IF(AND(A87&gt;=$B$6,A87&lt;=$C$6),"Lunar New Year leave",IF(C87=1,"Working day","Weekend")))</x:f>
        <x:v>Working day</x:v>
      </x:c>
    </x:row>
    <x:row r="88" ht="23" customHeight="1">
      <x:c r="A88" s="5" t="n">
        <x:f>'Delivery Timeline'!$B$4+72</x:f>
        <x:v>46400</x:v>
      </x:c>
      <x:c r="B88" s="2" t="str">
        <x:f>CHOOSE(WEEKDAY(A88,2),"Mon","Tue","Wed","Thu","Fri","Sat","Sun")</x:f>
        <x:v>Wed</x:v>
      </x:c>
      <x:c r="C88" s="2" t="n">
        <x:f>IF(WEEKDAY(A88,2)&gt;5,0,IF(OR(AND(COUNT($B$5:$C$5)=2,A88&gt;=$B$5,A88&lt;=$C$5),AND(A88&gt;=$B$6,A88&lt;=$C$6)),0,1))</x:f>
        <x:v>1</x:v>
      </x:c>
      <x:c r="D88" s="2" t="n">
        <x:f>IF(C88=1,SUM($C$16:C88),"")</x:f>
        <x:v>53</x:v>
      </x:c>
      <x:c r="E88" s="2" t="n">
        <x:f>INT((A88-'Delivery Timeline'!$B$4)/7)+1</x:f>
        <x:v>11</x:v>
      </x:c>
      <x:c r="F88" s="2" t="str">
        <x:f>IF(AND(COUNT($B$5:$C$5)=2,A88&gt;=$B$5,A88&lt;=$C$5),"Additional leave",IF(AND(A88&gt;=$B$6,A88&lt;=$C$6),"Lunar New Year leave",IF(C88=1,"Working day","Weekend")))</x:f>
        <x:v>Working day</x:v>
      </x:c>
    </x:row>
    <x:row r="89" ht="23" customHeight="1">
      <x:c r="A89" s="5" t="n">
        <x:f>'Delivery Timeline'!$B$4+73</x:f>
        <x:v>46401</x:v>
      </x:c>
      <x:c r="B89" s="2" t="str">
        <x:f>CHOOSE(WEEKDAY(A89,2),"Mon","Tue","Wed","Thu","Fri","Sat","Sun")</x:f>
        <x:v>Thu</x:v>
      </x:c>
      <x:c r="C89" s="2" t="n">
        <x:f>IF(WEEKDAY(A89,2)&gt;5,0,IF(OR(AND(COUNT($B$5:$C$5)=2,A89&gt;=$B$5,A89&lt;=$C$5),AND(A89&gt;=$B$6,A89&lt;=$C$6)),0,1))</x:f>
        <x:v>1</x:v>
      </x:c>
      <x:c r="D89" s="2" t="n">
        <x:f>IF(C89=1,SUM($C$16:C89),"")</x:f>
        <x:v>54</x:v>
      </x:c>
      <x:c r="E89" s="2" t="n">
        <x:f>INT((A89-'Delivery Timeline'!$B$4)/7)+1</x:f>
        <x:v>11</x:v>
      </x:c>
      <x:c r="F89" s="2" t="str">
        <x:f>IF(AND(COUNT($B$5:$C$5)=2,A89&gt;=$B$5,A89&lt;=$C$5),"Additional leave",IF(AND(A89&gt;=$B$6,A89&lt;=$C$6),"Lunar New Year leave",IF(C89=1,"Working day","Weekend")))</x:f>
        <x:v>Working day</x:v>
      </x:c>
    </x:row>
    <x:row r="90" ht="23" customHeight="1">
      <x:c r="A90" s="5" t="n">
        <x:f>'Delivery Timeline'!$B$4+74</x:f>
        <x:v>46402</x:v>
      </x:c>
      <x:c r="B90" s="2" t="str">
        <x:f>CHOOSE(WEEKDAY(A90,2),"Mon","Tue","Wed","Thu","Fri","Sat","Sun")</x:f>
        <x:v>Fri</x:v>
      </x:c>
      <x:c r="C90" s="2" t="n">
        <x:f>IF(WEEKDAY(A90,2)&gt;5,0,IF(OR(AND(COUNT($B$5:$C$5)=2,A90&gt;=$B$5,A90&lt;=$C$5),AND(A90&gt;=$B$6,A90&lt;=$C$6)),0,1))</x:f>
        <x:v>1</x:v>
      </x:c>
      <x:c r="D90" s="2" t="n">
        <x:f>IF(C90=1,SUM($C$16:C90),"")</x:f>
        <x:v>55</x:v>
      </x:c>
      <x:c r="E90" s="2" t="n">
        <x:f>INT((A90-'Delivery Timeline'!$B$4)/7)+1</x:f>
        <x:v>11</x:v>
      </x:c>
      <x:c r="F90" s="2" t="str">
        <x:f>IF(AND(COUNT($B$5:$C$5)=2,A90&gt;=$B$5,A90&lt;=$C$5),"Additional leave",IF(AND(A90&gt;=$B$6,A90&lt;=$C$6),"Lunar New Year leave",IF(C90=1,"Working day","Weekend")))</x:f>
        <x:v>Working day</x:v>
      </x:c>
    </x:row>
    <x:row r="91" ht="23" customHeight="1">
      <x:c r="A91" s="5" t="n">
        <x:f>'Delivery Timeline'!$B$4+75</x:f>
        <x:v>46403</x:v>
      </x:c>
      <x:c r="B91" s="2" t="str">
        <x:f>CHOOSE(WEEKDAY(A91,2),"Mon","Tue","Wed","Thu","Fri","Sat","Sun")</x:f>
        <x:v>Sat</x:v>
      </x:c>
      <x:c r="C91" s="2" t="n">
        <x:f>IF(WEEKDAY(A91,2)&gt;5,0,IF(OR(AND(COUNT($B$5:$C$5)=2,A91&gt;=$B$5,A91&lt;=$C$5),AND(A91&gt;=$B$6,A91&lt;=$C$6)),0,1))</x:f>
        <x:v>0</x:v>
      </x:c>
      <x:c r="D91" s="2" t="str">
        <x:f>IF(C91=1,SUM($C$16:C91),"")</x:f>
      </x:c>
      <x:c r="E91" s="2" t="n">
        <x:f>INT((A91-'Delivery Timeline'!$B$4)/7)+1</x:f>
        <x:v>11</x:v>
      </x:c>
      <x:c r="F91" s="2" t="str">
        <x:f>IF(AND(COUNT($B$5:$C$5)=2,A91&gt;=$B$5,A91&lt;=$C$5),"Additional leave",IF(AND(A91&gt;=$B$6,A91&lt;=$C$6),"Lunar New Year leave",IF(C91=1,"Working day","Weekend")))</x:f>
        <x:v>Weekend</x:v>
      </x:c>
    </x:row>
    <x:row r="92" ht="23" customHeight="1">
      <x:c r="A92" s="5" t="n">
        <x:f>'Delivery Timeline'!$B$4+76</x:f>
        <x:v>46404</x:v>
      </x:c>
      <x:c r="B92" s="2" t="str">
        <x:f>CHOOSE(WEEKDAY(A92,2),"Mon","Tue","Wed","Thu","Fri","Sat","Sun")</x:f>
        <x:v>Sun</x:v>
      </x:c>
      <x:c r="C92" s="2" t="n">
        <x:f>IF(WEEKDAY(A92,2)&gt;5,0,IF(OR(AND(COUNT($B$5:$C$5)=2,A92&gt;=$B$5,A92&lt;=$C$5),AND(A92&gt;=$B$6,A92&lt;=$C$6)),0,1))</x:f>
        <x:v>0</x:v>
      </x:c>
      <x:c r="D92" s="2" t="str">
        <x:f>IF(C92=1,SUM($C$16:C92),"")</x:f>
      </x:c>
      <x:c r="E92" s="2" t="n">
        <x:f>INT((A92-'Delivery Timeline'!$B$4)/7)+1</x:f>
        <x:v>11</x:v>
      </x:c>
      <x:c r="F92" s="2" t="str">
        <x:f>IF(AND(COUNT($B$5:$C$5)=2,A92&gt;=$B$5,A92&lt;=$C$5),"Additional leave",IF(AND(A92&gt;=$B$6,A92&lt;=$C$6),"Lunar New Year leave",IF(C92=1,"Working day","Weekend")))</x:f>
        <x:v>Weekend</x:v>
      </x:c>
    </x:row>
    <x:row r="93" ht="23" customHeight="1">
      <x:c r="A93" s="5" t="n">
        <x:f>'Delivery Timeline'!$B$4+77</x:f>
        <x:v>46405</x:v>
      </x:c>
      <x:c r="B93" s="2" t="str">
        <x:f>CHOOSE(WEEKDAY(A93,2),"Mon","Tue","Wed","Thu","Fri","Sat","Sun")</x:f>
        <x:v>Mon</x:v>
      </x:c>
      <x:c r="C93" s="2" t="n">
        <x:f>IF(WEEKDAY(A93,2)&gt;5,0,IF(OR(AND(COUNT($B$5:$C$5)=2,A93&gt;=$B$5,A93&lt;=$C$5),AND(A93&gt;=$B$6,A93&lt;=$C$6)),0,1))</x:f>
        <x:v>1</x:v>
      </x:c>
      <x:c r="D93" s="2" t="n">
        <x:f>IF(C93=1,SUM($C$16:C93),"")</x:f>
        <x:v>56</x:v>
      </x:c>
      <x:c r="E93" s="2" t="n">
        <x:f>INT((A93-'Delivery Timeline'!$B$4)/7)+1</x:f>
        <x:v>12</x:v>
      </x:c>
      <x:c r="F93" s="2" t="str">
        <x:f>IF(AND(COUNT($B$5:$C$5)=2,A93&gt;=$B$5,A93&lt;=$C$5),"Additional leave",IF(AND(A93&gt;=$B$6,A93&lt;=$C$6),"Lunar New Year leave",IF(C93=1,"Working day","Weekend")))</x:f>
        <x:v>Working day</x:v>
      </x:c>
    </x:row>
    <x:row r="94" ht="23" customHeight="1">
      <x:c r="A94" s="5" t="n">
        <x:f>'Delivery Timeline'!$B$4+78</x:f>
        <x:v>46406</x:v>
      </x:c>
      <x:c r="B94" s="2" t="str">
        <x:f>CHOOSE(WEEKDAY(A94,2),"Mon","Tue","Wed","Thu","Fri","Sat","Sun")</x:f>
        <x:v>Tue</x:v>
      </x:c>
      <x:c r="C94" s="2" t="n">
        <x:f>IF(WEEKDAY(A94,2)&gt;5,0,IF(OR(AND(COUNT($B$5:$C$5)=2,A94&gt;=$B$5,A94&lt;=$C$5),AND(A94&gt;=$B$6,A94&lt;=$C$6)),0,1))</x:f>
        <x:v>1</x:v>
      </x:c>
      <x:c r="D94" s="2" t="n">
        <x:f>IF(C94=1,SUM($C$16:C94),"")</x:f>
        <x:v>57</x:v>
      </x:c>
      <x:c r="E94" s="2" t="n">
        <x:f>INT((A94-'Delivery Timeline'!$B$4)/7)+1</x:f>
        <x:v>12</x:v>
      </x:c>
      <x:c r="F94" s="2" t="str">
        <x:f>IF(AND(COUNT($B$5:$C$5)=2,A94&gt;=$B$5,A94&lt;=$C$5),"Additional leave",IF(AND(A94&gt;=$B$6,A94&lt;=$C$6),"Lunar New Year leave",IF(C94=1,"Working day","Weekend")))</x:f>
        <x:v>Working day</x:v>
      </x:c>
    </x:row>
    <x:row r="95" ht="23" customHeight="1">
      <x:c r="A95" s="5" t="n">
        <x:f>'Delivery Timeline'!$B$4+79</x:f>
        <x:v>46407</x:v>
      </x:c>
      <x:c r="B95" s="2" t="str">
        <x:f>CHOOSE(WEEKDAY(A95,2),"Mon","Tue","Wed","Thu","Fri","Sat","Sun")</x:f>
        <x:v>Wed</x:v>
      </x:c>
      <x:c r="C95" s="2" t="n">
        <x:f>IF(WEEKDAY(A95,2)&gt;5,0,IF(OR(AND(COUNT($B$5:$C$5)=2,A95&gt;=$B$5,A95&lt;=$C$5),AND(A95&gt;=$B$6,A95&lt;=$C$6)),0,1))</x:f>
        <x:v>1</x:v>
      </x:c>
      <x:c r="D95" s="2" t="n">
        <x:f>IF(C95=1,SUM($C$16:C95),"")</x:f>
        <x:v>58</x:v>
      </x:c>
      <x:c r="E95" s="2" t="n">
        <x:f>INT((A95-'Delivery Timeline'!$B$4)/7)+1</x:f>
        <x:v>12</x:v>
      </x:c>
      <x:c r="F95" s="2" t="str">
        <x:f>IF(AND(COUNT($B$5:$C$5)=2,A95&gt;=$B$5,A95&lt;=$C$5),"Additional leave",IF(AND(A95&gt;=$B$6,A95&lt;=$C$6),"Lunar New Year leave",IF(C95=1,"Working day","Weekend")))</x:f>
        <x:v>Working day</x:v>
      </x:c>
    </x:row>
    <x:row r="96" ht="23" customHeight="1">
      <x:c r="A96" s="5" t="n">
        <x:f>'Delivery Timeline'!$B$4+80</x:f>
        <x:v>46408</x:v>
      </x:c>
      <x:c r="B96" s="2" t="str">
        <x:f>CHOOSE(WEEKDAY(A96,2),"Mon","Tue","Wed","Thu","Fri","Sat","Sun")</x:f>
        <x:v>Thu</x:v>
      </x:c>
      <x:c r="C96" s="2" t="n">
        <x:f>IF(WEEKDAY(A96,2)&gt;5,0,IF(OR(AND(COUNT($B$5:$C$5)=2,A96&gt;=$B$5,A96&lt;=$C$5),AND(A96&gt;=$B$6,A96&lt;=$C$6)),0,1))</x:f>
        <x:v>1</x:v>
      </x:c>
      <x:c r="D96" s="2" t="n">
        <x:f>IF(C96=1,SUM($C$16:C96),"")</x:f>
        <x:v>59</x:v>
      </x:c>
      <x:c r="E96" s="2" t="n">
        <x:f>INT((A96-'Delivery Timeline'!$B$4)/7)+1</x:f>
        <x:v>12</x:v>
      </x:c>
      <x:c r="F96" s="2" t="str">
        <x:f>IF(AND(COUNT($B$5:$C$5)=2,A96&gt;=$B$5,A96&lt;=$C$5),"Additional leave",IF(AND(A96&gt;=$B$6,A96&lt;=$C$6),"Lunar New Year leave",IF(C96=1,"Working day","Weekend")))</x:f>
        <x:v>Working day</x:v>
      </x:c>
    </x:row>
    <x:row r="97" ht="23" customHeight="1">
      <x:c r="A97" s="5" t="n">
        <x:f>'Delivery Timeline'!$B$4+81</x:f>
        <x:v>46409</x:v>
      </x:c>
      <x:c r="B97" s="2" t="str">
        <x:f>CHOOSE(WEEKDAY(A97,2),"Mon","Tue","Wed","Thu","Fri","Sat","Sun")</x:f>
        <x:v>Fri</x:v>
      </x:c>
      <x:c r="C97" s="2" t="n">
        <x:f>IF(WEEKDAY(A97,2)&gt;5,0,IF(OR(AND(COUNT($B$5:$C$5)=2,A97&gt;=$B$5,A97&lt;=$C$5),AND(A97&gt;=$B$6,A97&lt;=$C$6)),0,1))</x:f>
        <x:v>1</x:v>
      </x:c>
      <x:c r="D97" s="2" t="n">
        <x:f>IF(C97=1,SUM($C$16:C97),"")</x:f>
        <x:v>60</x:v>
      </x:c>
      <x:c r="E97" s="2" t="n">
        <x:f>INT((A97-'Delivery Timeline'!$B$4)/7)+1</x:f>
        <x:v>12</x:v>
      </x:c>
      <x:c r="F97" s="2" t="str">
        <x:f>IF(AND(COUNT($B$5:$C$5)=2,A97&gt;=$B$5,A97&lt;=$C$5),"Additional leave",IF(AND(A97&gt;=$B$6,A97&lt;=$C$6),"Lunar New Year leave",IF(C97=1,"Working day","Weekend")))</x:f>
        <x:v>Working day</x:v>
      </x:c>
    </x:row>
    <x:row r="98" ht="23" customHeight="1">
      <x:c r="A98" s="5" t="n">
        <x:f>'Delivery Timeline'!$B$4+82</x:f>
        <x:v>46410</x:v>
      </x:c>
      <x:c r="B98" s="2" t="str">
        <x:f>CHOOSE(WEEKDAY(A98,2),"Mon","Tue","Wed","Thu","Fri","Sat","Sun")</x:f>
        <x:v>Sat</x:v>
      </x:c>
      <x:c r="C98" s="2" t="n">
        <x:f>IF(WEEKDAY(A98,2)&gt;5,0,IF(OR(AND(COUNT($B$5:$C$5)=2,A98&gt;=$B$5,A98&lt;=$C$5),AND(A98&gt;=$B$6,A98&lt;=$C$6)),0,1))</x:f>
        <x:v>0</x:v>
      </x:c>
      <x:c r="D98" s="2" t="str">
        <x:f>IF(C98=1,SUM($C$16:C98),"")</x:f>
      </x:c>
      <x:c r="E98" s="2" t="n">
        <x:f>INT((A98-'Delivery Timeline'!$B$4)/7)+1</x:f>
        <x:v>12</x:v>
      </x:c>
      <x:c r="F98" s="2" t="str">
        <x:f>IF(AND(COUNT($B$5:$C$5)=2,A98&gt;=$B$5,A98&lt;=$C$5),"Additional leave",IF(AND(A98&gt;=$B$6,A98&lt;=$C$6),"Lunar New Year leave",IF(C98=1,"Working day","Weekend")))</x:f>
        <x:v>Weekend</x:v>
      </x:c>
    </x:row>
    <x:row r="99" ht="23" customHeight="1">
      <x:c r="A99" s="5" t="n">
        <x:f>'Delivery Timeline'!$B$4+83</x:f>
        <x:v>46411</x:v>
      </x:c>
      <x:c r="B99" s="2" t="str">
        <x:f>CHOOSE(WEEKDAY(A99,2),"Mon","Tue","Wed","Thu","Fri","Sat","Sun")</x:f>
        <x:v>Sun</x:v>
      </x:c>
      <x:c r="C99" s="2" t="n">
        <x:f>IF(WEEKDAY(A99,2)&gt;5,0,IF(OR(AND(COUNT($B$5:$C$5)=2,A99&gt;=$B$5,A99&lt;=$C$5),AND(A99&gt;=$B$6,A99&lt;=$C$6)),0,1))</x:f>
        <x:v>0</x:v>
      </x:c>
      <x:c r="D99" s="2" t="str">
        <x:f>IF(C99=1,SUM($C$16:C99),"")</x:f>
      </x:c>
      <x:c r="E99" s="2" t="n">
        <x:f>INT((A99-'Delivery Timeline'!$B$4)/7)+1</x:f>
        <x:v>12</x:v>
      </x:c>
      <x:c r="F99" s="2" t="str">
        <x:f>IF(AND(COUNT($B$5:$C$5)=2,A99&gt;=$B$5,A99&lt;=$C$5),"Additional leave",IF(AND(A99&gt;=$B$6,A99&lt;=$C$6),"Lunar New Year leave",IF(C99=1,"Working day","Weekend")))</x:f>
        <x:v>Weekend</x:v>
      </x:c>
    </x:row>
    <x:row r="100" ht="23" customHeight="1">
      <x:c r="A100" s="5" t="n">
        <x:f>'Delivery Timeline'!$B$4+84</x:f>
        <x:v>46412</x:v>
      </x:c>
      <x:c r="B100" s="2" t="str">
        <x:f>CHOOSE(WEEKDAY(A100,2),"Mon","Tue","Wed","Thu","Fri","Sat","Sun")</x:f>
        <x:v>Mon</x:v>
      </x:c>
      <x:c r="C100" s="2" t="n">
        <x:f>IF(WEEKDAY(A100,2)&gt;5,0,IF(OR(AND(COUNT($B$5:$C$5)=2,A100&gt;=$B$5,A100&lt;=$C$5),AND(A100&gt;=$B$6,A100&lt;=$C$6)),0,1))</x:f>
        <x:v>1</x:v>
      </x:c>
      <x:c r="D100" s="2" t="n">
        <x:f>IF(C100=1,SUM($C$16:C100),"")</x:f>
        <x:v>61</x:v>
      </x:c>
      <x:c r="E100" s="2" t="n">
        <x:f>INT((A100-'Delivery Timeline'!$B$4)/7)+1</x:f>
        <x:v>13</x:v>
      </x:c>
      <x:c r="F100" s="2" t="str">
        <x:f>IF(AND(COUNT($B$5:$C$5)=2,A100&gt;=$B$5,A100&lt;=$C$5),"Additional leave",IF(AND(A100&gt;=$B$6,A100&lt;=$C$6),"Lunar New Year leave",IF(C100=1,"Working day","Weekend")))</x:f>
        <x:v>Working day</x:v>
      </x:c>
    </x:row>
    <x:row r="101" ht="23" customHeight="1">
      <x:c r="A101" s="5" t="n">
        <x:f>'Delivery Timeline'!$B$4+85</x:f>
        <x:v>46413</x:v>
      </x:c>
      <x:c r="B101" s="2" t="str">
        <x:f>CHOOSE(WEEKDAY(A101,2),"Mon","Tue","Wed","Thu","Fri","Sat","Sun")</x:f>
        <x:v>Tue</x:v>
      </x:c>
      <x:c r="C101" s="2" t="n">
        <x:f>IF(WEEKDAY(A101,2)&gt;5,0,IF(OR(AND(COUNT($B$5:$C$5)=2,A101&gt;=$B$5,A101&lt;=$C$5),AND(A101&gt;=$B$6,A101&lt;=$C$6)),0,1))</x:f>
        <x:v>1</x:v>
      </x:c>
      <x:c r="D101" s="2" t="n">
        <x:f>IF(C101=1,SUM($C$16:C101),"")</x:f>
        <x:v>62</x:v>
      </x:c>
      <x:c r="E101" s="2" t="n">
        <x:f>INT((A101-'Delivery Timeline'!$B$4)/7)+1</x:f>
        <x:v>13</x:v>
      </x:c>
      <x:c r="F101" s="2" t="str">
        <x:f>IF(AND(COUNT($B$5:$C$5)=2,A101&gt;=$B$5,A101&lt;=$C$5),"Additional leave",IF(AND(A101&gt;=$B$6,A101&lt;=$C$6),"Lunar New Year leave",IF(C101=1,"Working day","Weekend")))</x:f>
        <x:v>Working day</x:v>
      </x:c>
    </x:row>
    <x:row r="102" ht="23" customHeight="1">
      <x:c r="A102" s="5" t="n">
        <x:f>'Delivery Timeline'!$B$4+86</x:f>
        <x:v>46414</x:v>
      </x:c>
      <x:c r="B102" s="2" t="str">
        <x:f>CHOOSE(WEEKDAY(A102,2),"Mon","Tue","Wed","Thu","Fri","Sat","Sun")</x:f>
        <x:v>Wed</x:v>
      </x:c>
      <x:c r="C102" s="2" t="n">
        <x:f>IF(WEEKDAY(A102,2)&gt;5,0,IF(OR(AND(COUNT($B$5:$C$5)=2,A102&gt;=$B$5,A102&lt;=$C$5),AND(A102&gt;=$B$6,A102&lt;=$C$6)),0,1))</x:f>
        <x:v>1</x:v>
      </x:c>
      <x:c r="D102" s="2" t="n">
        <x:f>IF(C102=1,SUM($C$16:C102),"")</x:f>
        <x:v>63</x:v>
      </x:c>
      <x:c r="E102" s="2" t="n">
        <x:f>INT((A102-'Delivery Timeline'!$B$4)/7)+1</x:f>
        <x:v>13</x:v>
      </x:c>
      <x:c r="F102" s="2" t="str">
        <x:f>IF(AND(COUNT($B$5:$C$5)=2,A102&gt;=$B$5,A102&lt;=$C$5),"Additional leave",IF(AND(A102&gt;=$B$6,A102&lt;=$C$6),"Lunar New Year leave",IF(C102=1,"Working day","Weekend")))</x:f>
        <x:v>Working day</x:v>
      </x:c>
    </x:row>
    <x:row r="103" ht="23" customHeight="1">
      <x:c r="A103" s="5" t="n">
        <x:f>'Delivery Timeline'!$B$4+87</x:f>
        <x:v>46415</x:v>
      </x:c>
      <x:c r="B103" s="2" t="str">
        <x:f>CHOOSE(WEEKDAY(A103,2),"Mon","Tue","Wed","Thu","Fri","Sat","Sun")</x:f>
        <x:v>Thu</x:v>
      </x:c>
      <x:c r="C103" s="2" t="n">
        <x:f>IF(WEEKDAY(A103,2)&gt;5,0,IF(OR(AND(COUNT($B$5:$C$5)=2,A103&gt;=$B$5,A103&lt;=$C$5),AND(A103&gt;=$B$6,A103&lt;=$C$6)),0,1))</x:f>
        <x:v>1</x:v>
      </x:c>
      <x:c r="D103" s="2" t="n">
        <x:f>IF(C103=1,SUM($C$16:C103),"")</x:f>
        <x:v>64</x:v>
      </x:c>
      <x:c r="E103" s="2" t="n">
        <x:f>INT((A103-'Delivery Timeline'!$B$4)/7)+1</x:f>
        <x:v>13</x:v>
      </x:c>
      <x:c r="F103" s="2" t="str">
        <x:f>IF(AND(COUNT($B$5:$C$5)=2,A103&gt;=$B$5,A103&lt;=$C$5),"Additional leave",IF(AND(A103&gt;=$B$6,A103&lt;=$C$6),"Lunar New Year leave",IF(C103=1,"Working day","Weekend")))</x:f>
        <x:v>Working day</x:v>
      </x:c>
    </x:row>
    <x:row r="104" ht="23" customHeight="1">
      <x:c r="A104" s="5" t="n">
        <x:f>'Delivery Timeline'!$B$4+88</x:f>
        <x:v>46416</x:v>
      </x:c>
      <x:c r="B104" s="2" t="str">
        <x:f>CHOOSE(WEEKDAY(A104,2),"Mon","Tue","Wed","Thu","Fri","Sat","Sun")</x:f>
        <x:v>Fri</x:v>
      </x:c>
      <x:c r="C104" s="2" t="n">
        <x:f>IF(WEEKDAY(A104,2)&gt;5,0,IF(OR(AND(COUNT($B$5:$C$5)=2,A104&gt;=$B$5,A104&lt;=$C$5),AND(A104&gt;=$B$6,A104&lt;=$C$6)),0,1))</x:f>
        <x:v>1</x:v>
      </x:c>
      <x:c r="D104" s="2" t="n">
        <x:f>IF(C104=1,SUM($C$16:C104),"")</x:f>
        <x:v>65</x:v>
      </x:c>
      <x:c r="E104" s="2" t="n">
        <x:f>INT((A104-'Delivery Timeline'!$B$4)/7)+1</x:f>
        <x:v>13</x:v>
      </x:c>
      <x:c r="F104" s="2" t="str">
        <x:f>IF(AND(COUNT($B$5:$C$5)=2,A104&gt;=$B$5,A104&lt;=$C$5),"Additional leave",IF(AND(A104&gt;=$B$6,A104&lt;=$C$6),"Lunar New Year leave",IF(C104=1,"Working day","Weekend")))</x:f>
        <x:v>Working day</x:v>
      </x:c>
    </x:row>
    <x:row r="105" ht="23" customHeight="1">
      <x:c r="A105" s="5" t="n">
        <x:f>'Delivery Timeline'!$B$4+89</x:f>
        <x:v>46417</x:v>
      </x:c>
      <x:c r="B105" s="2" t="str">
        <x:f>CHOOSE(WEEKDAY(A105,2),"Mon","Tue","Wed","Thu","Fri","Sat","Sun")</x:f>
        <x:v>Sat</x:v>
      </x:c>
      <x:c r="C105" s="2" t="n">
        <x:f>IF(WEEKDAY(A105,2)&gt;5,0,IF(OR(AND(COUNT($B$5:$C$5)=2,A105&gt;=$B$5,A105&lt;=$C$5),AND(A105&gt;=$B$6,A105&lt;=$C$6)),0,1))</x:f>
        <x:v>0</x:v>
      </x:c>
      <x:c r="D105" s="2" t="str">
        <x:f>IF(C105=1,SUM($C$16:C105),"")</x:f>
      </x:c>
      <x:c r="E105" s="2" t="n">
        <x:f>INT((A105-'Delivery Timeline'!$B$4)/7)+1</x:f>
        <x:v>13</x:v>
      </x:c>
      <x:c r="F105" s="2" t="str">
        <x:f>IF(AND(COUNT($B$5:$C$5)=2,A105&gt;=$B$5,A105&lt;=$C$5),"Additional leave",IF(AND(A105&gt;=$B$6,A105&lt;=$C$6),"Lunar New Year leave",IF(C105=1,"Working day","Weekend")))</x:f>
        <x:v>Weekend</x:v>
      </x:c>
    </x:row>
    <x:row r="106" ht="23" customHeight="1">
      <x:c r="A106" s="5" t="n">
        <x:f>'Delivery Timeline'!$B$4+90</x:f>
        <x:v>46418</x:v>
      </x:c>
      <x:c r="B106" s="2" t="str">
        <x:f>CHOOSE(WEEKDAY(A106,2),"Mon","Tue","Wed","Thu","Fri","Sat","Sun")</x:f>
        <x:v>Sun</x:v>
      </x:c>
      <x:c r="C106" s="2" t="n">
        <x:f>IF(WEEKDAY(A106,2)&gt;5,0,IF(OR(AND(COUNT($B$5:$C$5)=2,A106&gt;=$B$5,A106&lt;=$C$5),AND(A106&gt;=$B$6,A106&lt;=$C$6)),0,1))</x:f>
        <x:v>0</x:v>
      </x:c>
      <x:c r="D106" s="2" t="str">
        <x:f>IF(C106=1,SUM($C$16:C106),"")</x:f>
      </x:c>
      <x:c r="E106" s="2" t="n">
        <x:f>INT((A106-'Delivery Timeline'!$B$4)/7)+1</x:f>
        <x:v>13</x:v>
      </x:c>
      <x:c r="F106" s="2" t="str">
        <x:f>IF(AND(COUNT($B$5:$C$5)=2,A106&gt;=$B$5,A106&lt;=$C$5),"Additional leave",IF(AND(A106&gt;=$B$6,A106&lt;=$C$6),"Lunar New Year leave",IF(C106=1,"Working day","Weekend")))</x:f>
        <x:v>Weekend</x:v>
      </x:c>
    </x:row>
    <x:row r="107" ht="23" customHeight="1">
      <x:c r="A107" s="5" t="n">
        <x:f>'Delivery Timeline'!$B$4+91</x:f>
        <x:v>46419</x:v>
      </x:c>
      <x:c r="B107" s="2" t="str">
        <x:f>CHOOSE(WEEKDAY(A107,2),"Mon","Tue","Wed","Thu","Fri","Sat","Sun")</x:f>
        <x:v>Mon</x:v>
      </x:c>
      <x:c r="C107" s="2" t="n">
        <x:f>IF(WEEKDAY(A107,2)&gt;5,0,IF(OR(AND(COUNT($B$5:$C$5)=2,A107&gt;=$B$5,A107&lt;=$C$5),AND(A107&gt;=$B$6,A107&lt;=$C$6)),0,1))</x:f>
        <x:v>1</x:v>
      </x:c>
      <x:c r="D107" s="2" t="n">
        <x:f>IF(C107=1,SUM($C$16:C107),"")</x:f>
        <x:v>66</x:v>
      </x:c>
      <x:c r="E107" s="2" t="n">
        <x:f>INT((A107-'Delivery Timeline'!$B$4)/7)+1</x:f>
        <x:v>14</x:v>
      </x:c>
      <x:c r="F107" s="2" t="str">
        <x:f>IF(AND(COUNT($B$5:$C$5)=2,A107&gt;=$B$5,A107&lt;=$C$5),"Additional leave",IF(AND(A107&gt;=$B$6,A107&lt;=$C$6),"Lunar New Year leave",IF(C107=1,"Working day","Weekend")))</x:f>
        <x:v>Working day</x:v>
      </x:c>
    </x:row>
    <x:row r="108" ht="23" customHeight="1">
      <x:c r="A108" s="5" t="n">
        <x:f>'Delivery Timeline'!$B$4+92</x:f>
        <x:v>46420</x:v>
      </x:c>
      <x:c r="B108" s="2" t="str">
        <x:f>CHOOSE(WEEKDAY(A108,2),"Mon","Tue","Wed","Thu","Fri","Sat","Sun")</x:f>
        <x:v>Tue</x:v>
      </x:c>
      <x:c r="C108" s="2" t="n">
        <x:f>IF(WEEKDAY(A108,2)&gt;5,0,IF(OR(AND(COUNT($B$5:$C$5)=2,A108&gt;=$B$5,A108&lt;=$C$5),AND(A108&gt;=$B$6,A108&lt;=$C$6)),0,1))</x:f>
        <x:v>1</x:v>
      </x:c>
      <x:c r="D108" s="2" t="n">
        <x:f>IF(C108=1,SUM($C$16:C108),"")</x:f>
        <x:v>67</x:v>
      </x:c>
      <x:c r="E108" s="2" t="n">
        <x:f>INT((A108-'Delivery Timeline'!$B$4)/7)+1</x:f>
        <x:v>14</x:v>
      </x:c>
      <x:c r="F108" s="2" t="str">
        <x:f>IF(AND(COUNT($B$5:$C$5)=2,A108&gt;=$B$5,A108&lt;=$C$5),"Additional leave",IF(AND(A108&gt;=$B$6,A108&lt;=$C$6),"Lunar New Year leave",IF(C108=1,"Working day","Weekend")))</x:f>
        <x:v>Working day</x:v>
      </x:c>
    </x:row>
    <x:row r="109" ht="23" customHeight="1">
      <x:c r="A109" s="5" t="n">
        <x:f>'Delivery Timeline'!$B$4+93</x:f>
        <x:v>46421</x:v>
      </x:c>
      <x:c r="B109" s="2" t="str">
        <x:f>CHOOSE(WEEKDAY(A109,2),"Mon","Tue","Wed","Thu","Fri","Sat","Sun")</x:f>
        <x:v>Wed</x:v>
      </x:c>
      <x:c r="C109" s="2" t="n">
        <x:f>IF(WEEKDAY(A109,2)&gt;5,0,IF(OR(AND(COUNT($B$5:$C$5)=2,A109&gt;=$B$5,A109&lt;=$C$5),AND(A109&gt;=$B$6,A109&lt;=$C$6)),0,1))</x:f>
        <x:v>0</x:v>
      </x:c>
      <x:c r="D109" s="2" t="str">
        <x:f>IF(C109=1,SUM($C$16:C109),"")</x:f>
      </x:c>
      <x:c r="E109" s="2" t="n">
        <x:f>INT((A109-'Delivery Timeline'!$B$4)/7)+1</x:f>
        <x:v>14</x:v>
      </x:c>
      <x:c r="F109" s="2" t="str">
        <x:f>IF(AND(COUNT($B$5:$C$5)=2,A109&gt;=$B$5,A109&lt;=$C$5),"Additional leave",IF(AND(A109&gt;=$B$6,A109&lt;=$C$6),"Lunar New Year leave",IF(C109=1,"Working day","Weekend")))</x:f>
        <x:v>Lunar New Year leave</x:v>
      </x:c>
    </x:row>
    <x:row r="110" ht="23" customHeight="1">
      <x:c r="A110" s="5" t="n">
        <x:f>'Delivery Timeline'!$B$4+94</x:f>
        <x:v>46422</x:v>
      </x:c>
      <x:c r="B110" s="2" t="str">
        <x:f>CHOOSE(WEEKDAY(A110,2),"Mon","Tue","Wed","Thu","Fri","Sat","Sun")</x:f>
        <x:v>Thu</x:v>
      </x:c>
      <x:c r="C110" s="2" t="n">
        <x:f>IF(WEEKDAY(A110,2)&gt;5,0,IF(OR(AND(COUNT($B$5:$C$5)=2,A110&gt;=$B$5,A110&lt;=$C$5),AND(A110&gt;=$B$6,A110&lt;=$C$6)),0,1))</x:f>
        <x:v>0</x:v>
      </x:c>
      <x:c r="D110" s="2" t="str">
        <x:f>IF(C110=1,SUM($C$16:C110),"")</x:f>
      </x:c>
      <x:c r="E110" s="2" t="n">
        <x:f>INT((A110-'Delivery Timeline'!$B$4)/7)+1</x:f>
        <x:v>14</x:v>
      </x:c>
      <x:c r="F110" s="2" t="str">
        <x:f>IF(AND(COUNT($B$5:$C$5)=2,A110&gt;=$B$5,A110&lt;=$C$5),"Additional leave",IF(AND(A110&gt;=$B$6,A110&lt;=$C$6),"Lunar New Year leave",IF(C110=1,"Working day","Weekend")))</x:f>
        <x:v>Lunar New Year leave</x:v>
      </x:c>
    </x:row>
    <x:row r="111" ht="23" customHeight="1">
      <x:c r="A111" s="5" t="n">
        <x:f>'Delivery Timeline'!$B$4+95</x:f>
        <x:v>46423</x:v>
      </x:c>
      <x:c r="B111" s="2" t="str">
        <x:f>CHOOSE(WEEKDAY(A111,2),"Mon","Tue","Wed","Thu","Fri","Sat","Sun")</x:f>
        <x:v>Fri</x:v>
      </x:c>
      <x:c r="C111" s="2" t="n">
        <x:f>IF(WEEKDAY(A111,2)&gt;5,0,IF(OR(AND(COUNT($B$5:$C$5)=2,A111&gt;=$B$5,A111&lt;=$C$5),AND(A111&gt;=$B$6,A111&lt;=$C$6)),0,1))</x:f>
        <x:v>0</x:v>
      </x:c>
      <x:c r="D111" s="2" t="str">
        <x:f>IF(C111=1,SUM($C$16:C111),"")</x:f>
      </x:c>
      <x:c r="E111" s="2" t="n">
        <x:f>INT((A111-'Delivery Timeline'!$B$4)/7)+1</x:f>
        <x:v>14</x:v>
      </x:c>
      <x:c r="F111" s="2" t="str">
        <x:f>IF(AND(COUNT($B$5:$C$5)=2,A111&gt;=$B$5,A111&lt;=$C$5),"Additional leave",IF(AND(A111&gt;=$B$6,A111&lt;=$C$6),"Lunar New Year leave",IF(C111=1,"Working day","Weekend")))</x:f>
        <x:v>Lunar New Year leave</x:v>
      </x:c>
    </x:row>
    <x:row r="112" ht="23" customHeight="1">
      <x:c r="A112" s="5" t="n">
        <x:f>'Delivery Timeline'!$B$4+96</x:f>
        <x:v>46424</x:v>
      </x:c>
      <x:c r="B112" s="2" t="str">
        <x:f>CHOOSE(WEEKDAY(A112,2),"Mon","Tue","Wed","Thu","Fri","Sat","Sun")</x:f>
        <x:v>Sat</x:v>
      </x:c>
      <x:c r="C112" s="2" t="n">
        <x:f>IF(WEEKDAY(A112,2)&gt;5,0,IF(OR(AND(COUNT($B$5:$C$5)=2,A112&gt;=$B$5,A112&lt;=$C$5),AND(A112&gt;=$B$6,A112&lt;=$C$6)),0,1))</x:f>
        <x:v>0</x:v>
      </x:c>
      <x:c r="D112" s="2" t="str">
        <x:f>IF(C112=1,SUM($C$16:C112),"")</x:f>
      </x:c>
      <x:c r="E112" s="2" t="n">
        <x:f>INT((A112-'Delivery Timeline'!$B$4)/7)+1</x:f>
        <x:v>14</x:v>
      </x:c>
      <x:c r="F112" s="2" t="str">
        <x:f>IF(AND(COUNT($B$5:$C$5)=2,A112&gt;=$B$5,A112&lt;=$C$5),"Additional leave",IF(AND(A112&gt;=$B$6,A112&lt;=$C$6),"Lunar New Year leave",IF(C112=1,"Working day","Weekend")))</x:f>
        <x:v>Lunar New Year leave</x:v>
      </x:c>
    </x:row>
    <x:row r="113" ht="23" customHeight="1">
      <x:c r="A113" s="5" t="n">
        <x:f>'Delivery Timeline'!$B$4+97</x:f>
        <x:v>46425</x:v>
      </x:c>
      <x:c r="B113" s="2" t="str">
        <x:f>CHOOSE(WEEKDAY(A113,2),"Mon","Tue","Wed","Thu","Fri","Sat","Sun")</x:f>
        <x:v>Sun</x:v>
      </x:c>
      <x:c r="C113" s="2" t="n">
        <x:f>IF(WEEKDAY(A113,2)&gt;5,0,IF(OR(AND(COUNT($B$5:$C$5)=2,A113&gt;=$B$5,A113&lt;=$C$5),AND(A113&gt;=$B$6,A113&lt;=$C$6)),0,1))</x:f>
        <x:v>0</x:v>
      </x:c>
      <x:c r="D113" s="2" t="str">
        <x:f>IF(C113=1,SUM($C$16:C113),"")</x:f>
      </x:c>
      <x:c r="E113" s="2" t="n">
        <x:f>INT((A113-'Delivery Timeline'!$B$4)/7)+1</x:f>
        <x:v>14</x:v>
      </x:c>
      <x:c r="F113" s="2" t="str">
        <x:f>IF(AND(COUNT($B$5:$C$5)=2,A113&gt;=$B$5,A113&lt;=$C$5),"Additional leave",IF(AND(A113&gt;=$B$6,A113&lt;=$C$6),"Lunar New Year leave",IF(C113=1,"Working day","Weekend")))</x:f>
        <x:v>Lunar New Year leave</x:v>
      </x:c>
    </x:row>
    <x:row r="114" ht="23" customHeight="1">
      <x:c r="A114" s="5" t="n">
        <x:f>'Delivery Timeline'!$B$4+98</x:f>
        <x:v>46426</x:v>
      </x:c>
      <x:c r="B114" s="2" t="str">
        <x:f>CHOOSE(WEEKDAY(A114,2),"Mon","Tue","Wed","Thu","Fri","Sat","Sun")</x:f>
        <x:v>Mon</x:v>
      </x:c>
      <x:c r="C114" s="2" t="n">
        <x:f>IF(WEEKDAY(A114,2)&gt;5,0,IF(OR(AND(COUNT($B$5:$C$5)=2,A114&gt;=$B$5,A114&lt;=$C$5),AND(A114&gt;=$B$6,A114&lt;=$C$6)),0,1))</x:f>
        <x:v>0</x:v>
      </x:c>
      <x:c r="D114" s="2" t="str">
        <x:f>IF(C114=1,SUM($C$16:C114),"")</x:f>
      </x:c>
      <x:c r="E114" s="2" t="n">
        <x:f>INT((A114-'Delivery Timeline'!$B$4)/7)+1</x:f>
        <x:v>15</x:v>
      </x:c>
      <x:c r="F114" s="2" t="str">
        <x:f>IF(AND(COUNT($B$5:$C$5)=2,A114&gt;=$B$5,A114&lt;=$C$5),"Additional leave",IF(AND(A114&gt;=$B$6,A114&lt;=$C$6),"Lunar New Year leave",IF(C114=1,"Working day","Weekend")))</x:f>
        <x:v>Lunar New Year leave</x:v>
      </x:c>
    </x:row>
    <x:row r="115" ht="23" customHeight="1">
      <x:c r="A115" s="5" t="n">
        <x:f>'Delivery Timeline'!$B$4+99</x:f>
        <x:v>46427</x:v>
      </x:c>
      <x:c r="B115" s="2" t="str">
        <x:f>CHOOSE(WEEKDAY(A115,2),"Mon","Tue","Wed","Thu","Fri","Sat","Sun")</x:f>
        <x:v>Tue</x:v>
      </x:c>
      <x:c r="C115" s="2" t="n">
        <x:f>IF(WEEKDAY(A115,2)&gt;5,0,IF(OR(AND(COUNT($B$5:$C$5)=2,A115&gt;=$B$5,A115&lt;=$C$5),AND(A115&gt;=$B$6,A115&lt;=$C$6)),0,1))</x:f>
        <x:v>0</x:v>
      </x:c>
      <x:c r="D115" s="2" t="str">
        <x:f>IF(C115=1,SUM($C$16:C115),"")</x:f>
      </x:c>
      <x:c r="E115" s="2" t="n">
        <x:f>INT((A115-'Delivery Timeline'!$B$4)/7)+1</x:f>
        <x:v>15</x:v>
      </x:c>
      <x:c r="F115" s="2" t="str">
        <x:f>IF(AND(COUNT($B$5:$C$5)=2,A115&gt;=$B$5,A115&lt;=$C$5),"Additional leave",IF(AND(A115&gt;=$B$6,A115&lt;=$C$6),"Lunar New Year leave",IF(C115=1,"Working day","Weekend")))</x:f>
        <x:v>Lunar New Year leave</x:v>
      </x:c>
    </x:row>
    <x:row r="116" ht="23" customHeight="1">
      <x:c r="A116" s="5" t="n">
        <x:f>'Delivery Timeline'!$B$4+100</x:f>
        <x:v>46428</x:v>
      </x:c>
      <x:c r="B116" s="2" t="str">
        <x:f>CHOOSE(WEEKDAY(A116,2),"Mon","Tue","Wed","Thu","Fri","Sat","Sun")</x:f>
        <x:v>Wed</x:v>
      </x:c>
      <x:c r="C116" s="2" t="n">
        <x:f>IF(WEEKDAY(A116,2)&gt;5,0,IF(OR(AND(COUNT($B$5:$C$5)=2,A116&gt;=$B$5,A116&lt;=$C$5),AND(A116&gt;=$B$6,A116&lt;=$C$6)),0,1))</x:f>
        <x:v>0</x:v>
      </x:c>
      <x:c r="D116" s="2" t="str">
        <x:f>IF(C116=1,SUM($C$16:C116),"")</x:f>
      </x:c>
      <x:c r="E116" s="2" t="n">
        <x:f>INT((A116-'Delivery Timeline'!$B$4)/7)+1</x:f>
        <x:v>15</x:v>
      </x:c>
      <x:c r="F116" s="2" t="str">
        <x:f>IF(AND(COUNT($B$5:$C$5)=2,A116&gt;=$B$5,A116&lt;=$C$5),"Additional leave",IF(AND(A116&gt;=$B$6,A116&lt;=$C$6),"Lunar New Year leave",IF(C116=1,"Working day","Weekend")))</x:f>
        <x:v>Lunar New Year leave</x:v>
      </x:c>
    </x:row>
    <x:row r="117" ht="23" customHeight="1">
      <x:c r="A117" s="5" t="n">
        <x:f>'Delivery Timeline'!$B$4+101</x:f>
        <x:v>46429</x:v>
      </x:c>
      <x:c r="B117" s="2" t="str">
        <x:f>CHOOSE(WEEKDAY(A117,2),"Mon","Tue","Wed","Thu","Fri","Sat","Sun")</x:f>
        <x:v>Thu</x:v>
      </x:c>
      <x:c r="C117" s="2" t="n">
        <x:f>IF(WEEKDAY(A117,2)&gt;5,0,IF(OR(AND(COUNT($B$5:$C$5)=2,A117&gt;=$B$5,A117&lt;=$C$5),AND(A117&gt;=$B$6,A117&lt;=$C$6)),0,1))</x:f>
        <x:v>0</x:v>
      </x:c>
      <x:c r="D117" s="2" t="str">
        <x:f>IF(C117=1,SUM($C$16:C117),"")</x:f>
      </x:c>
      <x:c r="E117" s="2" t="n">
        <x:f>INT((A117-'Delivery Timeline'!$B$4)/7)+1</x:f>
        <x:v>15</x:v>
      </x:c>
      <x:c r="F117" s="2" t="str">
        <x:f>IF(AND(COUNT($B$5:$C$5)=2,A117&gt;=$B$5,A117&lt;=$C$5),"Additional leave",IF(AND(A117&gt;=$B$6,A117&lt;=$C$6),"Lunar New Year leave",IF(C117=1,"Working day","Weekend")))</x:f>
        <x:v>Lunar New Year leave</x:v>
      </x:c>
    </x:row>
    <x:row r="118" ht="23" customHeight="1">
      <x:c r="A118" s="5" t="n">
        <x:f>'Delivery Timeline'!$B$4+102</x:f>
        <x:v>46430</x:v>
      </x:c>
      <x:c r="B118" s="2" t="str">
        <x:f>CHOOSE(WEEKDAY(A118,2),"Mon","Tue","Wed","Thu","Fri","Sat","Sun")</x:f>
        <x:v>Fri</x:v>
      </x:c>
      <x:c r="C118" s="2" t="n">
        <x:f>IF(WEEKDAY(A118,2)&gt;5,0,IF(OR(AND(COUNT($B$5:$C$5)=2,A118&gt;=$B$5,A118&lt;=$C$5),AND(A118&gt;=$B$6,A118&lt;=$C$6)),0,1))</x:f>
        <x:v>0</x:v>
      </x:c>
      <x:c r="D118" s="2" t="str">
        <x:f>IF(C118=1,SUM($C$16:C118),"")</x:f>
      </x:c>
      <x:c r="E118" s="2" t="n">
        <x:f>INT((A118-'Delivery Timeline'!$B$4)/7)+1</x:f>
        <x:v>15</x:v>
      </x:c>
      <x:c r="F118" s="2" t="str">
        <x:f>IF(AND(COUNT($B$5:$C$5)=2,A118&gt;=$B$5,A118&lt;=$C$5),"Additional leave",IF(AND(A118&gt;=$B$6,A118&lt;=$C$6),"Lunar New Year leave",IF(C118=1,"Working day","Weekend")))</x:f>
        <x:v>Lunar New Year leave</x:v>
      </x:c>
    </x:row>
    <x:row r="119" ht="23" customHeight="1">
      <x:c r="A119" s="5" t="n">
        <x:f>'Delivery Timeline'!$B$4+103</x:f>
        <x:v>46431</x:v>
      </x:c>
      <x:c r="B119" s="2" t="str">
        <x:f>CHOOSE(WEEKDAY(A119,2),"Mon","Tue","Wed","Thu","Fri","Sat","Sun")</x:f>
        <x:v>Sat</x:v>
      </x:c>
      <x:c r="C119" s="2" t="n">
        <x:f>IF(WEEKDAY(A119,2)&gt;5,0,IF(OR(AND(COUNT($B$5:$C$5)=2,A119&gt;=$B$5,A119&lt;=$C$5),AND(A119&gt;=$B$6,A119&lt;=$C$6)),0,1))</x:f>
        <x:v>0</x:v>
      </x:c>
      <x:c r="D119" s="2" t="str">
        <x:f>IF(C119=1,SUM($C$16:C119),"")</x:f>
      </x:c>
      <x:c r="E119" s="2" t="n">
        <x:f>INT((A119-'Delivery Timeline'!$B$4)/7)+1</x:f>
        <x:v>15</x:v>
      </x:c>
      <x:c r="F119" s="2" t="str">
        <x:f>IF(AND(COUNT($B$5:$C$5)=2,A119&gt;=$B$5,A119&lt;=$C$5),"Additional leave",IF(AND(A119&gt;=$B$6,A119&lt;=$C$6),"Lunar New Year leave",IF(C119=1,"Working day","Weekend")))</x:f>
        <x:v>Weekend</x:v>
      </x:c>
    </x:row>
    <x:row r="120" ht="23" customHeight="1">
      <x:c r="A120" s="5" t="n">
        <x:f>'Delivery Timeline'!$B$4+104</x:f>
        <x:v>46432</x:v>
      </x:c>
      <x:c r="B120" s="2" t="str">
        <x:f>CHOOSE(WEEKDAY(A120,2),"Mon","Tue","Wed","Thu","Fri","Sat","Sun")</x:f>
        <x:v>Sun</x:v>
      </x:c>
      <x:c r="C120" s="2" t="n">
        <x:f>IF(WEEKDAY(A120,2)&gt;5,0,IF(OR(AND(COUNT($B$5:$C$5)=2,A120&gt;=$B$5,A120&lt;=$C$5),AND(A120&gt;=$B$6,A120&lt;=$C$6)),0,1))</x:f>
        <x:v>0</x:v>
      </x:c>
      <x:c r="D120" s="2" t="str">
        <x:f>IF(C120=1,SUM($C$16:C120),"")</x:f>
      </x:c>
      <x:c r="E120" s="2" t="n">
        <x:f>INT((A120-'Delivery Timeline'!$B$4)/7)+1</x:f>
        <x:v>15</x:v>
      </x:c>
      <x:c r="F120" s="2" t="str">
        <x:f>IF(AND(COUNT($B$5:$C$5)=2,A120&gt;=$B$5,A120&lt;=$C$5),"Additional leave",IF(AND(A120&gt;=$B$6,A120&lt;=$C$6),"Lunar New Year leave",IF(C120=1,"Working day","Weekend")))</x:f>
        <x:v>Weekend</x:v>
      </x:c>
    </x:row>
    <x:row r="121" ht="23" customHeight="1">
      <x:c r="A121" s="5" t="n">
        <x:f>'Delivery Timeline'!$B$4+105</x:f>
        <x:v>46433</x:v>
      </x:c>
      <x:c r="B121" s="2" t="str">
        <x:f>CHOOSE(WEEKDAY(A121,2),"Mon","Tue","Wed","Thu","Fri","Sat","Sun")</x:f>
        <x:v>Mon</x:v>
      </x:c>
      <x:c r="C121" s="2" t="n">
        <x:f>IF(WEEKDAY(A121,2)&gt;5,0,IF(OR(AND(COUNT($B$5:$C$5)=2,A121&gt;=$B$5,A121&lt;=$C$5),AND(A121&gt;=$B$6,A121&lt;=$C$6)),0,1))</x:f>
        <x:v>1</x:v>
      </x:c>
      <x:c r="D121" s="2" t="n">
        <x:f>IF(C121=1,SUM($C$16:C121),"")</x:f>
        <x:v>68</x:v>
      </x:c>
      <x:c r="E121" s="2" t="n">
        <x:f>INT((A121-'Delivery Timeline'!$B$4)/7)+1</x:f>
        <x:v>16</x:v>
      </x:c>
      <x:c r="F121" s="2" t="str">
        <x:f>IF(AND(COUNT($B$5:$C$5)=2,A121&gt;=$B$5,A121&lt;=$C$5),"Additional leave",IF(AND(A121&gt;=$B$6,A121&lt;=$C$6),"Lunar New Year leave",IF(C121=1,"Working day","Weekend")))</x:f>
        <x:v>Working day</x:v>
      </x:c>
    </x:row>
    <x:row r="122" ht="23" customHeight="1">
      <x:c r="A122" s="5" t="n">
        <x:f>'Delivery Timeline'!$B$4+106</x:f>
        <x:v>46434</x:v>
      </x:c>
      <x:c r="B122" s="2" t="str">
        <x:f>CHOOSE(WEEKDAY(A122,2),"Mon","Tue","Wed","Thu","Fri","Sat","Sun")</x:f>
        <x:v>Tue</x:v>
      </x:c>
      <x:c r="C122" s="2" t="n">
        <x:f>IF(WEEKDAY(A122,2)&gt;5,0,IF(OR(AND(COUNT($B$5:$C$5)=2,A122&gt;=$B$5,A122&lt;=$C$5),AND(A122&gt;=$B$6,A122&lt;=$C$6)),0,1))</x:f>
        <x:v>1</x:v>
      </x:c>
      <x:c r="D122" s="2" t="n">
        <x:f>IF(C122=1,SUM($C$16:C122),"")</x:f>
        <x:v>69</x:v>
      </x:c>
      <x:c r="E122" s="2" t="n">
        <x:f>INT((A122-'Delivery Timeline'!$B$4)/7)+1</x:f>
        <x:v>16</x:v>
      </x:c>
      <x:c r="F122" s="2" t="str">
        <x:f>IF(AND(COUNT($B$5:$C$5)=2,A122&gt;=$B$5,A122&lt;=$C$5),"Additional leave",IF(AND(A122&gt;=$B$6,A122&lt;=$C$6),"Lunar New Year leave",IF(C122=1,"Working day","Weekend")))</x:f>
        <x:v>Working day</x:v>
      </x:c>
    </x:row>
    <x:row r="123" ht="23" customHeight="1">
      <x:c r="A123" s="5" t="n">
        <x:f>'Delivery Timeline'!$B$4+107</x:f>
        <x:v>46435</x:v>
      </x:c>
      <x:c r="B123" s="2" t="str">
        <x:f>CHOOSE(WEEKDAY(A123,2),"Mon","Tue","Wed","Thu","Fri","Sat","Sun")</x:f>
        <x:v>Wed</x:v>
      </x:c>
      <x:c r="C123" s="2" t="n">
        <x:f>IF(WEEKDAY(A123,2)&gt;5,0,IF(OR(AND(COUNT($B$5:$C$5)=2,A123&gt;=$B$5,A123&lt;=$C$5),AND(A123&gt;=$B$6,A123&lt;=$C$6)),0,1))</x:f>
        <x:v>1</x:v>
      </x:c>
      <x:c r="D123" s="2" t="n">
        <x:f>IF(C123=1,SUM($C$16:C123),"")</x:f>
        <x:v>70</x:v>
      </x:c>
      <x:c r="E123" s="2" t="n">
        <x:f>INT((A123-'Delivery Timeline'!$B$4)/7)+1</x:f>
        <x:v>16</x:v>
      </x:c>
      <x:c r="F123" s="2" t="str">
        <x:f>IF(AND(COUNT($B$5:$C$5)=2,A123&gt;=$B$5,A123&lt;=$C$5),"Additional leave",IF(AND(A123&gt;=$B$6,A123&lt;=$C$6),"Lunar New Year leave",IF(C123=1,"Working day","Weekend")))</x:f>
        <x:v>Working day</x:v>
      </x:c>
    </x:row>
    <x:row r="124" ht="23" customHeight="1">
      <x:c r="A124" s="5" t="n">
        <x:f>'Delivery Timeline'!$B$4+108</x:f>
        <x:v>46436</x:v>
      </x:c>
      <x:c r="B124" s="2" t="str">
        <x:f>CHOOSE(WEEKDAY(A124,2),"Mon","Tue","Wed","Thu","Fri","Sat","Sun")</x:f>
        <x:v>Thu</x:v>
      </x:c>
      <x:c r="C124" s="2" t="n">
        <x:f>IF(WEEKDAY(A124,2)&gt;5,0,IF(OR(AND(COUNT($B$5:$C$5)=2,A124&gt;=$B$5,A124&lt;=$C$5),AND(A124&gt;=$B$6,A124&lt;=$C$6)),0,1))</x:f>
        <x:v>1</x:v>
      </x:c>
      <x:c r="D124" s="2" t="n">
        <x:f>IF(C124=1,SUM($C$16:C124),"")</x:f>
        <x:v>71</x:v>
      </x:c>
      <x:c r="E124" s="2" t="n">
        <x:f>INT((A124-'Delivery Timeline'!$B$4)/7)+1</x:f>
        <x:v>16</x:v>
      </x:c>
      <x:c r="F124" s="2" t="str">
        <x:f>IF(AND(COUNT($B$5:$C$5)=2,A124&gt;=$B$5,A124&lt;=$C$5),"Additional leave",IF(AND(A124&gt;=$B$6,A124&lt;=$C$6),"Lunar New Year leave",IF(C124=1,"Working day","Weekend")))</x:f>
        <x:v>Working day</x:v>
      </x:c>
    </x:row>
    <x:row r="125" ht="23" customHeight="1">
      <x:c r="A125" s="5" t="n">
        <x:f>'Delivery Timeline'!$B$4+109</x:f>
        <x:v>46437</x:v>
      </x:c>
      <x:c r="B125" s="2" t="str">
        <x:f>CHOOSE(WEEKDAY(A125,2),"Mon","Tue","Wed","Thu","Fri","Sat","Sun")</x:f>
        <x:v>Fri</x:v>
      </x:c>
      <x:c r="C125" s="2" t="n">
        <x:f>IF(WEEKDAY(A125,2)&gt;5,0,IF(OR(AND(COUNT($B$5:$C$5)=2,A125&gt;=$B$5,A125&lt;=$C$5),AND(A125&gt;=$B$6,A125&lt;=$C$6)),0,1))</x:f>
        <x:v>1</x:v>
      </x:c>
      <x:c r="D125" s="2" t="n">
        <x:f>IF(C125=1,SUM($C$16:C125),"")</x:f>
        <x:v>72</x:v>
      </x:c>
      <x:c r="E125" s="2" t="n">
        <x:f>INT((A125-'Delivery Timeline'!$B$4)/7)+1</x:f>
        <x:v>16</x:v>
      </x:c>
      <x:c r="F125" s="2" t="str">
        <x:f>IF(AND(COUNT($B$5:$C$5)=2,A125&gt;=$B$5,A125&lt;=$C$5),"Additional leave",IF(AND(A125&gt;=$B$6,A125&lt;=$C$6),"Lunar New Year leave",IF(C125=1,"Working day","Weekend")))</x:f>
        <x:v>Working day</x:v>
      </x:c>
    </x:row>
    <x:row r="126" ht="23" customHeight="1">
      <x:c r="A126" s="5" t="n">
        <x:f>'Delivery Timeline'!$B$4+110</x:f>
        <x:v>46438</x:v>
      </x:c>
      <x:c r="B126" s="2" t="str">
        <x:f>CHOOSE(WEEKDAY(A126,2),"Mon","Tue","Wed","Thu","Fri","Sat","Sun")</x:f>
        <x:v>Sat</x:v>
      </x:c>
      <x:c r="C126" s="2" t="n">
        <x:f>IF(WEEKDAY(A126,2)&gt;5,0,IF(OR(AND(COUNT($B$5:$C$5)=2,A126&gt;=$B$5,A126&lt;=$C$5),AND(A126&gt;=$B$6,A126&lt;=$C$6)),0,1))</x:f>
        <x:v>0</x:v>
      </x:c>
      <x:c r="D126" s="2" t="str">
        <x:f>IF(C126=1,SUM($C$16:C126),"")</x:f>
      </x:c>
      <x:c r="E126" s="2" t="n">
        <x:f>INT((A126-'Delivery Timeline'!$B$4)/7)+1</x:f>
        <x:v>16</x:v>
      </x:c>
      <x:c r="F126" s="2" t="str">
        <x:f>IF(AND(COUNT($B$5:$C$5)=2,A126&gt;=$B$5,A126&lt;=$C$5),"Additional leave",IF(AND(A126&gt;=$B$6,A126&lt;=$C$6),"Lunar New Year leave",IF(C126=1,"Working day","Weekend")))</x:f>
        <x:v>Weekend</x:v>
      </x:c>
    </x:row>
    <x:row r="127" ht="23" customHeight="1">
      <x:c r="A127" s="5" t="n">
        <x:f>'Delivery Timeline'!$B$4+111</x:f>
        <x:v>46439</x:v>
      </x:c>
      <x:c r="B127" s="2" t="str">
        <x:f>CHOOSE(WEEKDAY(A127,2),"Mon","Tue","Wed","Thu","Fri","Sat","Sun")</x:f>
        <x:v>Sun</x:v>
      </x:c>
      <x:c r="C127" s="2" t="n">
        <x:f>IF(WEEKDAY(A127,2)&gt;5,0,IF(OR(AND(COUNT($B$5:$C$5)=2,A127&gt;=$B$5,A127&lt;=$C$5),AND(A127&gt;=$B$6,A127&lt;=$C$6)),0,1))</x:f>
        <x:v>0</x:v>
      </x:c>
      <x:c r="D127" s="2" t="str">
        <x:f>IF(C127=1,SUM($C$16:C127),"")</x:f>
      </x:c>
      <x:c r="E127" s="2" t="n">
        <x:f>INT((A127-'Delivery Timeline'!$B$4)/7)+1</x:f>
        <x:v>16</x:v>
      </x:c>
      <x:c r="F127" s="2" t="str">
        <x:f>IF(AND(COUNT($B$5:$C$5)=2,A127&gt;=$B$5,A127&lt;=$C$5),"Additional leave",IF(AND(A127&gt;=$B$6,A127&lt;=$C$6),"Lunar New Year leave",IF(C127=1,"Working day","Weekend")))</x:f>
        <x:v>Weekend</x:v>
      </x:c>
    </x:row>
    <x:row r="128" ht="23" customHeight="1">
      <x:c r="A128" s="5" t="n">
        <x:f>'Delivery Timeline'!$B$4+112</x:f>
        <x:v>46440</x:v>
      </x:c>
      <x:c r="B128" s="2" t="str">
        <x:f>CHOOSE(WEEKDAY(A128,2),"Mon","Tue","Wed","Thu","Fri","Sat","Sun")</x:f>
        <x:v>Mon</x:v>
      </x:c>
      <x:c r="C128" s="2" t="n">
        <x:f>IF(WEEKDAY(A128,2)&gt;5,0,IF(OR(AND(COUNT($B$5:$C$5)=2,A128&gt;=$B$5,A128&lt;=$C$5),AND(A128&gt;=$B$6,A128&lt;=$C$6)),0,1))</x:f>
        <x:v>1</x:v>
      </x:c>
      <x:c r="D128" s="2" t="n">
        <x:f>IF(C128=1,SUM($C$16:C128),"")</x:f>
        <x:v>73</x:v>
      </x:c>
      <x:c r="E128" s="2" t="n">
        <x:f>INT((A128-'Delivery Timeline'!$B$4)/7)+1</x:f>
        <x:v>17</x:v>
      </x:c>
      <x:c r="F128" s="2" t="str">
        <x:f>IF(AND(COUNT($B$5:$C$5)=2,A128&gt;=$B$5,A128&lt;=$C$5),"Additional leave",IF(AND(A128&gt;=$B$6,A128&lt;=$C$6),"Lunar New Year leave",IF(C128=1,"Working day","Weekend")))</x:f>
        <x:v>Working day</x:v>
      </x:c>
    </x:row>
    <x:row r="129" ht="23" customHeight="1">
      <x:c r="A129" s="5" t="n">
        <x:f>'Delivery Timeline'!$B$4+113</x:f>
        <x:v>46441</x:v>
      </x:c>
      <x:c r="B129" s="2" t="str">
        <x:f>CHOOSE(WEEKDAY(A129,2),"Mon","Tue","Wed","Thu","Fri","Sat","Sun")</x:f>
        <x:v>Tue</x:v>
      </x:c>
      <x:c r="C129" s="2" t="n">
        <x:f>IF(WEEKDAY(A129,2)&gt;5,0,IF(OR(AND(COUNT($B$5:$C$5)=2,A129&gt;=$B$5,A129&lt;=$C$5),AND(A129&gt;=$B$6,A129&lt;=$C$6)),0,1))</x:f>
        <x:v>1</x:v>
      </x:c>
      <x:c r="D129" s="2" t="n">
        <x:f>IF(C129=1,SUM($C$16:C129),"")</x:f>
        <x:v>74</x:v>
      </x:c>
      <x:c r="E129" s="2" t="n">
        <x:f>INT((A129-'Delivery Timeline'!$B$4)/7)+1</x:f>
        <x:v>17</x:v>
      </x:c>
      <x:c r="F129" s="2" t="str">
        <x:f>IF(AND(COUNT($B$5:$C$5)=2,A129&gt;=$B$5,A129&lt;=$C$5),"Additional leave",IF(AND(A129&gt;=$B$6,A129&lt;=$C$6),"Lunar New Year leave",IF(C129=1,"Working day","Weekend")))</x:f>
        <x:v>Working day</x:v>
      </x:c>
    </x:row>
    <x:row r="130" ht="23" customHeight="1">
      <x:c r="A130" s="5" t="n">
        <x:f>'Delivery Timeline'!$B$4+114</x:f>
        <x:v>46442</x:v>
      </x:c>
      <x:c r="B130" s="2" t="str">
        <x:f>CHOOSE(WEEKDAY(A130,2),"Mon","Tue","Wed","Thu","Fri","Sat","Sun")</x:f>
        <x:v>Wed</x:v>
      </x:c>
      <x:c r="C130" s="2" t="n">
        <x:f>IF(WEEKDAY(A130,2)&gt;5,0,IF(OR(AND(COUNT($B$5:$C$5)=2,A130&gt;=$B$5,A130&lt;=$C$5),AND(A130&gt;=$B$6,A130&lt;=$C$6)),0,1))</x:f>
        <x:v>1</x:v>
      </x:c>
      <x:c r="D130" s="2" t="n">
        <x:f>IF(C130=1,SUM($C$16:C130),"")</x:f>
        <x:v>75</x:v>
      </x:c>
      <x:c r="E130" s="2" t="n">
        <x:f>INT((A130-'Delivery Timeline'!$B$4)/7)+1</x:f>
        <x:v>17</x:v>
      </x:c>
      <x:c r="F130" s="2" t="str">
        <x:f>IF(AND(COUNT($B$5:$C$5)=2,A130&gt;=$B$5,A130&lt;=$C$5),"Additional leave",IF(AND(A130&gt;=$B$6,A130&lt;=$C$6),"Lunar New Year leave",IF(C130=1,"Working day","Weekend")))</x:f>
        <x:v>Working day</x:v>
      </x:c>
    </x:row>
    <x:row r="131" ht="23" customHeight="1">
      <x:c r="A131" s="5" t="n">
        <x:f>'Delivery Timeline'!$B$4+115</x:f>
        <x:v>46443</x:v>
      </x:c>
      <x:c r="B131" s="2" t="str">
        <x:f>CHOOSE(WEEKDAY(A131,2),"Mon","Tue","Wed","Thu","Fri","Sat","Sun")</x:f>
        <x:v>Thu</x:v>
      </x:c>
      <x:c r="C131" s="2" t="n">
        <x:f>IF(WEEKDAY(A131,2)&gt;5,0,IF(OR(AND(COUNT($B$5:$C$5)=2,A131&gt;=$B$5,A131&lt;=$C$5),AND(A131&gt;=$B$6,A131&lt;=$C$6)),0,1))</x:f>
        <x:v>1</x:v>
      </x:c>
      <x:c r="D131" s="2" t="n">
        <x:f>IF(C131=1,SUM($C$16:C131),"")</x:f>
        <x:v>76</x:v>
      </x:c>
      <x:c r="E131" s="2" t="n">
        <x:f>INT((A131-'Delivery Timeline'!$B$4)/7)+1</x:f>
        <x:v>17</x:v>
      </x:c>
      <x:c r="F131" s="2" t="str">
        <x:f>IF(AND(COUNT($B$5:$C$5)=2,A131&gt;=$B$5,A131&lt;=$C$5),"Additional leave",IF(AND(A131&gt;=$B$6,A131&lt;=$C$6),"Lunar New Year leave",IF(C131=1,"Working day","Weekend")))</x:f>
        <x:v>Working day</x:v>
      </x:c>
    </x:row>
    <x:row r="132" ht="23" customHeight="1">
      <x:c r="A132" s="5" t="n">
        <x:f>'Delivery Timeline'!$B$4+116</x:f>
        <x:v>46444</x:v>
      </x:c>
      <x:c r="B132" s="2" t="str">
        <x:f>CHOOSE(WEEKDAY(A132,2),"Mon","Tue","Wed","Thu","Fri","Sat","Sun")</x:f>
        <x:v>Fri</x:v>
      </x:c>
      <x:c r="C132" s="2" t="n">
        <x:f>IF(WEEKDAY(A132,2)&gt;5,0,IF(OR(AND(COUNT($B$5:$C$5)=2,A132&gt;=$B$5,A132&lt;=$C$5),AND(A132&gt;=$B$6,A132&lt;=$C$6)),0,1))</x:f>
        <x:v>1</x:v>
      </x:c>
      <x:c r="D132" s="2" t="n">
        <x:f>IF(C132=1,SUM($C$16:C132),"")</x:f>
        <x:v>77</x:v>
      </x:c>
      <x:c r="E132" s="2" t="n">
        <x:f>INT((A132-'Delivery Timeline'!$B$4)/7)+1</x:f>
        <x:v>17</x:v>
      </x:c>
      <x:c r="F132" s="2" t="str">
        <x:f>IF(AND(COUNT($B$5:$C$5)=2,A132&gt;=$B$5,A132&lt;=$C$5),"Additional leave",IF(AND(A132&gt;=$B$6,A132&lt;=$C$6),"Lunar New Year leave",IF(C132=1,"Working day","Weekend")))</x:f>
        <x:v>Working day</x:v>
      </x:c>
    </x:row>
    <x:row r="133" ht="23" customHeight="1">
      <x:c r="A133" s="5" t="n">
        <x:f>'Delivery Timeline'!$B$4+117</x:f>
        <x:v>46445</x:v>
      </x:c>
      <x:c r="B133" s="2" t="str">
        <x:f>CHOOSE(WEEKDAY(A133,2),"Mon","Tue","Wed","Thu","Fri","Sat","Sun")</x:f>
        <x:v>Sat</x:v>
      </x:c>
      <x:c r="C133" s="2" t="n">
        <x:f>IF(WEEKDAY(A133,2)&gt;5,0,IF(OR(AND(COUNT($B$5:$C$5)=2,A133&gt;=$B$5,A133&lt;=$C$5),AND(A133&gt;=$B$6,A133&lt;=$C$6)),0,1))</x:f>
        <x:v>0</x:v>
      </x:c>
      <x:c r="D133" s="2" t="str">
        <x:f>IF(C133=1,SUM($C$16:C133),"")</x:f>
      </x:c>
      <x:c r="E133" s="2" t="n">
        <x:f>INT((A133-'Delivery Timeline'!$B$4)/7)+1</x:f>
        <x:v>17</x:v>
      </x:c>
      <x:c r="F133" s="2" t="str">
        <x:f>IF(AND(COUNT($B$5:$C$5)=2,A133&gt;=$B$5,A133&lt;=$C$5),"Additional leave",IF(AND(A133&gt;=$B$6,A133&lt;=$C$6),"Lunar New Year leave",IF(C133=1,"Working day","Weekend")))</x:f>
        <x:v>Weekend</x:v>
      </x:c>
    </x:row>
    <x:row r="134" ht="23" customHeight="1">
      <x:c r="A134" s="5" t="n">
        <x:f>'Delivery Timeline'!$B$4+118</x:f>
        <x:v>46446</x:v>
      </x:c>
      <x:c r="B134" s="2" t="str">
        <x:f>CHOOSE(WEEKDAY(A134,2),"Mon","Tue","Wed","Thu","Fri","Sat","Sun")</x:f>
        <x:v>Sun</x:v>
      </x:c>
      <x:c r="C134" s="2" t="n">
        <x:f>IF(WEEKDAY(A134,2)&gt;5,0,IF(OR(AND(COUNT($B$5:$C$5)=2,A134&gt;=$B$5,A134&lt;=$C$5),AND(A134&gt;=$B$6,A134&lt;=$C$6)),0,1))</x:f>
        <x:v>0</x:v>
      </x:c>
      <x:c r="D134" s="2" t="str">
        <x:f>IF(C134=1,SUM($C$16:C134),"")</x:f>
      </x:c>
      <x:c r="E134" s="2" t="n">
        <x:f>INT((A134-'Delivery Timeline'!$B$4)/7)+1</x:f>
        <x:v>17</x:v>
      </x:c>
      <x:c r="F134" s="2" t="str">
        <x:f>IF(AND(COUNT($B$5:$C$5)=2,A134&gt;=$B$5,A134&lt;=$C$5),"Additional leave",IF(AND(A134&gt;=$B$6,A134&lt;=$C$6),"Lunar New Year leave",IF(C134=1,"Working day","Weekend")))</x:f>
        <x:v>Weekend</x:v>
      </x:c>
    </x:row>
  </x:sheetData>
  <x:conditionalFormatting sqref="A16:F134">
    <x:cfRule type="expression" dxfId="18" priority="1">
      <x:formula>$C16=0</x:formula>
    </x:cfRule>
  </x:conditionalFormatting>
  <x:pageMargins left="0.7" right="0.7" top="0.75" bottom="0.75" header="0.3" footer="0.3"/>
</x:worksheet>
</file>